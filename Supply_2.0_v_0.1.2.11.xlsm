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tables/table6.xml" ContentType="application/vnd.openxmlformats-officedocument.spreadsheetml.table+xml"/>
  <Override PartName="/xl/drawings/drawing8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tables/table7.xml" ContentType="application/vnd.openxmlformats-officedocument.spreadsheetml.table+xml"/>
  <Override PartName="/xl/drawings/drawing9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tables/table8.xml" ContentType="application/vnd.openxmlformats-officedocument.spreadsheetml.table+xml"/>
  <Override PartName="/xl/drawings/drawing10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tables/table9.xml" ContentType="application/vnd.openxmlformats-officedocument.spreadsheetml.table+xml"/>
  <Override PartName="/xl/drawings/drawing11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tables/table10.xml" ContentType="application/vnd.openxmlformats-officedocument.spreadsheetml.table+xml"/>
  <Override PartName="/xl/drawings/drawing12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tables/table11.xml" ContentType="application/vnd.openxmlformats-officedocument.spreadsheetml.table+xml"/>
  <Override PartName="/xl/drawings/drawing13.xml" ContentType="application/vnd.openxmlformats-officedocument.drawing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vin Ma\Desktop\projects\SupplyExcel\"/>
    </mc:Choice>
  </mc:AlternateContent>
  <xr:revisionPtr revIDLastSave="0" documentId="13_ncr:1_{992E8034-C991-4DA3-8FF2-73245FF71CBB}" xr6:coauthVersionLast="47" xr6:coauthVersionMax="47" xr10:uidLastSave="{00000000-0000-0000-0000-000000000000}"/>
  <bookViews>
    <workbookView xWindow="-118" yWindow="-118" windowWidth="33749" windowHeight="18471" tabRatio="856" activeTab="3" xr2:uid="{01218C0E-FF84-42AC-8993-DD76AC11461D}"/>
  </bookViews>
  <sheets>
    <sheet name="Menu" sheetId="48" r:id="rId1"/>
    <sheet name="Pickup" sheetId="181" r:id="rId2"/>
    <sheet name="Master" sheetId="227" r:id="rId3"/>
    <sheet name="Import Sheets" sheetId="248" r:id="rId4"/>
    <sheet name="Charlie_Clark_74CD899D" sheetId="341" r:id="rId5"/>
    <sheet name="Isabella_Taylor_D098F288" sheetId="342" r:id="rId6"/>
    <sheet name="Banks_Rob_B4DD32A8" sheetId="343" r:id="rId7"/>
    <sheet name="Rophone_Mike_747A9E83" sheetId="344" r:id="rId8"/>
    <sheet name="Christ_Jesus_87519091" sheetId="345" r:id="rId9"/>
    <sheet name="Rhea_Dia_A5D0E0B7" sheetId="346" r:id="rId10"/>
    <sheet name="Rhea_Dia_4C1C4189" sheetId="347" r:id="rId11"/>
    <sheet name="Rhea_Dia_0CE9F4A1" sheetId="348" r:id="rId12"/>
    <sheet name="Rhea_Dia_84016FA6" sheetId="349" r:id="rId13"/>
    <sheet name="Template" sheetId="1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4" i="349" l="1"/>
  <c r="H33" i="349"/>
  <c r="H32" i="349"/>
  <c r="H31" i="349"/>
  <c r="H30" i="349"/>
  <c r="H26" i="349"/>
  <c r="E26" i="349"/>
  <c r="H24" i="349"/>
  <c r="H23" i="349"/>
  <c r="H22" i="349"/>
  <c r="H21" i="349"/>
  <c r="H19" i="349"/>
  <c r="H18" i="349"/>
  <c r="H17" i="349"/>
  <c r="H16" i="349"/>
  <c r="H14" i="349"/>
  <c r="H13" i="349"/>
  <c r="H12" i="349"/>
  <c r="H11" i="349"/>
  <c r="H10" i="349"/>
  <c r="H9" i="349"/>
  <c r="H8" i="349"/>
  <c r="H7" i="349"/>
  <c r="H6" i="349"/>
  <c r="H34" i="348"/>
  <c r="H33" i="348"/>
  <c r="H32" i="348"/>
  <c r="H31" i="348"/>
  <c r="H30" i="348"/>
  <c r="H26" i="348"/>
  <c r="E26" i="348"/>
  <c r="H24" i="348"/>
  <c r="H23" i="348"/>
  <c r="H22" i="348"/>
  <c r="H21" i="348"/>
  <c r="H19" i="348"/>
  <c r="H18" i="348"/>
  <c r="H17" i="348"/>
  <c r="H16" i="348"/>
  <c r="H14" i="348"/>
  <c r="H13" i="348"/>
  <c r="H12" i="348"/>
  <c r="H11" i="348"/>
  <c r="H10" i="348"/>
  <c r="H9" i="348"/>
  <c r="H8" i="348"/>
  <c r="H7" i="348"/>
  <c r="H6" i="348"/>
  <c r="H34" i="347"/>
  <c r="H33" i="347"/>
  <c r="H32" i="347"/>
  <c r="H31" i="347"/>
  <c r="H30" i="347"/>
  <c r="H26" i="347"/>
  <c r="E26" i="347"/>
  <c r="H24" i="347"/>
  <c r="H23" i="347"/>
  <c r="H22" i="347"/>
  <c r="H21" i="347"/>
  <c r="H19" i="347"/>
  <c r="H18" i="347"/>
  <c r="H17" i="347"/>
  <c r="H16" i="347"/>
  <c r="H14" i="347"/>
  <c r="H13" i="347"/>
  <c r="H12" i="347"/>
  <c r="H11" i="347"/>
  <c r="H10" i="347"/>
  <c r="H9" i="347"/>
  <c r="H8" i="347"/>
  <c r="H7" i="347"/>
  <c r="H6" i="347"/>
  <c r="H34" i="346"/>
  <c r="H33" i="346"/>
  <c r="H32" i="346"/>
  <c r="H31" i="346"/>
  <c r="H30" i="346"/>
  <c r="H26" i="346"/>
  <c r="E26" i="346"/>
  <c r="H24" i="346"/>
  <c r="H23" i="346"/>
  <c r="H22" i="346"/>
  <c r="H21" i="346"/>
  <c r="H19" i="346"/>
  <c r="H18" i="346"/>
  <c r="H17" i="346"/>
  <c r="H16" i="346"/>
  <c r="H14" i="346"/>
  <c r="H13" i="346"/>
  <c r="H12" i="346"/>
  <c r="H11" i="346"/>
  <c r="H10" i="346"/>
  <c r="H9" i="346"/>
  <c r="H8" i="346"/>
  <c r="H7" i="346"/>
  <c r="H6" i="346"/>
  <c r="H34" i="345"/>
  <c r="H33" i="345"/>
  <c r="H32" i="345"/>
  <c r="H31" i="345"/>
  <c r="H30" i="345"/>
  <c r="H26" i="345"/>
  <c r="E26" i="345"/>
  <c r="H24" i="345"/>
  <c r="H23" i="345"/>
  <c r="H22" i="345"/>
  <c r="H21" i="345"/>
  <c r="H19" i="345"/>
  <c r="H18" i="345"/>
  <c r="H17" i="345"/>
  <c r="H16" i="345"/>
  <c r="H14" i="345"/>
  <c r="H13" i="345"/>
  <c r="H12" i="345"/>
  <c r="H11" i="345"/>
  <c r="H10" i="345"/>
  <c r="H9" i="345"/>
  <c r="H8" i="345"/>
  <c r="H7" i="345"/>
  <c r="H6" i="345"/>
  <c r="H34" i="344"/>
  <c r="H33" i="344"/>
  <c r="H32" i="344"/>
  <c r="H31" i="344"/>
  <c r="H30" i="344"/>
  <c r="H26" i="344"/>
  <c r="E26" i="344"/>
  <c r="H24" i="344"/>
  <c r="H23" i="344"/>
  <c r="H22" i="344"/>
  <c r="H21" i="344"/>
  <c r="H19" i="344"/>
  <c r="H18" i="344"/>
  <c r="H17" i="344"/>
  <c r="H16" i="344"/>
  <c r="H14" i="344"/>
  <c r="H13" i="344"/>
  <c r="H12" i="344"/>
  <c r="H11" i="344"/>
  <c r="H10" i="344"/>
  <c r="H9" i="344"/>
  <c r="H8" i="344"/>
  <c r="H7" i="344"/>
  <c r="H6" i="344"/>
  <c r="H34" i="343"/>
  <c r="H33" i="343"/>
  <c r="H32" i="343"/>
  <c r="H31" i="343"/>
  <c r="H30" i="343"/>
  <c r="H26" i="343"/>
  <c r="E26" i="343"/>
  <c r="H24" i="343"/>
  <c r="H23" i="343"/>
  <c r="H22" i="343"/>
  <c r="H21" i="343"/>
  <c r="H19" i="343"/>
  <c r="H18" i="343"/>
  <c r="H17" i="343"/>
  <c r="H16" i="343"/>
  <c r="H14" i="343"/>
  <c r="H13" i="343"/>
  <c r="H12" i="343"/>
  <c r="H11" i="343"/>
  <c r="H10" i="343"/>
  <c r="H9" i="343"/>
  <c r="H8" i="343"/>
  <c r="H7" i="343"/>
  <c r="H6" i="343"/>
  <c r="H34" i="342"/>
  <c r="H33" i="342"/>
  <c r="H32" i="342"/>
  <c r="H31" i="342"/>
  <c r="H30" i="342"/>
  <c r="H26" i="342"/>
  <c r="E26" i="342"/>
  <c r="H24" i="342"/>
  <c r="H23" i="342"/>
  <c r="H22" i="342"/>
  <c r="H21" i="342"/>
  <c r="H19" i="342"/>
  <c r="H18" i="342"/>
  <c r="H17" i="342"/>
  <c r="H16" i="342"/>
  <c r="H14" i="342"/>
  <c r="H13" i="342"/>
  <c r="H12" i="342"/>
  <c r="H11" i="342"/>
  <c r="H10" i="342"/>
  <c r="H9" i="342"/>
  <c r="H8" i="342"/>
  <c r="H7" i="342"/>
  <c r="H6" i="342"/>
  <c r="H34" i="341"/>
  <c r="H33" i="341"/>
  <c r="H32" i="341"/>
  <c r="H31" i="341"/>
  <c r="H30" i="341"/>
  <c r="H26" i="341"/>
  <c r="E26" i="341"/>
  <c r="H24" i="341"/>
  <c r="H23" i="341"/>
  <c r="H22" i="341"/>
  <c r="H21" i="341"/>
  <c r="H19" i="341"/>
  <c r="H18" i="341"/>
  <c r="H17" i="341"/>
  <c r="H16" i="341"/>
  <c r="H14" i="341"/>
  <c r="H13" i="341"/>
  <c r="H12" i="341"/>
  <c r="H11" i="341"/>
  <c r="H10" i="341"/>
  <c r="H9" i="341"/>
  <c r="H8" i="341"/>
  <c r="H7" i="341"/>
  <c r="H6" i="341"/>
  <c r="E26" i="1" l="1"/>
  <c r="H14" i="1"/>
  <c r="H13" i="1"/>
  <c r="H12" i="1"/>
  <c r="H11" i="1"/>
  <c r="H10" i="1"/>
  <c r="H9" i="1"/>
  <c r="H8" i="1"/>
  <c r="H7" i="1"/>
  <c r="H6" i="1"/>
  <c r="H34" i="1"/>
  <c r="H33" i="1"/>
  <c r="H32" i="1"/>
  <c r="H31" i="1"/>
  <c r="H30" i="1"/>
  <c r="H22" i="1"/>
  <c r="H21" i="1"/>
  <c r="H19" i="1"/>
  <c r="H18" i="1"/>
  <c r="H17" i="1"/>
  <c r="H16" i="1"/>
  <c r="H26" i="1"/>
  <c r="H24" i="1"/>
  <c r="H23" i="1"/>
</calcChain>
</file>

<file path=xl/sharedStrings.xml><?xml version="1.0" encoding="utf-8"?>
<sst xmlns="http://schemas.openxmlformats.org/spreadsheetml/2006/main" count="1344" uniqueCount="223">
  <si>
    <t>Surname</t>
  </si>
  <si>
    <t>Unit</t>
  </si>
  <si>
    <t>First Name</t>
  </si>
  <si>
    <t>Rank</t>
  </si>
  <si>
    <t>Telephone Number</t>
  </si>
  <si>
    <t>Gender</t>
  </si>
  <si>
    <t>Stock Number</t>
  </si>
  <si>
    <t>Item</t>
  </si>
  <si>
    <t>Size</t>
  </si>
  <si>
    <t>Head</t>
  </si>
  <si>
    <t>Size(inches)</t>
  </si>
  <si>
    <t>Neck</t>
  </si>
  <si>
    <t>Chest</t>
  </si>
  <si>
    <t>Waist</t>
  </si>
  <si>
    <t>Hips</t>
  </si>
  <si>
    <t>Height</t>
  </si>
  <si>
    <t>Foot Length</t>
  </si>
  <si>
    <t>Foot Width</t>
  </si>
  <si>
    <t>Tunic</t>
  </si>
  <si>
    <t>T-Shirt</t>
  </si>
  <si>
    <t>Dress Pants</t>
  </si>
  <si>
    <t>Collar Shirt</t>
  </si>
  <si>
    <t>Tilly</t>
  </si>
  <si>
    <t>Tie</t>
  </si>
  <si>
    <t>Wedge</t>
  </si>
  <si>
    <t>Belt</t>
  </si>
  <si>
    <t>Socks</t>
  </si>
  <si>
    <t>Leather Boots</t>
  </si>
  <si>
    <t>Toque</t>
  </si>
  <si>
    <t>Parka</t>
  </si>
  <si>
    <t>Gloves</t>
  </si>
  <si>
    <t>FTU Tunic</t>
  </si>
  <si>
    <t>FTU Boots</t>
  </si>
  <si>
    <t>Beret</t>
  </si>
  <si>
    <t>Code</t>
  </si>
  <si>
    <t>Quantity</t>
  </si>
  <si>
    <t>Status</t>
  </si>
  <si>
    <t>Nametag</t>
  </si>
  <si>
    <t>Type</t>
  </si>
  <si>
    <t>918 Griffons RCACS</t>
  </si>
  <si>
    <t>Date</t>
  </si>
  <si>
    <t>ID</t>
  </si>
  <si>
    <t>Back to Menu</t>
  </si>
  <si>
    <t>FSgt</t>
  </si>
  <si>
    <t>Male</t>
  </si>
  <si>
    <t>UNP</t>
  </si>
  <si>
    <t>8405-21-907-9466</t>
  </si>
  <si>
    <t>Hand Length</t>
  </si>
  <si>
    <t>FTU Pants</t>
  </si>
  <si>
    <t>Email</t>
  </si>
  <si>
    <t>Extra Items</t>
  </si>
  <si>
    <t>UNI</t>
  </si>
  <si>
    <t>Hip</t>
  </si>
  <si>
    <t>XXL</t>
  </si>
  <si>
    <t>Hand</t>
  </si>
  <si>
    <t>R (50 inch)</t>
  </si>
  <si>
    <t>8440-21-905-7384</t>
  </si>
  <si>
    <t>Name</t>
  </si>
  <si>
    <t>In Stock</t>
  </si>
  <si>
    <t xml:space="preserve"> </t>
  </si>
  <si>
    <t>Old Size</t>
  </si>
  <si>
    <t>New Size</t>
  </si>
  <si>
    <t>4XL</t>
  </si>
  <si>
    <t>1000-21-264-2550</t>
  </si>
  <si>
    <t>Pick Up</t>
  </si>
  <si>
    <t>XL/TG</t>
  </si>
  <si>
    <t>8440-20-006-6068</t>
  </si>
  <si>
    <t>L</t>
  </si>
  <si>
    <t>8420-20-001-0734</t>
  </si>
  <si>
    <t>Female</t>
  </si>
  <si>
    <t>36 M</t>
  </si>
  <si>
    <t>1000-21-165-3600</t>
  </si>
  <si>
    <t>XS</t>
  </si>
  <si>
    <t>Complete</t>
  </si>
  <si>
    <t>Toggle Done</t>
  </si>
  <si>
    <t xml:space="preserve">In Stock </t>
  </si>
  <si>
    <t>Ready To Order</t>
  </si>
  <si>
    <t>Ordered</t>
  </si>
  <si>
    <t>Returned</t>
  </si>
  <si>
    <t>Leave Blank</t>
  </si>
  <si>
    <t>Leave Blank2</t>
  </si>
  <si>
    <t>Taylor</t>
  </si>
  <si>
    <t>8420-20-001-0731</t>
  </si>
  <si>
    <t>320/126</t>
  </si>
  <si>
    <t>8430-20-006-2569</t>
  </si>
  <si>
    <t>8405-21-920-7275</t>
  </si>
  <si>
    <t>3XL</t>
  </si>
  <si>
    <t>1000-21-215-7662</t>
  </si>
  <si>
    <t>L (56 inch)</t>
  </si>
  <si>
    <t>8440-21-899-1182</t>
  </si>
  <si>
    <t>Column3</t>
  </si>
  <si>
    <t>NameTag</t>
  </si>
  <si>
    <t>Charlie</t>
  </si>
  <si>
    <t>Not Done</t>
  </si>
  <si>
    <t>In Progress</t>
  </si>
  <si>
    <t>Done</t>
  </si>
  <si>
    <t>Name Colors:</t>
  </si>
  <si>
    <t>Clark</t>
  </si>
  <si>
    <t>74CD899D</t>
  </si>
  <si>
    <t>8405-21-910-8155</t>
  </si>
  <si>
    <t>16-1/2</t>
  </si>
  <si>
    <t>8405-20-001-4512</t>
  </si>
  <si>
    <t>1000-21-070-7058</t>
  </si>
  <si>
    <t>8405-20-004-7489</t>
  </si>
  <si>
    <t>Isabella</t>
  </si>
  <si>
    <t>D098F288</t>
  </si>
  <si>
    <t>1000-21-059-8040</t>
  </si>
  <si>
    <t>8405-20-004-7500</t>
  </si>
  <si>
    <t>16D</t>
  </si>
  <si>
    <t>8430-20-A0X-9353</t>
  </si>
  <si>
    <t>Taylor, Isabella</t>
  </si>
  <si>
    <t>UNP, In Stock</t>
  </si>
  <si>
    <t>Cadet Last Name</t>
  </si>
  <si>
    <t>Cadet First Name</t>
  </si>
  <si>
    <t>TShirt</t>
  </si>
  <si>
    <t>Pant Belt</t>
  </si>
  <si>
    <t>Boots</t>
  </si>
  <si>
    <t>FTU Shirt</t>
  </si>
  <si>
    <t>M</t>
  </si>
  <si>
    <t>XL</t>
  </si>
  <si>
    <t>S</t>
  </si>
  <si>
    <t>265/96</t>
  </si>
  <si>
    <t>Rob</t>
  </si>
  <si>
    <t>Banks</t>
  </si>
  <si>
    <t>Mike</t>
  </si>
  <si>
    <t>Rophone</t>
  </si>
  <si>
    <t>Jesus</t>
  </si>
  <si>
    <t>Christ</t>
  </si>
  <si>
    <t>Dia</t>
  </si>
  <si>
    <t>Rhea</t>
  </si>
  <si>
    <t>AC</t>
  </si>
  <si>
    <t>B4DD32A8</t>
  </si>
  <si>
    <t>8405-21-905-7822</t>
  </si>
  <si>
    <t>8420-20-001-0730</t>
  </si>
  <si>
    <t>8405-21-909-2448</t>
  </si>
  <si>
    <t>8405-20-003-5842</t>
  </si>
  <si>
    <t>8405-21-920-7277</t>
  </si>
  <si>
    <t>8405-20-013-1472</t>
  </si>
  <si>
    <t>8405-20-004-7486</t>
  </si>
  <si>
    <t>8405-20-004-7510</t>
  </si>
  <si>
    <t>747A9E83</t>
  </si>
  <si>
    <t>1000-21-059-8046</t>
  </si>
  <si>
    <t>8420-20-001-0732</t>
  </si>
  <si>
    <t>8405-21-920-7280</t>
  </si>
  <si>
    <t>8405-20-004-7502</t>
  </si>
  <si>
    <t>8405-20-004-7526</t>
  </si>
  <si>
    <t>8405-20-001-4538</t>
  </si>
  <si>
    <t>8405-21-909-2390</t>
  </si>
  <si>
    <t>8405-20-004-7485</t>
  </si>
  <si>
    <t>8405-20-004-7507</t>
  </si>
  <si>
    <t>A5D0E0B7</t>
  </si>
  <si>
    <t>8405-21-905-7817</t>
  </si>
  <si>
    <t>8405-20-001-4501</t>
  </si>
  <si>
    <t>8420-20-001-0728</t>
  </si>
  <si>
    <t>8405-21-909-2441</t>
  </si>
  <si>
    <t>8440-20-006-6070</t>
  </si>
  <si>
    <t>8430-20-006-2534</t>
  </si>
  <si>
    <t>8405-21-920-7090</t>
  </si>
  <si>
    <t>8405-20-004-7483</t>
  </si>
  <si>
    <t>Dia, Rhea</t>
  </si>
  <si>
    <t>Rob, Banks</t>
  </si>
  <si>
    <t>Mike, Rophone</t>
  </si>
  <si>
    <t>6731</t>
  </si>
  <si>
    <t>13</t>
  </si>
  <si>
    <t>6432</t>
  </si>
  <si>
    <t>6 3/8</t>
  </si>
  <si>
    <t>7 1/2</t>
  </si>
  <si>
    <t>8405-20-013-1476</t>
  </si>
  <si>
    <t>8440-20-008-7936</t>
  </si>
  <si>
    <t>6436</t>
  </si>
  <si>
    <t>6427</t>
  </si>
  <si>
    <t>8405-20-004-7506</t>
  </si>
  <si>
    <t>8440-20-008-7934</t>
  </si>
  <si>
    <t>8410-21-912-7786</t>
  </si>
  <si>
    <t>8405-20-003-5841</t>
  </si>
  <si>
    <t>8405-20-013-1471</t>
  </si>
  <si>
    <t>1000-21-198-7644</t>
  </si>
  <si>
    <t>8440-20-006-6069</t>
  </si>
  <si>
    <t>8440-20-006-6072</t>
  </si>
  <si>
    <t>8420-20-001-0711</t>
  </si>
  <si>
    <t>R</t>
  </si>
  <si>
    <t>7</t>
  </si>
  <si>
    <t>8440-20-005-2931</t>
  </si>
  <si>
    <t>1000-21-215-7652</t>
  </si>
  <si>
    <t>Clark, Charlie</t>
  </si>
  <si>
    <t>Jesus, Christ</t>
  </si>
  <si>
    <t>6.125</t>
  </si>
  <si>
    <t>All Status</t>
  </si>
  <si>
    <t>UNP,In Stock,</t>
  </si>
  <si>
    <t>UNP,In Stock,Ordered,</t>
  </si>
  <si>
    <t>UNP,In Stock,Pick Up,Ordered,</t>
  </si>
  <si>
    <t>AE9850BD</t>
  </si>
  <si>
    <t>CB339199</t>
  </si>
  <si>
    <t>Shirt</t>
  </si>
  <si>
    <t>Pants</t>
  </si>
  <si>
    <t>Generate?</t>
  </si>
  <si>
    <t>Y</t>
  </si>
  <si>
    <t>B5B45CA9</t>
  </si>
  <si>
    <t>D1980CB1</t>
  </si>
  <si>
    <t>8L</t>
  </si>
  <si>
    <t>1000-21-165-723</t>
  </si>
  <si>
    <t>6327-1/2 (H38)</t>
  </si>
  <si>
    <t>8410-21-912-3634</t>
  </si>
  <si>
    <t>8440-20-008-7938</t>
  </si>
  <si>
    <t>L/G</t>
  </si>
  <si>
    <t>8405-21-920-7279</t>
  </si>
  <si>
    <t>(2XS / 2TP)</t>
  </si>
  <si>
    <t>1001-21-154-1000</t>
  </si>
  <si>
    <t>6426</t>
  </si>
  <si>
    <t>9D</t>
  </si>
  <si>
    <t>8430-20-A0X-9132</t>
  </si>
  <si>
    <t>13B124BB</t>
  </si>
  <si>
    <t>8BDCFB9F</t>
  </si>
  <si>
    <t>D81CFC8E</t>
  </si>
  <si>
    <t>BB77129F</t>
  </si>
  <si>
    <t>UNP,</t>
  </si>
  <si>
    <t>8405-20-003-5837</t>
  </si>
  <si>
    <t>4C1C4189</t>
  </si>
  <si>
    <t>0CE9F4A1</t>
  </si>
  <si>
    <t>84016FA6</t>
  </si>
  <si>
    <t>17.5</t>
  </si>
  <si>
    <t>Invalid size</t>
  </si>
  <si>
    <t>7.5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</si>
</sst>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###\-###\-####"/>
    <numFmt numFmtId="165" formatCode="yyyy/mm/d\ h:mm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8"/>
      <color theme="2" tint="-0.499984740745262"/>
      <name val="Wingdings 3"/>
      <family val="1"/>
      <charset val="2"/>
    </font>
    <font>
      <sz val="10"/>
      <color theme="2" tint="-0.499984740745262"/>
      <name val="Wingdings 3"/>
      <family val="1"/>
      <charset val="2"/>
    </font>
    <font>
      <sz val="11"/>
      <color theme="2" tint="-0.499984740745262"/>
      <name val="Wingdings 3"/>
      <family val="1"/>
      <charset val="2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Arial"/>
      <family val="2"/>
    </font>
    <font>
      <sz val="8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2"/>
        <bgColor indexed="64"/>
      </patternFill>
    </fill>
    <fill>
      <gradientFill degree="90">
        <stop position="0">
          <color theme="0"/>
        </stop>
        <stop position="1">
          <color rgb="FFCADDEC"/>
        </stop>
      </gradient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A3FB"/>
        <bgColor indexed="64"/>
      </patternFill>
    </fill>
    <fill>
      <patternFill patternType="solid">
        <fgColor rgb="FFFF7575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FC8888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8CFF8C"/>
        <bgColor indexed="64"/>
      </patternFill>
    </fill>
    <fill>
      <patternFill patternType="solid">
        <fgColor rgb="FFFDEA5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B0FFB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/>
      <right style="thin">
        <color theme="2" tint="-0.24994659260841701"/>
      </right>
      <top/>
      <bottom/>
      <diagonal/>
    </border>
    <border>
      <left/>
      <right style="thin">
        <color theme="2" tint="-0.24994659260841701"/>
      </right>
      <top/>
      <bottom style="thin">
        <color theme="2" tint="-0.24994659260841701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0" borderId="0" applyNumberFormat="0" applyFill="0" applyBorder="0" applyAlignment="0" applyProtection="0"/>
  </cellStyleXfs>
  <cellXfs count="82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0" fontId="1" fillId="2" borderId="1" xfId="1" applyBorder="1" applyAlignment="1"/>
    <xf numFmtId="0" fontId="1" fillId="2" borderId="1" xfId="1" applyBorder="1" applyAlignment="1">
      <alignment horizontal="center"/>
    </xf>
    <xf numFmtId="0" fontId="1" fillId="2" borderId="1" xfId="1" applyBorder="1"/>
    <xf numFmtId="0" fontId="3" fillId="3" borderId="7" xfId="2" applyFont="1" applyBorder="1" applyAlignment="1">
      <alignment horizontal="center" vertical="center"/>
    </xf>
    <xf numFmtId="0" fontId="4" fillId="3" borderId="3" xfId="2" applyFont="1" applyBorder="1" applyAlignment="1">
      <alignment horizontal="center" vertical="center"/>
    </xf>
    <xf numFmtId="0" fontId="1" fillId="2" borderId="4" xfId="1" applyBorder="1" applyAlignment="1">
      <alignment horizontal="center"/>
    </xf>
    <xf numFmtId="0" fontId="7" fillId="0" borderId="0" xfId="0" applyFont="1"/>
    <xf numFmtId="0" fontId="10" fillId="0" borderId="0" xfId="0" applyFont="1"/>
    <xf numFmtId="0" fontId="3" fillId="3" borderId="1" xfId="2" applyFont="1" applyBorder="1" applyAlignment="1">
      <alignment horizontal="center" vertical="center"/>
    </xf>
    <xf numFmtId="0" fontId="8" fillId="0" borderId="0" xfId="3" applyFont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1" fillId="7" borderId="1" xfId="1" applyFill="1" applyBorder="1" applyAlignment="1">
      <alignment horizontal="center"/>
    </xf>
    <xf numFmtId="0" fontId="1" fillId="4" borderId="1" xfId="1" applyFill="1" applyBorder="1" applyAlignment="1">
      <alignment horizontal="center"/>
    </xf>
    <xf numFmtId="0" fontId="11" fillId="0" borderId="0" xfId="0" applyFont="1"/>
    <xf numFmtId="0" fontId="10" fillId="5" borderId="0" xfId="3" applyFont="1" applyFill="1" applyBorder="1" applyAlignment="1">
      <alignment horizontal="center" vertical="center"/>
    </xf>
    <xf numFmtId="0" fontId="12" fillId="3" borderId="1" xfId="2" applyFont="1" applyBorder="1" applyAlignment="1">
      <alignment horizontal="center"/>
    </xf>
    <xf numFmtId="0" fontId="12" fillId="3" borderId="9" xfId="2" applyFont="1" applyBorder="1" applyAlignment="1">
      <alignment horizontal="center"/>
    </xf>
    <xf numFmtId="0" fontId="9" fillId="5" borderId="11" xfId="3" applyFont="1" applyFill="1" applyBorder="1" applyAlignment="1">
      <alignment horizontal="center" vertical="center"/>
    </xf>
    <xf numFmtId="0" fontId="10" fillId="5" borderId="11" xfId="3" applyFont="1" applyFill="1" applyBorder="1" applyAlignment="1">
      <alignment horizontal="center" vertical="center"/>
    </xf>
    <xf numFmtId="0" fontId="9" fillId="5" borderId="12" xfId="3" applyFont="1" applyFill="1" applyBorder="1" applyAlignment="1">
      <alignment horizontal="center" vertical="center"/>
    </xf>
    <xf numFmtId="0" fontId="1" fillId="6" borderId="1" xfId="1" applyFill="1" applyBorder="1" applyAlignment="1">
      <alignment horizontal="center"/>
    </xf>
    <xf numFmtId="0" fontId="3" fillId="7" borderId="1" xfId="1" applyFont="1" applyFill="1" applyBorder="1" applyAlignment="1">
      <alignment horizontal="center"/>
    </xf>
    <xf numFmtId="0" fontId="3" fillId="2" borderId="1" xfId="1" applyFont="1" applyBorder="1" applyAlignment="1">
      <alignment horizontal="center"/>
    </xf>
    <xf numFmtId="0" fontId="10" fillId="5" borderId="10" xfId="3" applyFont="1" applyFill="1" applyBorder="1" applyAlignment="1">
      <alignment horizontal="center" vertical="center"/>
    </xf>
    <xf numFmtId="0" fontId="3" fillId="3" borderId="1" xfId="2" applyFont="1" applyBorder="1" applyAlignment="1">
      <alignment horizontal="center" vertical="center" wrapText="1"/>
    </xf>
    <xf numFmtId="0" fontId="5" fillId="0" borderId="9" xfId="3" applyFont="1" applyBorder="1" applyAlignment="1">
      <alignment horizontal="center" vertical="center"/>
    </xf>
    <xf numFmtId="0" fontId="5" fillId="0" borderId="9" xfId="3" applyFont="1" applyBorder="1" applyAlignment="1">
      <alignment horizontal="center" vertical="center" wrapText="1"/>
    </xf>
    <xf numFmtId="0" fontId="0" fillId="8" borderId="0" xfId="0" applyFill="1"/>
    <xf numFmtId="0" fontId="12" fillId="8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2" fillId="0" borderId="0" xfId="3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0" borderId="0" xfId="0" applyFill="1"/>
    <xf numFmtId="0" fontId="0" fillId="15" borderId="0" xfId="0" applyFill="1" applyAlignment="1">
      <alignment horizontal="center" vertical="center"/>
    </xf>
    <xf numFmtId="0" fontId="2" fillId="12" borderId="0" xfId="3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2" fillId="0" borderId="8" xfId="3" applyFill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8" borderId="0" xfId="0" applyFill="1"/>
    <xf numFmtId="0" fontId="2" fillId="0" borderId="0" xfId="3"/>
    <xf numFmtId="0" fontId="0" fillId="19" borderId="0" xfId="0" applyFill="1" applyAlignment="1">
      <alignment horizontal="center" vertical="center"/>
    </xf>
    <xf numFmtId="49" fontId="0" fillId="20" borderId="0" xfId="0" applyNumberFormat="1" applyFill="1"/>
    <xf numFmtId="49" fontId="1" fillId="2" borderId="1" xfId="1" applyNumberFormat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12" fontId="0" fillId="10" borderId="0" xfId="0" applyNumberFormat="1" applyFill="1" applyAlignment="1">
      <alignment horizontal="center" vertical="center"/>
    </xf>
    <xf numFmtId="49" fontId="13" fillId="7" borderId="1" xfId="0" applyNumberFormat="1" applyFont="1" applyFill="1" applyBorder="1" applyAlignment="1">
      <alignment horizontal="center" vertical="center" wrapText="1"/>
    </xf>
    <xf numFmtId="49" fontId="13" fillId="0" borderId="1" xfId="0" applyNumberFormat="1" applyFont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49" fontId="0" fillId="9" borderId="0" xfId="0" applyNumberFormat="1" applyFill="1" applyAlignment="1">
      <alignment horizontal="center" vertical="center"/>
    </xf>
    <xf numFmtId="49" fontId="0" fillId="10" borderId="0" xfId="0" applyNumberFormat="1" applyFill="1" applyAlignment="1">
      <alignment horizontal="center" vertical="center"/>
    </xf>
    <xf numFmtId="49" fontId="0" fillId="18" borderId="0" xfId="0" applyNumberFormat="1" applyFill="1" applyAlignment="1">
      <alignment horizontal="center" vertical="center"/>
    </xf>
    <xf numFmtId="49" fontId="0" fillId="19" borderId="0" xfId="0" applyNumberFormat="1" applyFill="1" applyAlignment="1">
      <alignment horizontal="center" vertical="center"/>
    </xf>
    <xf numFmtId="49" fontId="0" fillId="14" borderId="0" xfId="0" applyNumberForma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2" fillId="8" borderId="0" xfId="0" applyFont="1" applyFill="1" applyAlignment="1">
      <alignment vertical="center" shrinkToFit="1"/>
    </xf>
    <xf numFmtId="0" fontId="5" fillId="0" borderId="9" xfId="3" applyFont="1" applyFill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5" fillId="6" borderId="0" xfId="0" applyFont="1" applyFill="1" applyAlignment="1">
      <alignment horizontal="center" vertical="center"/>
    </xf>
    <xf numFmtId="0" fontId="12" fillId="3" borderId="1" xfId="2" applyFont="1" applyBorder="1" applyAlignment="1">
      <alignment horizontal="center"/>
    </xf>
    <xf numFmtId="0" fontId="1" fillId="2" borderId="1" xfId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1" fillId="2" borderId="4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2" fillId="0" borderId="2" xfId="3" applyBorder="1" applyAlignment="1">
      <alignment horizontal="center" vertical="center"/>
    </xf>
    <xf numFmtId="0" fontId="2" fillId="0" borderId="3" xfId="3" applyBorder="1" applyAlignment="1">
      <alignment horizontal="center" vertical="center"/>
    </xf>
    <xf numFmtId="0" fontId="12" fillId="3" borderId="4" xfId="2" applyFont="1" applyBorder="1" applyAlignment="1">
      <alignment horizontal="center"/>
    </xf>
    <xf numFmtId="0" fontId="12" fillId="3" borderId="5" xfId="2" applyFont="1" applyBorder="1" applyAlignment="1">
      <alignment horizontal="center"/>
    </xf>
    <xf numFmtId="0" fontId="12" fillId="3" borderId="6" xfId="2" applyFont="1" applyBorder="1" applyAlignment="1">
      <alignment horizontal="center"/>
    </xf>
  </cellXfs>
  <cellStyles count="4">
    <cellStyle name="20% - Accent3" xfId="1" builtinId="38"/>
    <cellStyle name="60% - Accent5" xfId="2" builtinId="48"/>
    <cellStyle name="Hyperlink" xfId="3" builtinId="8"/>
    <cellStyle name="Normal" xfId="0" builtinId="0"/>
  </cellStyles>
  <dxfs count="200"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indexed="64"/>
        </right>
      </border>
    </dxf>
    <dxf>
      <fill>
        <patternFill patternType="solid">
          <fgColor indexed="64"/>
          <bgColor rgb="FFFF7575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C8888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ill>
        <patternFill>
          <bgColor theme="0" tint="-0.499984740745262"/>
        </patternFill>
      </fill>
    </dxf>
    <dxf>
      <fill>
        <patternFill>
          <bgColor theme="8" tint="0.39994506668294322"/>
        </patternFill>
      </fill>
    </dxf>
    <dxf>
      <fill>
        <patternFill>
          <bgColor rgb="FFFB873F"/>
        </patternFill>
      </fill>
    </dxf>
    <dxf>
      <fill>
        <patternFill>
          <bgColor rgb="FFF6F66A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BA3FB"/>
        </patternFill>
      </fill>
    </dxf>
    <dxf>
      <fill>
        <patternFill>
          <bgColor rgb="FFFF7575"/>
        </patternFill>
      </fill>
    </dxf>
    <dxf>
      <font>
        <color theme="0"/>
      </font>
      <fill>
        <patternFill>
          <bgColor theme="1"/>
        </patternFill>
      </fill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yyyy/mm/d\ h: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499984740745262"/>
        </patternFill>
      </fill>
    </dxf>
    <dxf>
      <fill>
        <patternFill>
          <bgColor theme="8" tint="0.39994506668294322"/>
        </patternFill>
      </fill>
    </dxf>
    <dxf>
      <fill>
        <patternFill>
          <bgColor rgb="FFFB873F"/>
        </patternFill>
      </fill>
    </dxf>
    <dxf>
      <fill>
        <patternFill>
          <bgColor rgb="FFF6F66A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BA3FB"/>
        </patternFill>
      </fill>
    </dxf>
    <dxf>
      <fill>
        <patternFill>
          <bgColor rgb="FFFF7575"/>
        </patternFill>
      </fill>
    </dxf>
    <dxf>
      <font>
        <color theme="0"/>
      </font>
      <fill>
        <patternFill>
          <bgColor theme="1"/>
        </patternFill>
      </fill>
    </dxf>
    <dxf>
      <font>
        <color theme="1"/>
      </font>
      <fill>
        <patternFill>
          <bgColor theme="2"/>
        </patternFill>
      </fill>
    </dxf>
    <dxf>
      <font>
        <color auto="1"/>
      </font>
    </dxf>
    <dxf>
      <font>
        <b/>
        <i val="0"/>
        <color auto="1"/>
      </font>
      <fill>
        <patternFill>
          <bgColor theme="4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ExchangeTableStyle" pivot="0" count="4" xr9:uid="{92D06C3C-9229-4B94-8318-E57B621B220B}">
      <tableStyleElement type="wholeTable" dxfId="199"/>
      <tableStyleElement type="headerRow" dxfId="198"/>
      <tableStyleElement type="firstRowStripe" dxfId="197"/>
      <tableStyleElement type="secondRowStripe" dxfId="196"/>
    </tableStyle>
  </tableStyles>
  <colors>
    <mruColors>
      <color rgb="FFFC8888"/>
      <color rgb="FFFF7575"/>
      <color rgb="FFFDEA5D"/>
      <color rgb="FF8CFF8C"/>
      <color rgb="FF674EA7"/>
      <color rgb="FF00FF00"/>
      <color rgb="FFFB873F"/>
      <color rgb="FF808080"/>
      <color rgb="FF9BC2E6"/>
      <color rgb="FFFBA3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287433</xdr:colOff>
      <xdr:row>0</xdr:row>
      <xdr:rowOff>247201</xdr:rowOff>
    </xdr:from>
    <xdr:to>
      <xdr:col>7</xdr:col>
      <xdr:colOff>421342</xdr:colOff>
      <xdr:row>1</xdr:row>
      <xdr:rowOff>135031</xdr:rowOff>
    </xdr:to>
    <xdr:sp macro="[0]!ScanAllSheetsAndPrioritizeLabel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189696" y="251011"/>
          <a:ext cx="1362634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Update Status</a:t>
          </a:r>
        </a:p>
      </xdr:txBody>
    </xdr:sp>
    <xdr:clientData/>
  </xdr:twoCellAnchor>
  <xdr:twoCellAnchor editAs="absolute">
    <xdr:from>
      <xdr:col>5</xdr:col>
      <xdr:colOff>247204</xdr:colOff>
      <xdr:row>2</xdr:row>
      <xdr:rowOff>172314</xdr:rowOff>
    </xdr:from>
    <xdr:to>
      <xdr:col>7</xdr:col>
      <xdr:colOff>435462</xdr:colOff>
      <xdr:row>4</xdr:row>
      <xdr:rowOff>163729</xdr:rowOff>
    </xdr:to>
    <xdr:sp macro="[0]!NCInput_Butto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162802" y="1004046"/>
          <a:ext cx="1407458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New Cadet Form</a:t>
          </a:r>
        </a:p>
      </xdr:txBody>
    </xdr:sp>
    <xdr:clientData/>
  </xdr:twoCellAnchor>
  <xdr:twoCellAnchor editAs="absolute">
    <xdr:from>
      <xdr:col>5</xdr:col>
      <xdr:colOff>247202</xdr:colOff>
      <xdr:row>9</xdr:row>
      <xdr:rowOff>84100</xdr:rowOff>
    </xdr:from>
    <xdr:to>
      <xdr:col>7</xdr:col>
      <xdr:colOff>440615</xdr:colOff>
      <xdr:row>11</xdr:row>
      <xdr:rowOff>147855</xdr:rowOff>
    </xdr:to>
    <xdr:sp macro="[0]!ManualBackup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162800" y="2474256"/>
          <a:ext cx="1416423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Manual</a:t>
          </a:r>
          <a:r>
            <a:rPr lang="en-CA" sz="1100" b="0" baseline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 Backup</a:t>
          </a:r>
          <a:endParaRPr lang="en-CA" sz="1100" b="0">
            <a:solidFill>
              <a:schemeClr val="tx1"/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5</xdr:col>
      <xdr:colOff>247203</xdr:colOff>
      <xdr:row>6</xdr:row>
      <xdr:rowOff>90360</xdr:rowOff>
    </xdr:from>
    <xdr:to>
      <xdr:col>7</xdr:col>
      <xdr:colOff>439831</xdr:colOff>
      <xdr:row>7</xdr:row>
      <xdr:rowOff>171589</xdr:rowOff>
    </xdr:to>
    <xdr:sp macro="[0]!OldCadetExchangeButton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162801" y="1739151"/>
          <a:ext cx="1398493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Old Cadet</a:t>
          </a:r>
          <a:r>
            <a:rPr lang="en-CA" sz="1100" b="0" baseline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 Exchange</a:t>
          </a:r>
          <a:endParaRPr lang="en-CA" sz="1100" b="0">
            <a:solidFill>
              <a:schemeClr val="tx1"/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14</xdr:col>
      <xdr:colOff>168984</xdr:colOff>
      <xdr:row>0</xdr:row>
      <xdr:rowOff>93454</xdr:rowOff>
    </xdr:from>
    <xdr:to>
      <xdr:col>16</xdr:col>
      <xdr:colOff>169769</xdr:colOff>
      <xdr:row>0</xdr:row>
      <xdr:rowOff>516141</xdr:rowOff>
    </xdr:to>
    <xdr:sp macro="[0]!NC_Experiment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559552" y="89644"/>
          <a:ext cx="1237130" cy="43030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tx1"/>
              </a:solidFill>
            </a:rPr>
            <a:t>Emergency</a:t>
          </a:r>
          <a:r>
            <a:rPr lang="en-CA" sz="1100" b="1" baseline="0">
              <a:solidFill>
                <a:schemeClr val="tx1"/>
              </a:solidFill>
            </a:rPr>
            <a:t> Test</a:t>
          </a:r>
          <a:endParaRPr lang="en-CA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149629</xdr:colOff>
          <xdr:row>0</xdr:row>
          <xdr:rowOff>49876</xdr:rowOff>
        </xdr:from>
        <xdr:to>
          <xdr:col>24</xdr:col>
          <xdr:colOff>532015</xdr:colOff>
          <xdr:row>0</xdr:row>
          <xdr:rowOff>440575</xdr:rowOff>
        </xdr:to>
        <xdr:sp macro="" textlink="">
          <xdr:nvSpPr>
            <xdr:cNvPr id="164002" name="Button 162" hidden="1">
              <a:extLst>
                <a:ext uri="{63B3BB69-23CF-44E3-9099-C40C66FF867C}">
                  <a14:compatExt spid="_x0000_s164002"/>
                </a:ext>
                <a:ext uri="{FF2B5EF4-FFF2-40B4-BE49-F238E27FC236}">
                  <a16:creationId xmlns:a16="http://schemas.microsoft.com/office/drawing/2014/main" id="{00000000-0008-0000-0100-0000A2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1</xdr:row>
          <xdr:rowOff>0</xdr:rowOff>
        </xdr:from>
        <xdr:to>
          <xdr:col>24</xdr:col>
          <xdr:colOff>0</xdr:colOff>
          <xdr:row>2</xdr:row>
          <xdr:rowOff>0</xdr:rowOff>
        </xdr:to>
        <xdr:sp macro="" textlink="">
          <xdr:nvSpPr>
            <xdr:cNvPr id="164155" name="Complete1" hidden="1">
              <a:extLst>
                <a:ext uri="{63B3BB69-23CF-44E3-9099-C40C66FF867C}">
                  <a14:compatExt spid="_x0000_s164155"/>
                </a:ext>
                <a:ext uri="{FF2B5EF4-FFF2-40B4-BE49-F238E27FC236}">
                  <a16:creationId xmlns:a16="http://schemas.microsoft.com/office/drawing/2014/main" id="{00000000-0008-0000-0100-00003B81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2</xdr:row>
          <xdr:rowOff>0</xdr:rowOff>
        </xdr:from>
        <xdr:to>
          <xdr:col>24</xdr:col>
          <xdr:colOff>0</xdr:colOff>
          <xdr:row>3</xdr:row>
          <xdr:rowOff>0</xdr:rowOff>
        </xdr:to>
        <xdr:sp macro="" textlink="">
          <xdr:nvSpPr>
            <xdr:cNvPr id="164156" name="Complete2" hidden="1">
              <a:extLst>
                <a:ext uri="{63B3BB69-23CF-44E3-9099-C40C66FF867C}">
                  <a14:compatExt spid="_x0000_s164156"/>
                </a:ext>
                <a:ext uri="{FF2B5EF4-FFF2-40B4-BE49-F238E27FC236}">
                  <a16:creationId xmlns:a16="http://schemas.microsoft.com/office/drawing/2014/main" id="{00000000-0008-0000-0100-00003C81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3</xdr:row>
          <xdr:rowOff>0</xdr:rowOff>
        </xdr:from>
        <xdr:to>
          <xdr:col>24</xdr:col>
          <xdr:colOff>0</xdr:colOff>
          <xdr:row>4</xdr:row>
          <xdr:rowOff>0</xdr:rowOff>
        </xdr:to>
        <xdr:sp macro="" textlink="">
          <xdr:nvSpPr>
            <xdr:cNvPr id="164157" name="Complete3" hidden="1">
              <a:extLst>
                <a:ext uri="{63B3BB69-23CF-44E3-9099-C40C66FF867C}">
                  <a14:compatExt spid="_x0000_s164157"/>
                </a:ext>
                <a:ext uri="{FF2B5EF4-FFF2-40B4-BE49-F238E27FC236}">
                  <a16:creationId xmlns:a16="http://schemas.microsoft.com/office/drawing/2014/main" id="{00000000-0008-0000-0100-00003D81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302559</xdr:colOff>
      <xdr:row>0</xdr:row>
      <xdr:rowOff>21739</xdr:rowOff>
    </xdr:from>
    <xdr:to>
      <xdr:col>22</xdr:col>
      <xdr:colOff>854112</xdr:colOff>
      <xdr:row>0</xdr:row>
      <xdr:rowOff>321385</xdr:rowOff>
    </xdr:to>
    <xdr:sp macro="[0]!mas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3534465" y="17929"/>
          <a:ext cx="1275229" cy="295836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Generate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2</xdr:row>
          <xdr:rowOff>0</xdr:rowOff>
        </xdr:from>
        <xdr:to>
          <xdr:col>23</xdr:col>
          <xdr:colOff>0</xdr:colOff>
          <xdr:row>3</xdr:row>
          <xdr:rowOff>0</xdr:rowOff>
        </xdr:to>
        <xdr:sp macro="" textlink="">
          <xdr:nvSpPr>
            <xdr:cNvPr id="260218" name="Toggle2" hidden="1">
              <a:extLst>
                <a:ext uri="{63B3BB69-23CF-44E3-9099-C40C66FF867C}">
                  <a14:compatExt spid="_x0000_s260218"/>
                </a:ext>
                <a:ext uri="{FF2B5EF4-FFF2-40B4-BE49-F238E27FC236}">
                  <a16:creationId xmlns:a16="http://schemas.microsoft.com/office/drawing/2014/main" id="{00000000-0008-0000-0200-00007AF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3</xdr:row>
          <xdr:rowOff>0</xdr:rowOff>
        </xdr:from>
        <xdr:to>
          <xdr:col>23</xdr:col>
          <xdr:colOff>0</xdr:colOff>
          <xdr:row>4</xdr:row>
          <xdr:rowOff>0</xdr:rowOff>
        </xdr:to>
        <xdr:sp macro="" textlink="">
          <xdr:nvSpPr>
            <xdr:cNvPr id="260219" name="Toggle3" hidden="1">
              <a:extLst>
                <a:ext uri="{63B3BB69-23CF-44E3-9099-C40C66FF867C}">
                  <a14:compatExt spid="_x0000_s260219"/>
                </a:ext>
                <a:ext uri="{FF2B5EF4-FFF2-40B4-BE49-F238E27FC236}">
                  <a16:creationId xmlns:a16="http://schemas.microsoft.com/office/drawing/2014/main" id="{00000000-0008-0000-0200-00007BF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4</xdr:row>
          <xdr:rowOff>0</xdr:rowOff>
        </xdr:from>
        <xdr:to>
          <xdr:col>23</xdr:col>
          <xdr:colOff>0</xdr:colOff>
          <xdr:row>5</xdr:row>
          <xdr:rowOff>0</xdr:rowOff>
        </xdr:to>
        <xdr:sp macro="" textlink="">
          <xdr:nvSpPr>
            <xdr:cNvPr id="260220" name="Toggle4" hidden="1">
              <a:extLst>
                <a:ext uri="{63B3BB69-23CF-44E3-9099-C40C66FF867C}">
                  <a14:compatExt spid="_x0000_s260220"/>
                </a:ext>
                <a:ext uri="{FF2B5EF4-FFF2-40B4-BE49-F238E27FC236}">
                  <a16:creationId xmlns:a16="http://schemas.microsoft.com/office/drawing/2014/main" id="{00000000-0008-0000-0200-00007CF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5</xdr:row>
          <xdr:rowOff>0</xdr:rowOff>
        </xdr:from>
        <xdr:to>
          <xdr:col>23</xdr:col>
          <xdr:colOff>0</xdr:colOff>
          <xdr:row>6</xdr:row>
          <xdr:rowOff>0</xdr:rowOff>
        </xdr:to>
        <xdr:sp macro="" textlink="">
          <xdr:nvSpPr>
            <xdr:cNvPr id="260221" name="Toggle5" hidden="1">
              <a:extLst>
                <a:ext uri="{63B3BB69-23CF-44E3-9099-C40C66FF867C}">
                  <a14:compatExt spid="_x0000_s260221"/>
                </a:ext>
                <a:ext uri="{FF2B5EF4-FFF2-40B4-BE49-F238E27FC236}">
                  <a16:creationId xmlns:a16="http://schemas.microsoft.com/office/drawing/2014/main" id="{00000000-0008-0000-0200-00007DF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6</xdr:row>
          <xdr:rowOff>0</xdr:rowOff>
        </xdr:from>
        <xdr:to>
          <xdr:col>23</xdr:col>
          <xdr:colOff>0</xdr:colOff>
          <xdr:row>7</xdr:row>
          <xdr:rowOff>0</xdr:rowOff>
        </xdr:to>
        <xdr:sp macro="" textlink="">
          <xdr:nvSpPr>
            <xdr:cNvPr id="260222" name="Toggle6" hidden="1">
              <a:extLst>
                <a:ext uri="{63B3BB69-23CF-44E3-9099-C40C66FF867C}">
                  <a14:compatExt spid="_x0000_s260222"/>
                </a:ext>
                <a:ext uri="{FF2B5EF4-FFF2-40B4-BE49-F238E27FC236}">
                  <a16:creationId xmlns:a16="http://schemas.microsoft.com/office/drawing/2014/main" id="{00000000-0008-0000-0200-00007EF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7</xdr:row>
          <xdr:rowOff>0</xdr:rowOff>
        </xdr:from>
        <xdr:to>
          <xdr:col>23</xdr:col>
          <xdr:colOff>0</xdr:colOff>
          <xdr:row>8</xdr:row>
          <xdr:rowOff>0</xdr:rowOff>
        </xdr:to>
        <xdr:sp macro="" textlink="">
          <xdr:nvSpPr>
            <xdr:cNvPr id="260223" name="Toggle7" hidden="1">
              <a:extLst>
                <a:ext uri="{63B3BB69-23CF-44E3-9099-C40C66FF867C}">
                  <a14:compatExt spid="_x0000_s260223"/>
                </a:ext>
                <a:ext uri="{FF2B5EF4-FFF2-40B4-BE49-F238E27FC236}">
                  <a16:creationId xmlns:a16="http://schemas.microsoft.com/office/drawing/2014/main" id="{00000000-0008-0000-0200-00007FF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8</xdr:row>
          <xdr:rowOff>0</xdr:rowOff>
        </xdr:from>
        <xdr:to>
          <xdr:col>23</xdr:col>
          <xdr:colOff>0</xdr:colOff>
          <xdr:row>9</xdr:row>
          <xdr:rowOff>0</xdr:rowOff>
        </xdr:to>
        <xdr:sp macro="" textlink="">
          <xdr:nvSpPr>
            <xdr:cNvPr id="260224" name="Toggle8" hidden="1">
              <a:extLst>
                <a:ext uri="{63B3BB69-23CF-44E3-9099-C40C66FF867C}">
                  <a14:compatExt spid="_x0000_s260224"/>
                </a:ext>
                <a:ext uri="{FF2B5EF4-FFF2-40B4-BE49-F238E27FC236}">
                  <a16:creationId xmlns:a16="http://schemas.microsoft.com/office/drawing/2014/main" id="{00000000-0008-0000-0200-000080F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9</xdr:row>
          <xdr:rowOff>0</xdr:rowOff>
        </xdr:from>
        <xdr:to>
          <xdr:col>23</xdr:col>
          <xdr:colOff>0</xdr:colOff>
          <xdr:row>10</xdr:row>
          <xdr:rowOff>0</xdr:rowOff>
        </xdr:to>
        <xdr:sp macro="" textlink="">
          <xdr:nvSpPr>
            <xdr:cNvPr id="260225" name="Toggle9" hidden="1">
              <a:extLst>
                <a:ext uri="{63B3BB69-23CF-44E3-9099-C40C66FF867C}">
                  <a14:compatExt spid="_x0000_s260225"/>
                </a:ext>
                <a:ext uri="{FF2B5EF4-FFF2-40B4-BE49-F238E27FC236}">
                  <a16:creationId xmlns:a16="http://schemas.microsoft.com/office/drawing/2014/main" id="{00000000-0008-0000-0200-000081F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10</xdr:row>
          <xdr:rowOff>0</xdr:rowOff>
        </xdr:from>
        <xdr:to>
          <xdr:col>23</xdr:col>
          <xdr:colOff>0</xdr:colOff>
          <xdr:row>11</xdr:row>
          <xdr:rowOff>0</xdr:rowOff>
        </xdr:to>
        <xdr:sp macro="" textlink="">
          <xdr:nvSpPr>
            <xdr:cNvPr id="260226" name="Toggle10" hidden="1">
              <a:extLst>
                <a:ext uri="{63B3BB69-23CF-44E3-9099-C40C66FF867C}">
                  <a14:compatExt spid="_x0000_s260226"/>
                </a:ext>
                <a:ext uri="{FF2B5EF4-FFF2-40B4-BE49-F238E27FC236}">
                  <a16:creationId xmlns:a16="http://schemas.microsoft.com/office/drawing/2014/main" id="{00000000-0008-0000-0200-000082F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16625</xdr:colOff>
          <xdr:row>10</xdr:row>
          <xdr:rowOff>191193</xdr:rowOff>
        </xdr:from>
        <xdr:to>
          <xdr:col>12</xdr:col>
          <xdr:colOff>16625</xdr:colOff>
          <xdr:row>12</xdr:row>
          <xdr:rowOff>174567</xdr:rowOff>
        </xdr:to>
        <xdr:sp macro="" textlink="">
          <xdr:nvSpPr>
            <xdr:cNvPr id="364545" name="Button 1" hidden="1">
              <a:extLst>
                <a:ext uri="{63B3BB69-23CF-44E3-9099-C40C66FF867C}">
                  <a14:compatExt spid="_x0000_s364545"/>
                </a:ext>
                <a:ext uri="{FF2B5EF4-FFF2-40B4-BE49-F238E27FC236}">
                  <a16:creationId xmlns:a16="http://schemas.microsoft.com/office/drawing/2014/main" id="{00000000-0008-0000-0400-000001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216131</xdr:rowOff>
        </xdr:from>
        <xdr:to>
          <xdr:col>12</xdr:col>
          <xdr:colOff>33251</xdr:colOff>
          <xdr:row>21</xdr:row>
          <xdr:rowOff>157942</xdr:rowOff>
        </xdr:to>
        <xdr:sp macro="" textlink="">
          <xdr:nvSpPr>
            <xdr:cNvPr id="364546" name="Button 2" hidden="1">
              <a:extLst>
                <a:ext uri="{63B3BB69-23CF-44E3-9099-C40C66FF867C}">
                  <a14:compatExt spid="_x0000_s364546"/>
                </a:ext>
                <a:ext uri="{FF2B5EF4-FFF2-40B4-BE49-F238E27FC236}">
                  <a16:creationId xmlns:a16="http://schemas.microsoft.com/office/drawing/2014/main" id="{00000000-0008-0000-0400-000002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32</xdr:row>
          <xdr:rowOff>166255</xdr:rowOff>
        </xdr:from>
        <xdr:to>
          <xdr:col>12</xdr:col>
          <xdr:colOff>0</xdr:colOff>
          <xdr:row>33</xdr:row>
          <xdr:rowOff>174567</xdr:rowOff>
        </xdr:to>
        <xdr:sp macro="" textlink="">
          <xdr:nvSpPr>
            <xdr:cNvPr id="364547" name="Button 3" hidden="1">
              <a:extLst>
                <a:ext uri="{63B3BB69-23CF-44E3-9099-C40C66FF867C}">
                  <a14:compatExt spid="_x0000_s364547"/>
                </a:ext>
                <a:ext uri="{FF2B5EF4-FFF2-40B4-BE49-F238E27FC236}">
                  <a16:creationId xmlns:a16="http://schemas.microsoft.com/office/drawing/2014/main" id="{00000000-0008-0000-0400-000003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30</xdr:row>
          <xdr:rowOff>174567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64548" name="Button 4" hidden="1">
              <a:extLst>
                <a:ext uri="{63B3BB69-23CF-44E3-9099-C40C66FF867C}">
                  <a14:compatExt spid="_x0000_s364548"/>
                </a:ext>
                <a:ext uri="{FF2B5EF4-FFF2-40B4-BE49-F238E27FC236}">
                  <a16:creationId xmlns:a16="http://schemas.microsoft.com/office/drawing/2014/main" id="{00000000-0008-0000-0400-000004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174567</xdr:rowOff>
        </xdr:from>
        <xdr:to>
          <xdr:col>12</xdr:col>
          <xdr:colOff>8313</xdr:colOff>
          <xdr:row>26</xdr:row>
          <xdr:rowOff>108065</xdr:rowOff>
        </xdr:to>
        <xdr:sp macro="" textlink="">
          <xdr:nvSpPr>
            <xdr:cNvPr id="364549" name="Button 5" hidden="1">
              <a:extLst>
                <a:ext uri="{63B3BB69-23CF-44E3-9099-C40C66FF867C}">
                  <a14:compatExt spid="_x0000_s364549"/>
                </a:ext>
                <a:ext uri="{FF2B5EF4-FFF2-40B4-BE49-F238E27FC236}">
                  <a16:creationId xmlns:a16="http://schemas.microsoft.com/office/drawing/2014/main" id="{00000000-0008-0000-0400-000005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16625</xdr:colOff>
          <xdr:row>10</xdr:row>
          <xdr:rowOff>191193</xdr:rowOff>
        </xdr:from>
        <xdr:to>
          <xdr:col>12</xdr:col>
          <xdr:colOff>16625</xdr:colOff>
          <xdr:row>12</xdr:row>
          <xdr:rowOff>174567</xdr:rowOff>
        </xdr:to>
        <xdr:sp macro="" textlink="">
          <xdr:nvSpPr>
            <xdr:cNvPr id="365569" name="Button 1" hidden="1">
              <a:extLst>
                <a:ext uri="{63B3BB69-23CF-44E3-9099-C40C66FF867C}">
                  <a14:compatExt spid="_x0000_s365569"/>
                </a:ext>
                <a:ext uri="{FF2B5EF4-FFF2-40B4-BE49-F238E27FC236}">
                  <a16:creationId xmlns:a16="http://schemas.microsoft.com/office/drawing/2014/main" id="{00000000-0008-0000-0500-000001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216131</xdr:rowOff>
        </xdr:from>
        <xdr:to>
          <xdr:col>12</xdr:col>
          <xdr:colOff>33251</xdr:colOff>
          <xdr:row>21</xdr:row>
          <xdr:rowOff>157942</xdr:rowOff>
        </xdr:to>
        <xdr:sp macro="" textlink="">
          <xdr:nvSpPr>
            <xdr:cNvPr id="365570" name="Button 2" hidden="1">
              <a:extLst>
                <a:ext uri="{63B3BB69-23CF-44E3-9099-C40C66FF867C}">
                  <a14:compatExt spid="_x0000_s365570"/>
                </a:ext>
                <a:ext uri="{FF2B5EF4-FFF2-40B4-BE49-F238E27FC236}">
                  <a16:creationId xmlns:a16="http://schemas.microsoft.com/office/drawing/2014/main" id="{00000000-0008-0000-0500-000002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32</xdr:row>
          <xdr:rowOff>166255</xdr:rowOff>
        </xdr:from>
        <xdr:to>
          <xdr:col>12</xdr:col>
          <xdr:colOff>0</xdr:colOff>
          <xdr:row>33</xdr:row>
          <xdr:rowOff>174567</xdr:rowOff>
        </xdr:to>
        <xdr:sp macro="" textlink="">
          <xdr:nvSpPr>
            <xdr:cNvPr id="365571" name="Button 3" hidden="1">
              <a:extLst>
                <a:ext uri="{63B3BB69-23CF-44E3-9099-C40C66FF867C}">
                  <a14:compatExt spid="_x0000_s365571"/>
                </a:ext>
                <a:ext uri="{FF2B5EF4-FFF2-40B4-BE49-F238E27FC236}">
                  <a16:creationId xmlns:a16="http://schemas.microsoft.com/office/drawing/2014/main" id="{00000000-0008-0000-0500-000003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30</xdr:row>
          <xdr:rowOff>174567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65572" name="Button 4" hidden="1">
              <a:extLst>
                <a:ext uri="{63B3BB69-23CF-44E3-9099-C40C66FF867C}">
                  <a14:compatExt spid="_x0000_s365572"/>
                </a:ext>
                <a:ext uri="{FF2B5EF4-FFF2-40B4-BE49-F238E27FC236}">
                  <a16:creationId xmlns:a16="http://schemas.microsoft.com/office/drawing/2014/main" id="{00000000-0008-0000-0500-000004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174567</xdr:rowOff>
        </xdr:from>
        <xdr:to>
          <xdr:col>12</xdr:col>
          <xdr:colOff>8313</xdr:colOff>
          <xdr:row>26</xdr:row>
          <xdr:rowOff>108065</xdr:rowOff>
        </xdr:to>
        <xdr:sp macro="" textlink="">
          <xdr:nvSpPr>
            <xdr:cNvPr id="365573" name="Button 5" hidden="1">
              <a:extLst>
                <a:ext uri="{63B3BB69-23CF-44E3-9099-C40C66FF867C}">
                  <a14:compatExt spid="_x0000_s365573"/>
                </a:ext>
                <a:ext uri="{FF2B5EF4-FFF2-40B4-BE49-F238E27FC236}">
                  <a16:creationId xmlns:a16="http://schemas.microsoft.com/office/drawing/2014/main" id="{00000000-0008-0000-0500-000005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16625</xdr:colOff>
          <xdr:row>10</xdr:row>
          <xdr:rowOff>191193</xdr:rowOff>
        </xdr:from>
        <xdr:to>
          <xdr:col>12</xdr:col>
          <xdr:colOff>16625</xdr:colOff>
          <xdr:row>12</xdr:row>
          <xdr:rowOff>174567</xdr:rowOff>
        </xdr:to>
        <xdr:sp macro="" textlink="">
          <xdr:nvSpPr>
            <xdr:cNvPr id="366593" name="Button 1" hidden="1">
              <a:extLst>
                <a:ext uri="{63B3BB69-23CF-44E3-9099-C40C66FF867C}">
                  <a14:compatExt spid="_x0000_s366593"/>
                </a:ext>
                <a:ext uri="{FF2B5EF4-FFF2-40B4-BE49-F238E27FC236}">
                  <a16:creationId xmlns:a16="http://schemas.microsoft.com/office/drawing/2014/main" id="{00000000-0008-0000-0600-000001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216131</xdr:rowOff>
        </xdr:from>
        <xdr:to>
          <xdr:col>12</xdr:col>
          <xdr:colOff>33251</xdr:colOff>
          <xdr:row>21</xdr:row>
          <xdr:rowOff>157942</xdr:rowOff>
        </xdr:to>
        <xdr:sp macro="" textlink="">
          <xdr:nvSpPr>
            <xdr:cNvPr id="366594" name="Button 2" hidden="1">
              <a:extLst>
                <a:ext uri="{63B3BB69-23CF-44E3-9099-C40C66FF867C}">
                  <a14:compatExt spid="_x0000_s366594"/>
                </a:ext>
                <a:ext uri="{FF2B5EF4-FFF2-40B4-BE49-F238E27FC236}">
                  <a16:creationId xmlns:a16="http://schemas.microsoft.com/office/drawing/2014/main" id="{00000000-0008-0000-0600-000002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32</xdr:row>
          <xdr:rowOff>166255</xdr:rowOff>
        </xdr:from>
        <xdr:to>
          <xdr:col>12</xdr:col>
          <xdr:colOff>0</xdr:colOff>
          <xdr:row>33</xdr:row>
          <xdr:rowOff>174567</xdr:rowOff>
        </xdr:to>
        <xdr:sp macro="" textlink="">
          <xdr:nvSpPr>
            <xdr:cNvPr id="366595" name="Button 3" hidden="1">
              <a:extLst>
                <a:ext uri="{63B3BB69-23CF-44E3-9099-C40C66FF867C}">
                  <a14:compatExt spid="_x0000_s366595"/>
                </a:ext>
                <a:ext uri="{FF2B5EF4-FFF2-40B4-BE49-F238E27FC236}">
                  <a16:creationId xmlns:a16="http://schemas.microsoft.com/office/drawing/2014/main" id="{00000000-0008-0000-0600-000003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30</xdr:row>
          <xdr:rowOff>174567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66596" name="Button 4" hidden="1">
              <a:extLst>
                <a:ext uri="{63B3BB69-23CF-44E3-9099-C40C66FF867C}">
                  <a14:compatExt spid="_x0000_s366596"/>
                </a:ext>
                <a:ext uri="{FF2B5EF4-FFF2-40B4-BE49-F238E27FC236}">
                  <a16:creationId xmlns:a16="http://schemas.microsoft.com/office/drawing/2014/main" id="{00000000-0008-0000-0600-000004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174567</xdr:rowOff>
        </xdr:from>
        <xdr:to>
          <xdr:col>12</xdr:col>
          <xdr:colOff>8313</xdr:colOff>
          <xdr:row>26</xdr:row>
          <xdr:rowOff>108065</xdr:rowOff>
        </xdr:to>
        <xdr:sp macro="" textlink="">
          <xdr:nvSpPr>
            <xdr:cNvPr id="366597" name="Button 5" hidden="1">
              <a:extLst>
                <a:ext uri="{63B3BB69-23CF-44E3-9099-C40C66FF867C}">
                  <a14:compatExt spid="_x0000_s366597"/>
                </a:ext>
                <a:ext uri="{FF2B5EF4-FFF2-40B4-BE49-F238E27FC236}">
                  <a16:creationId xmlns:a16="http://schemas.microsoft.com/office/drawing/2014/main" id="{00000000-0008-0000-0600-000005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16625</xdr:colOff>
          <xdr:row>10</xdr:row>
          <xdr:rowOff>191193</xdr:rowOff>
        </xdr:from>
        <xdr:to>
          <xdr:col>12</xdr:col>
          <xdr:colOff>16625</xdr:colOff>
          <xdr:row>12</xdr:row>
          <xdr:rowOff>174567</xdr:rowOff>
        </xdr:to>
        <xdr:sp macro="" textlink="">
          <xdr:nvSpPr>
            <xdr:cNvPr id="367617" name="Button 1" hidden="1">
              <a:extLst>
                <a:ext uri="{63B3BB69-23CF-44E3-9099-C40C66FF867C}">
                  <a14:compatExt spid="_x0000_s367617"/>
                </a:ext>
                <a:ext uri="{FF2B5EF4-FFF2-40B4-BE49-F238E27FC236}">
                  <a16:creationId xmlns:a16="http://schemas.microsoft.com/office/drawing/2014/main" id="{00000000-0008-0000-0700-0000019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216131</xdr:rowOff>
        </xdr:from>
        <xdr:to>
          <xdr:col>12</xdr:col>
          <xdr:colOff>33251</xdr:colOff>
          <xdr:row>21</xdr:row>
          <xdr:rowOff>157942</xdr:rowOff>
        </xdr:to>
        <xdr:sp macro="" textlink="">
          <xdr:nvSpPr>
            <xdr:cNvPr id="367618" name="Button 2" hidden="1">
              <a:extLst>
                <a:ext uri="{63B3BB69-23CF-44E3-9099-C40C66FF867C}">
                  <a14:compatExt spid="_x0000_s367618"/>
                </a:ext>
                <a:ext uri="{FF2B5EF4-FFF2-40B4-BE49-F238E27FC236}">
                  <a16:creationId xmlns:a16="http://schemas.microsoft.com/office/drawing/2014/main" id="{00000000-0008-0000-0700-0000029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32</xdr:row>
          <xdr:rowOff>166255</xdr:rowOff>
        </xdr:from>
        <xdr:to>
          <xdr:col>12</xdr:col>
          <xdr:colOff>0</xdr:colOff>
          <xdr:row>33</xdr:row>
          <xdr:rowOff>174567</xdr:rowOff>
        </xdr:to>
        <xdr:sp macro="" textlink="">
          <xdr:nvSpPr>
            <xdr:cNvPr id="367619" name="Button 3" hidden="1">
              <a:extLst>
                <a:ext uri="{63B3BB69-23CF-44E3-9099-C40C66FF867C}">
                  <a14:compatExt spid="_x0000_s367619"/>
                </a:ext>
                <a:ext uri="{FF2B5EF4-FFF2-40B4-BE49-F238E27FC236}">
                  <a16:creationId xmlns:a16="http://schemas.microsoft.com/office/drawing/2014/main" id="{00000000-0008-0000-0700-0000039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30</xdr:row>
          <xdr:rowOff>174567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67620" name="Button 4" hidden="1">
              <a:extLst>
                <a:ext uri="{63B3BB69-23CF-44E3-9099-C40C66FF867C}">
                  <a14:compatExt spid="_x0000_s367620"/>
                </a:ext>
                <a:ext uri="{FF2B5EF4-FFF2-40B4-BE49-F238E27FC236}">
                  <a16:creationId xmlns:a16="http://schemas.microsoft.com/office/drawing/2014/main" id="{00000000-0008-0000-0700-0000049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174567</xdr:rowOff>
        </xdr:from>
        <xdr:to>
          <xdr:col>12</xdr:col>
          <xdr:colOff>8313</xdr:colOff>
          <xdr:row>26</xdr:row>
          <xdr:rowOff>108065</xdr:rowOff>
        </xdr:to>
        <xdr:sp macro="" textlink="">
          <xdr:nvSpPr>
            <xdr:cNvPr id="367621" name="Button 5" hidden="1">
              <a:extLst>
                <a:ext uri="{63B3BB69-23CF-44E3-9099-C40C66FF867C}">
                  <a14:compatExt spid="_x0000_s367621"/>
                </a:ext>
                <a:ext uri="{FF2B5EF4-FFF2-40B4-BE49-F238E27FC236}">
                  <a16:creationId xmlns:a16="http://schemas.microsoft.com/office/drawing/2014/main" id="{00000000-0008-0000-0700-0000059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16625</xdr:colOff>
          <xdr:row>10</xdr:row>
          <xdr:rowOff>191193</xdr:rowOff>
        </xdr:from>
        <xdr:to>
          <xdr:col>12</xdr:col>
          <xdr:colOff>16625</xdr:colOff>
          <xdr:row>12</xdr:row>
          <xdr:rowOff>174567</xdr:rowOff>
        </xdr:to>
        <xdr:sp macro="" textlink="">
          <xdr:nvSpPr>
            <xdr:cNvPr id="368641" name="Button 1" hidden="1">
              <a:extLst>
                <a:ext uri="{63B3BB69-23CF-44E3-9099-C40C66FF867C}">
                  <a14:compatExt spid="_x0000_s368641"/>
                </a:ext>
                <a:ext uri="{FF2B5EF4-FFF2-40B4-BE49-F238E27FC236}">
                  <a16:creationId xmlns:a16="http://schemas.microsoft.com/office/drawing/2014/main" id="{00000000-0008-0000-0800-000001A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216131</xdr:rowOff>
        </xdr:from>
        <xdr:to>
          <xdr:col>12</xdr:col>
          <xdr:colOff>33251</xdr:colOff>
          <xdr:row>21</xdr:row>
          <xdr:rowOff>157942</xdr:rowOff>
        </xdr:to>
        <xdr:sp macro="" textlink="">
          <xdr:nvSpPr>
            <xdr:cNvPr id="368642" name="Button 2" hidden="1">
              <a:extLst>
                <a:ext uri="{63B3BB69-23CF-44E3-9099-C40C66FF867C}">
                  <a14:compatExt spid="_x0000_s368642"/>
                </a:ext>
                <a:ext uri="{FF2B5EF4-FFF2-40B4-BE49-F238E27FC236}">
                  <a16:creationId xmlns:a16="http://schemas.microsoft.com/office/drawing/2014/main" id="{00000000-0008-0000-0800-000002A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32</xdr:row>
          <xdr:rowOff>166255</xdr:rowOff>
        </xdr:from>
        <xdr:to>
          <xdr:col>12</xdr:col>
          <xdr:colOff>0</xdr:colOff>
          <xdr:row>33</xdr:row>
          <xdr:rowOff>174567</xdr:rowOff>
        </xdr:to>
        <xdr:sp macro="" textlink="">
          <xdr:nvSpPr>
            <xdr:cNvPr id="368643" name="Button 3" hidden="1">
              <a:extLst>
                <a:ext uri="{63B3BB69-23CF-44E3-9099-C40C66FF867C}">
                  <a14:compatExt spid="_x0000_s368643"/>
                </a:ext>
                <a:ext uri="{FF2B5EF4-FFF2-40B4-BE49-F238E27FC236}">
                  <a16:creationId xmlns:a16="http://schemas.microsoft.com/office/drawing/2014/main" id="{00000000-0008-0000-0800-000003A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30</xdr:row>
          <xdr:rowOff>174567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68644" name="Button 4" hidden="1">
              <a:extLst>
                <a:ext uri="{63B3BB69-23CF-44E3-9099-C40C66FF867C}">
                  <a14:compatExt spid="_x0000_s368644"/>
                </a:ext>
                <a:ext uri="{FF2B5EF4-FFF2-40B4-BE49-F238E27FC236}">
                  <a16:creationId xmlns:a16="http://schemas.microsoft.com/office/drawing/2014/main" id="{00000000-0008-0000-0800-000004A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174567</xdr:rowOff>
        </xdr:from>
        <xdr:to>
          <xdr:col>12</xdr:col>
          <xdr:colOff>8313</xdr:colOff>
          <xdr:row>26</xdr:row>
          <xdr:rowOff>108065</xdr:rowOff>
        </xdr:to>
        <xdr:sp macro="" textlink="">
          <xdr:nvSpPr>
            <xdr:cNvPr id="368645" name="Button 5" hidden="1">
              <a:extLst>
                <a:ext uri="{63B3BB69-23CF-44E3-9099-C40C66FF867C}">
                  <a14:compatExt spid="_x0000_s368645"/>
                </a:ext>
                <a:ext uri="{FF2B5EF4-FFF2-40B4-BE49-F238E27FC236}">
                  <a16:creationId xmlns:a16="http://schemas.microsoft.com/office/drawing/2014/main" id="{00000000-0008-0000-0800-000005A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16625</xdr:colOff>
          <xdr:row>10</xdr:row>
          <xdr:rowOff>191193</xdr:rowOff>
        </xdr:from>
        <xdr:to>
          <xdr:col>12</xdr:col>
          <xdr:colOff>16625</xdr:colOff>
          <xdr:row>12</xdr:row>
          <xdr:rowOff>174567</xdr:rowOff>
        </xdr:to>
        <xdr:sp macro="" textlink="">
          <xdr:nvSpPr>
            <xdr:cNvPr id="369665" name="Button 1" hidden="1">
              <a:extLst>
                <a:ext uri="{63B3BB69-23CF-44E3-9099-C40C66FF867C}">
                  <a14:compatExt spid="_x0000_s369665"/>
                </a:ext>
                <a:ext uri="{FF2B5EF4-FFF2-40B4-BE49-F238E27FC236}">
                  <a16:creationId xmlns:a16="http://schemas.microsoft.com/office/drawing/2014/main" id="{00000000-0008-0000-0900-000001A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216131</xdr:rowOff>
        </xdr:from>
        <xdr:to>
          <xdr:col>12</xdr:col>
          <xdr:colOff>33251</xdr:colOff>
          <xdr:row>21</xdr:row>
          <xdr:rowOff>157942</xdr:rowOff>
        </xdr:to>
        <xdr:sp macro="" textlink="">
          <xdr:nvSpPr>
            <xdr:cNvPr id="369666" name="Button 2" hidden="1">
              <a:extLst>
                <a:ext uri="{63B3BB69-23CF-44E3-9099-C40C66FF867C}">
                  <a14:compatExt spid="_x0000_s369666"/>
                </a:ext>
                <a:ext uri="{FF2B5EF4-FFF2-40B4-BE49-F238E27FC236}">
                  <a16:creationId xmlns:a16="http://schemas.microsoft.com/office/drawing/2014/main" id="{00000000-0008-0000-0900-000002A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32</xdr:row>
          <xdr:rowOff>166255</xdr:rowOff>
        </xdr:from>
        <xdr:to>
          <xdr:col>12</xdr:col>
          <xdr:colOff>0</xdr:colOff>
          <xdr:row>33</xdr:row>
          <xdr:rowOff>174567</xdr:rowOff>
        </xdr:to>
        <xdr:sp macro="" textlink="">
          <xdr:nvSpPr>
            <xdr:cNvPr id="369667" name="Button 3" hidden="1">
              <a:extLst>
                <a:ext uri="{63B3BB69-23CF-44E3-9099-C40C66FF867C}">
                  <a14:compatExt spid="_x0000_s369667"/>
                </a:ext>
                <a:ext uri="{FF2B5EF4-FFF2-40B4-BE49-F238E27FC236}">
                  <a16:creationId xmlns:a16="http://schemas.microsoft.com/office/drawing/2014/main" id="{00000000-0008-0000-0900-000003A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30</xdr:row>
          <xdr:rowOff>174567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69668" name="Button 4" hidden="1">
              <a:extLst>
                <a:ext uri="{63B3BB69-23CF-44E3-9099-C40C66FF867C}">
                  <a14:compatExt spid="_x0000_s369668"/>
                </a:ext>
                <a:ext uri="{FF2B5EF4-FFF2-40B4-BE49-F238E27FC236}">
                  <a16:creationId xmlns:a16="http://schemas.microsoft.com/office/drawing/2014/main" id="{00000000-0008-0000-0900-000004A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174567</xdr:rowOff>
        </xdr:from>
        <xdr:to>
          <xdr:col>12</xdr:col>
          <xdr:colOff>8313</xdr:colOff>
          <xdr:row>26</xdr:row>
          <xdr:rowOff>108065</xdr:rowOff>
        </xdr:to>
        <xdr:sp macro="" textlink="">
          <xdr:nvSpPr>
            <xdr:cNvPr id="369669" name="Button 5" hidden="1">
              <a:extLst>
                <a:ext uri="{63B3BB69-23CF-44E3-9099-C40C66FF867C}">
                  <a14:compatExt spid="_x0000_s369669"/>
                </a:ext>
                <a:ext uri="{FF2B5EF4-FFF2-40B4-BE49-F238E27FC236}">
                  <a16:creationId xmlns:a16="http://schemas.microsoft.com/office/drawing/2014/main" id="{00000000-0008-0000-0900-000005A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16625</xdr:colOff>
          <xdr:row>10</xdr:row>
          <xdr:rowOff>191193</xdr:rowOff>
        </xdr:from>
        <xdr:to>
          <xdr:col>12</xdr:col>
          <xdr:colOff>16625</xdr:colOff>
          <xdr:row>12</xdr:row>
          <xdr:rowOff>174567</xdr:rowOff>
        </xdr:to>
        <xdr:sp macro="" textlink="">
          <xdr:nvSpPr>
            <xdr:cNvPr id="370689" name="Button 1" hidden="1">
              <a:extLst>
                <a:ext uri="{63B3BB69-23CF-44E3-9099-C40C66FF867C}">
                  <a14:compatExt spid="_x0000_s370689"/>
                </a:ext>
                <a:ext uri="{FF2B5EF4-FFF2-40B4-BE49-F238E27FC236}">
                  <a16:creationId xmlns:a16="http://schemas.microsoft.com/office/drawing/2014/main" id="{00000000-0008-0000-0A00-000001A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216131</xdr:rowOff>
        </xdr:from>
        <xdr:to>
          <xdr:col>12</xdr:col>
          <xdr:colOff>33251</xdr:colOff>
          <xdr:row>21</xdr:row>
          <xdr:rowOff>157942</xdr:rowOff>
        </xdr:to>
        <xdr:sp macro="" textlink="">
          <xdr:nvSpPr>
            <xdr:cNvPr id="370690" name="Button 2" hidden="1">
              <a:extLst>
                <a:ext uri="{63B3BB69-23CF-44E3-9099-C40C66FF867C}">
                  <a14:compatExt spid="_x0000_s370690"/>
                </a:ext>
                <a:ext uri="{FF2B5EF4-FFF2-40B4-BE49-F238E27FC236}">
                  <a16:creationId xmlns:a16="http://schemas.microsoft.com/office/drawing/2014/main" id="{00000000-0008-0000-0A00-000002A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32</xdr:row>
          <xdr:rowOff>166255</xdr:rowOff>
        </xdr:from>
        <xdr:to>
          <xdr:col>12</xdr:col>
          <xdr:colOff>0</xdr:colOff>
          <xdr:row>33</xdr:row>
          <xdr:rowOff>174567</xdr:rowOff>
        </xdr:to>
        <xdr:sp macro="" textlink="">
          <xdr:nvSpPr>
            <xdr:cNvPr id="370691" name="Button 3" hidden="1">
              <a:extLst>
                <a:ext uri="{63B3BB69-23CF-44E3-9099-C40C66FF867C}">
                  <a14:compatExt spid="_x0000_s370691"/>
                </a:ext>
                <a:ext uri="{FF2B5EF4-FFF2-40B4-BE49-F238E27FC236}">
                  <a16:creationId xmlns:a16="http://schemas.microsoft.com/office/drawing/2014/main" id="{00000000-0008-0000-0A00-000003A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30</xdr:row>
          <xdr:rowOff>174567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70692" name="Button 4" hidden="1">
              <a:extLst>
                <a:ext uri="{63B3BB69-23CF-44E3-9099-C40C66FF867C}">
                  <a14:compatExt spid="_x0000_s370692"/>
                </a:ext>
                <a:ext uri="{FF2B5EF4-FFF2-40B4-BE49-F238E27FC236}">
                  <a16:creationId xmlns:a16="http://schemas.microsoft.com/office/drawing/2014/main" id="{00000000-0008-0000-0A00-000004A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174567</xdr:rowOff>
        </xdr:from>
        <xdr:to>
          <xdr:col>12</xdr:col>
          <xdr:colOff>8313</xdr:colOff>
          <xdr:row>26</xdr:row>
          <xdr:rowOff>108065</xdr:rowOff>
        </xdr:to>
        <xdr:sp macro="" textlink="">
          <xdr:nvSpPr>
            <xdr:cNvPr id="370693" name="Button 5" hidden="1">
              <a:extLst>
                <a:ext uri="{63B3BB69-23CF-44E3-9099-C40C66FF867C}">
                  <a14:compatExt spid="_x0000_s370693"/>
                </a:ext>
                <a:ext uri="{FF2B5EF4-FFF2-40B4-BE49-F238E27FC236}">
                  <a16:creationId xmlns:a16="http://schemas.microsoft.com/office/drawing/2014/main" id="{00000000-0008-0000-0A00-000005A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16625</xdr:colOff>
          <xdr:row>10</xdr:row>
          <xdr:rowOff>191193</xdr:rowOff>
        </xdr:from>
        <xdr:to>
          <xdr:col>12</xdr:col>
          <xdr:colOff>16625</xdr:colOff>
          <xdr:row>12</xdr:row>
          <xdr:rowOff>174567</xdr:rowOff>
        </xdr:to>
        <xdr:sp macro="" textlink="">
          <xdr:nvSpPr>
            <xdr:cNvPr id="371713" name="Button 1" hidden="1">
              <a:extLst>
                <a:ext uri="{63B3BB69-23CF-44E3-9099-C40C66FF867C}">
                  <a14:compatExt spid="_x0000_s371713"/>
                </a:ext>
                <a:ext uri="{FF2B5EF4-FFF2-40B4-BE49-F238E27FC236}">
                  <a16:creationId xmlns:a16="http://schemas.microsoft.com/office/drawing/2014/main" id="{00000000-0008-0000-0B00-000001A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216131</xdr:rowOff>
        </xdr:from>
        <xdr:to>
          <xdr:col>12</xdr:col>
          <xdr:colOff>33251</xdr:colOff>
          <xdr:row>21</xdr:row>
          <xdr:rowOff>157942</xdr:rowOff>
        </xdr:to>
        <xdr:sp macro="" textlink="">
          <xdr:nvSpPr>
            <xdr:cNvPr id="371714" name="Button 2" hidden="1">
              <a:extLst>
                <a:ext uri="{63B3BB69-23CF-44E3-9099-C40C66FF867C}">
                  <a14:compatExt spid="_x0000_s371714"/>
                </a:ext>
                <a:ext uri="{FF2B5EF4-FFF2-40B4-BE49-F238E27FC236}">
                  <a16:creationId xmlns:a16="http://schemas.microsoft.com/office/drawing/2014/main" id="{00000000-0008-0000-0B00-000002A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32</xdr:row>
          <xdr:rowOff>166255</xdr:rowOff>
        </xdr:from>
        <xdr:to>
          <xdr:col>12</xdr:col>
          <xdr:colOff>0</xdr:colOff>
          <xdr:row>33</xdr:row>
          <xdr:rowOff>174567</xdr:rowOff>
        </xdr:to>
        <xdr:sp macro="" textlink="">
          <xdr:nvSpPr>
            <xdr:cNvPr id="371715" name="Button 3" hidden="1">
              <a:extLst>
                <a:ext uri="{63B3BB69-23CF-44E3-9099-C40C66FF867C}">
                  <a14:compatExt spid="_x0000_s371715"/>
                </a:ext>
                <a:ext uri="{FF2B5EF4-FFF2-40B4-BE49-F238E27FC236}">
                  <a16:creationId xmlns:a16="http://schemas.microsoft.com/office/drawing/2014/main" id="{00000000-0008-0000-0B00-000003A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30</xdr:row>
          <xdr:rowOff>174567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71716" name="Button 4" hidden="1">
              <a:extLst>
                <a:ext uri="{63B3BB69-23CF-44E3-9099-C40C66FF867C}">
                  <a14:compatExt spid="_x0000_s371716"/>
                </a:ext>
                <a:ext uri="{FF2B5EF4-FFF2-40B4-BE49-F238E27FC236}">
                  <a16:creationId xmlns:a16="http://schemas.microsoft.com/office/drawing/2014/main" id="{00000000-0008-0000-0B00-000004A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174567</xdr:rowOff>
        </xdr:from>
        <xdr:to>
          <xdr:col>12</xdr:col>
          <xdr:colOff>8313</xdr:colOff>
          <xdr:row>26</xdr:row>
          <xdr:rowOff>108065</xdr:rowOff>
        </xdr:to>
        <xdr:sp macro="" textlink="">
          <xdr:nvSpPr>
            <xdr:cNvPr id="371717" name="Button 5" hidden="1">
              <a:extLst>
                <a:ext uri="{63B3BB69-23CF-44E3-9099-C40C66FF867C}">
                  <a14:compatExt spid="_x0000_s371717"/>
                </a:ext>
                <a:ext uri="{FF2B5EF4-FFF2-40B4-BE49-F238E27FC236}">
                  <a16:creationId xmlns:a16="http://schemas.microsoft.com/office/drawing/2014/main" id="{00000000-0008-0000-0B00-000005A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16625</xdr:colOff>
          <xdr:row>10</xdr:row>
          <xdr:rowOff>191193</xdr:rowOff>
        </xdr:from>
        <xdr:to>
          <xdr:col>12</xdr:col>
          <xdr:colOff>16625</xdr:colOff>
          <xdr:row>12</xdr:row>
          <xdr:rowOff>174567</xdr:rowOff>
        </xdr:to>
        <xdr:sp macro="" textlink="">
          <xdr:nvSpPr>
            <xdr:cNvPr id="372737" name="Button 1" hidden="1">
              <a:extLst>
                <a:ext uri="{63B3BB69-23CF-44E3-9099-C40C66FF867C}">
                  <a14:compatExt spid="_x0000_s372737"/>
                </a:ext>
                <a:ext uri="{FF2B5EF4-FFF2-40B4-BE49-F238E27FC236}">
                  <a16:creationId xmlns:a16="http://schemas.microsoft.com/office/drawing/2014/main" id="{00000000-0008-0000-0C00-000001B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216131</xdr:rowOff>
        </xdr:from>
        <xdr:to>
          <xdr:col>12</xdr:col>
          <xdr:colOff>33251</xdr:colOff>
          <xdr:row>21</xdr:row>
          <xdr:rowOff>157942</xdr:rowOff>
        </xdr:to>
        <xdr:sp macro="" textlink="">
          <xdr:nvSpPr>
            <xdr:cNvPr id="372738" name="Button 2" hidden="1">
              <a:extLst>
                <a:ext uri="{63B3BB69-23CF-44E3-9099-C40C66FF867C}">
                  <a14:compatExt spid="_x0000_s372738"/>
                </a:ext>
                <a:ext uri="{FF2B5EF4-FFF2-40B4-BE49-F238E27FC236}">
                  <a16:creationId xmlns:a16="http://schemas.microsoft.com/office/drawing/2014/main" id="{00000000-0008-0000-0C00-000002B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32</xdr:row>
          <xdr:rowOff>166255</xdr:rowOff>
        </xdr:from>
        <xdr:to>
          <xdr:col>12</xdr:col>
          <xdr:colOff>0</xdr:colOff>
          <xdr:row>33</xdr:row>
          <xdr:rowOff>174567</xdr:rowOff>
        </xdr:to>
        <xdr:sp macro="" textlink="">
          <xdr:nvSpPr>
            <xdr:cNvPr id="372739" name="Button 3" hidden="1">
              <a:extLst>
                <a:ext uri="{63B3BB69-23CF-44E3-9099-C40C66FF867C}">
                  <a14:compatExt spid="_x0000_s372739"/>
                </a:ext>
                <a:ext uri="{FF2B5EF4-FFF2-40B4-BE49-F238E27FC236}">
                  <a16:creationId xmlns:a16="http://schemas.microsoft.com/office/drawing/2014/main" id="{00000000-0008-0000-0C00-000003B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30</xdr:row>
          <xdr:rowOff>174567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372740" name="Button 4" hidden="1">
              <a:extLst>
                <a:ext uri="{63B3BB69-23CF-44E3-9099-C40C66FF867C}">
                  <a14:compatExt spid="_x0000_s372740"/>
                </a:ext>
                <a:ext uri="{FF2B5EF4-FFF2-40B4-BE49-F238E27FC236}">
                  <a16:creationId xmlns:a16="http://schemas.microsoft.com/office/drawing/2014/main" id="{00000000-0008-0000-0C00-000004B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174567</xdr:rowOff>
        </xdr:from>
        <xdr:to>
          <xdr:col>12</xdr:col>
          <xdr:colOff>8313</xdr:colOff>
          <xdr:row>26</xdr:row>
          <xdr:rowOff>108065</xdr:rowOff>
        </xdr:to>
        <xdr:sp macro="" textlink="">
          <xdr:nvSpPr>
            <xdr:cNvPr id="372741" name="Button 5" hidden="1">
              <a:extLst>
                <a:ext uri="{63B3BB69-23CF-44E3-9099-C40C66FF867C}">
                  <a14:compatExt spid="_x0000_s372741"/>
                </a:ext>
                <a:ext uri="{FF2B5EF4-FFF2-40B4-BE49-F238E27FC236}">
                  <a16:creationId xmlns:a16="http://schemas.microsoft.com/office/drawing/2014/main" id="{00000000-0008-0000-0C00-000005B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16625</xdr:colOff>
          <xdr:row>10</xdr:row>
          <xdr:rowOff>191193</xdr:rowOff>
        </xdr:from>
        <xdr:to>
          <xdr:col>12</xdr:col>
          <xdr:colOff>16625</xdr:colOff>
          <xdr:row>12</xdr:row>
          <xdr:rowOff>174567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0D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216131</xdr:rowOff>
        </xdr:from>
        <xdr:to>
          <xdr:col>12</xdr:col>
          <xdr:colOff>33251</xdr:colOff>
          <xdr:row>21</xdr:row>
          <xdr:rowOff>157942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0D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32</xdr:row>
          <xdr:rowOff>166255</xdr:rowOff>
        </xdr:from>
        <xdr:to>
          <xdr:col>12</xdr:col>
          <xdr:colOff>0</xdr:colOff>
          <xdr:row>33</xdr:row>
          <xdr:rowOff>174567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0D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30</xdr:row>
          <xdr:rowOff>174567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00000000-0008-0000-0D00-00000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174567</xdr:rowOff>
        </xdr:from>
        <xdr:to>
          <xdr:col>12</xdr:col>
          <xdr:colOff>8313</xdr:colOff>
          <xdr:row>26</xdr:row>
          <xdr:rowOff>108065</xdr:rowOff>
        </xdr:to>
        <xdr:sp macro="" textlink="">
          <xdr:nvSpPr>
            <xdr:cNvPr id="60429" name="Button 13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00000000-0008-0000-0D00-00000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3155DF-3CB2-4063-8346-D3006162EB2E}" name="MenuTable" displayName="MenuTable" ref="A1:E32" totalsRowShown="0" headerRowDxfId="187" dataDxfId="185" headerRowBorderDxfId="186" tableBorderDxfId="184" totalsRowBorderDxfId="183" headerRowCellStyle="60% - Accent5">
  <autoFilter ref="A1:E32" xr:uid="{7E3155DF-3CB2-4063-8346-D3006162EB2E}"/>
  <sortState xmlns:xlrd2="http://schemas.microsoft.com/office/spreadsheetml/2017/richdata2" ref="A2:E32">
    <sortCondition ref="A1:A32"/>
  </sortState>
  <tableColumns count="5">
    <tableColumn id="1" xr3:uid="{4A3C96D4-74F9-46DA-B54B-0CD347E35136}" name="Surname" dataDxfId="182" dataCellStyle="Hyperlink"/>
    <tableColumn id="2" xr3:uid="{2B90B92F-5F96-4EDA-9BBB-0E797162ECC4}" name="First Name" dataDxfId="181" dataCellStyle="Hyperlink"/>
    <tableColumn id="8" xr3:uid="{CFE0A41F-FE26-4CF3-BAA8-F6CEC7B006D4}" name="Status" dataDxfId="180" dataCellStyle="Hyperlink"/>
    <tableColumn id="3" xr3:uid="{EBBDE5FC-4AD9-4996-A6CE-25D9B52D4D03}" name="Date" dataDxfId="179"/>
    <tableColumn id="4" xr3:uid="{854BBB0E-E50E-4F6C-90CC-6180E0CE5D32}" name="ID" dataDxfId="178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BE43AA0-FEFE-4953-BA96-A0217731DC97}" name="StatusTable" displayName="StatusTable" ref="A2:X11" totalsRowShown="0" headerRowDxfId="169" dataDxfId="168">
  <autoFilter ref="A2:X11" xr:uid="{BBE43AA0-FEFE-4953-BA96-A0217731DC97}"/>
  <sortState xmlns:xlrd2="http://schemas.microsoft.com/office/spreadsheetml/2017/richdata2" ref="A3:W3">
    <sortCondition ref="A2:A3"/>
  </sortState>
  <tableColumns count="24">
    <tableColumn id="1" xr3:uid="{77C7B428-E99D-49B8-8796-47FEBA3B8CD2}" name="Name" dataDxfId="167" dataCellStyle="Hyperlink"/>
    <tableColumn id="2" xr3:uid="{36FC8A03-C285-4FA4-AEC4-647B7067D01E}" name="Tunic" dataDxfId="166"/>
    <tableColumn id="3" xr3:uid="{E2B75A82-055F-492D-97B2-03C8E9C74CBF}" name="Collar Shirt" dataDxfId="165"/>
    <tableColumn id="4" xr3:uid="{89128C49-0667-4328-9CC8-935C76EB5CFF}" name="T-Shirt" dataDxfId="164"/>
    <tableColumn id="5" xr3:uid="{58E02DDF-FF68-4A85-A160-1478AFFC5301}" name="Dress Pants" dataDxfId="163"/>
    <tableColumn id="6" xr3:uid="{3C885A6D-7C6D-47FE-9D20-7FB555626C24}" name="Wedge" dataDxfId="162"/>
    <tableColumn id="7" xr3:uid="{650E09C5-6A05-4527-A321-E6D98102B309}" name="Tie" dataDxfId="161"/>
    <tableColumn id="8" xr3:uid="{B5F54AB4-5997-4EA8-AF06-4966A756DE93}" name="Belt" dataDxfId="160"/>
    <tableColumn id="9" xr3:uid="{8136261F-5775-4352-A73E-8E659AD02B53}" name="Socks" dataDxfId="159"/>
    <tableColumn id="10" xr3:uid="{9DEA83F4-EB2F-4D7E-9C9C-751F43044531}" name="Leather Boots" dataDxfId="158"/>
    <tableColumn id="11" xr3:uid="{1CEE23EA-B0BC-483E-BE3B-570F93C07C1A}" name="Leave Blank" dataDxfId="157"/>
    <tableColumn id="12" xr3:uid="{1D45495D-88A2-4A94-96C4-B047B6ED62D3}" name="Toque" dataDxfId="156"/>
    <tableColumn id="13" xr3:uid="{5954CB37-ED15-4CF3-A1FD-DCA35E0B036C}" name="Tilly" dataDxfId="155"/>
    <tableColumn id="14" xr3:uid="{4EB0159F-D44E-4237-807C-59C05B43CC3A}" name="Parka" dataDxfId="154"/>
    <tableColumn id="15" xr3:uid="{2D7F5042-3E7C-429C-8AFF-8601B19B8A0F}" name="Gloves" dataDxfId="153"/>
    <tableColumn id="16" xr3:uid="{D45A8E58-834C-42E4-980C-B85C418519A9}" name="Leave Blank2" dataDxfId="152"/>
    <tableColumn id="17" xr3:uid="{433672DD-A406-4334-A746-FB02B994A2E4}" name="Beret" dataDxfId="151"/>
    <tableColumn id="18" xr3:uid="{EE18EFD7-E877-490B-B14E-3FC28D0B1264}" name="FTU Tunic" dataDxfId="150"/>
    <tableColumn id="19" xr3:uid="{29AC551F-F02C-4401-9F86-D5A21F3B8962}" name="FTU Pants" dataDxfId="149"/>
    <tableColumn id="20" xr3:uid="{6DB4DDF9-B627-4BC2-B983-0DA0719B49B1}" name="FTU Boots" dataDxfId="148"/>
    <tableColumn id="27" xr3:uid="{84909A50-96B7-4616-B421-ACD5823BBA6B}" name="Column3" dataDxfId="147"/>
    <tableColumn id="26" xr3:uid="{0EFD58A3-59A1-406F-A3FD-C3E38DB387F2}" name="NameTag" dataDxfId="146"/>
    <tableColumn id="21" xr3:uid="{AEFDE823-D276-4BBA-8AAC-39096CA09601}" name="Toggle Done" dataDxfId="145"/>
    <tableColumn id="22" xr3:uid="{F911E964-47BC-4CDC-AAB6-614C3D5EDB11}" name="All Status" dataDxfId="144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8E3D919-0BF7-4EC5-AC4A-342C9146E523}" name="Charlie_Clark_74CD899DExchangeTable" displayName="Charlie_Clark_74CD899DExchangeTable" ref="A37:D38" insertRow="1" totalsRowShown="0" headerRowDxfId="134" dataDxfId="133">
  <autoFilter ref="A37:D38" xr:uid="{08E3D919-0BF7-4EC5-AC4A-342C9146E523}"/>
  <tableColumns count="4">
    <tableColumn id="1" xr3:uid="{32798C55-FA83-41FF-B9DD-8C347BAB22C7}" name="Date" dataDxfId="132"/>
    <tableColumn id="2" xr3:uid="{7BA0EEF2-13ED-488D-AE11-083172322CB9}" name="Item" dataDxfId="131"/>
    <tableColumn id="3" xr3:uid="{52DCD668-20F4-4A3A-8EBC-0119B5379779}" name="Old Size" dataDxfId="130"/>
    <tableColumn id="4" xr3:uid="{F58BFF90-3601-4948-814E-8F035F0A1EA1}" name="New Size" dataDxfId="129"/>
  </tableColumns>
  <tableStyleInfo name="ExchangeTableSty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DB0F41F-07C7-40C1-A38B-26115000F30A}" name="Isabella_Taylor_D098F288ExchangeTable" displayName="Isabella_Taylor_D098F288ExchangeTable" ref="A37:D38" insertRow="1" totalsRowShown="0" headerRowDxfId="119" dataDxfId="118">
  <autoFilter ref="A37:D38" xr:uid="{DDB0F41F-07C7-40C1-A38B-26115000F30A}"/>
  <tableColumns count="4">
    <tableColumn id="1" xr3:uid="{67E3BCA5-BBE6-4241-85AB-F3753BDBC99E}" name="Date" dataDxfId="117"/>
    <tableColumn id="2" xr3:uid="{7EB081C0-6DF7-4371-8E26-56411211DD61}" name="Item" dataDxfId="116"/>
    <tableColumn id="3" xr3:uid="{61A9DB71-B7AF-4E99-92DE-381D1DEAA01C}" name="Old Size" dataDxfId="115"/>
    <tableColumn id="4" xr3:uid="{4A5ACD8D-F974-4A21-B2BF-F49DD0141972}" name="New Size" dataDxfId="114"/>
  </tableColumns>
  <tableStyleInfo name="ExchangeTableSty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9CA6AA0-5F1C-4972-80E4-EE57910B7B27}" name="Banks_Rob_B4DD32A8ExchangeTable" displayName="Banks_Rob_B4DD32A8ExchangeTable" ref="A37:D38" insertRow="1" totalsRowShown="0" headerRowDxfId="104" dataDxfId="103">
  <autoFilter ref="A37:D38" xr:uid="{39CA6AA0-5F1C-4972-80E4-EE57910B7B27}"/>
  <tableColumns count="4">
    <tableColumn id="1" xr3:uid="{810931B9-A368-4A8B-8998-9D045724188C}" name="Date" dataDxfId="102"/>
    <tableColumn id="2" xr3:uid="{BA6FE57E-5F0F-449A-B5B0-71D849C3C83E}" name="Item" dataDxfId="101"/>
    <tableColumn id="3" xr3:uid="{93AE30C4-0555-4437-AFA6-81CE29E61523}" name="Old Size" dataDxfId="100"/>
    <tableColumn id="4" xr3:uid="{B68DB99F-0EC1-4435-AF4A-CF7A486719C2}" name="New Size" dataDxfId="99"/>
  </tableColumns>
  <tableStyleInfo name="ExchangeTableSty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54CECF7-163F-4D7C-A3A6-5F0F5C2C7198}" name="Rophone_Mike_747A9E83ExchangeTable" displayName="Rophone_Mike_747A9E83ExchangeTable" ref="A37:D38" insertRow="1" totalsRowShown="0" headerRowDxfId="89" dataDxfId="88">
  <autoFilter ref="A37:D38" xr:uid="{A54CECF7-163F-4D7C-A3A6-5F0F5C2C7198}"/>
  <tableColumns count="4">
    <tableColumn id="1" xr3:uid="{9CCA5154-E5FA-4181-A4C3-F6B851BC51D5}" name="Date" dataDxfId="87"/>
    <tableColumn id="2" xr3:uid="{9FADBBC8-3036-4FE3-B205-DC81C78A7340}" name="Item" dataDxfId="86"/>
    <tableColumn id="3" xr3:uid="{BE2CF7C0-45EE-4834-83CB-49F4FC2CA3A8}" name="Old Size" dataDxfId="85"/>
    <tableColumn id="4" xr3:uid="{30031C2B-3C3A-407B-AD8B-0A31D8636515}" name="New Size" dataDxfId="84"/>
  </tableColumns>
  <tableStyleInfo name="ExchangeTableSty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9BD791F-2D3A-4466-A173-C1D0B8530F9E}" name="Christ_Jesus_87519091ExchangeTable" displayName="Christ_Jesus_87519091ExchangeTable" ref="A37:D38" insertRow="1" totalsRowShown="0" headerRowDxfId="74" dataDxfId="73">
  <autoFilter ref="A37:D38" xr:uid="{79BD791F-2D3A-4466-A173-C1D0B8530F9E}"/>
  <tableColumns count="4">
    <tableColumn id="1" xr3:uid="{2DC7F8FB-9F45-4AFE-96F6-9AB425DB5419}" name="Date" dataDxfId="72"/>
    <tableColumn id="2" xr3:uid="{723BEFE9-F2CD-4F4E-84F7-38BE4B1ECE14}" name="Item" dataDxfId="71"/>
    <tableColumn id="3" xr3:uid="{858F4B26-42FC-428B-843E-E12F97F3B4D1}" name="Old Size" dataDxfId="70"/>
    <tableColumn id="4" xr3:uid="{7DD8C38D-24CD-4BFD-94EB-48F4AE91AA4D}" name="New Size" dataDxfId="69"/>
  </tableColumns>
  <tableStyleInfo name="ExchangeTableStyl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5508AB7-A9E8-4576-9235-E18FCC53B5D5}" name="Rhea_Dia_A5D0E0B7ExchangeTable" displayName="Rhea_Dia_A5D0E0B7ExchangeTable" ref="A37:D38" insertRow="1" totalsRowShown="0" headerRowDxfId="59" dataDxfId="58">
  <autoFilter ref="A37:D38" xr:uid="{D5508AB7-A9E8-4576-9235-E18FCC53B5D5}"/>
  <tableColumns count="4">
    <tableColumn id="1" xr3:uid="{BEDA179E-B7B4-4A2F-B496-D8C77D8C00BB}" name="Date" dataDxfId="57"/>
    <tableColumn id="2" xr3:uid="{14DCB6B3-779F-41E9-9C47-B9666E2B410D}" name="Item" dataDxfId="56"/>
    <tableColumn id="3" xr3:uid="{92765B67-50EF-4B13-80FB-09BD1E49E17A}" name="Old Size" dataDxfId="55"/>
    <tableColumn id="4" xr3:uid="{299D3A74-3CFA-41CB-BA07-5963EE29ACD3}" name="New Size" dataDxfId="54"/>
  </tableColumns>
  <tableStyleInfo name="ExchangeTableStyle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3A7ABBE-61AF-40D2-8599-F80A681BBA05}" name="Rhea_Dia_4C1C4189ExchangeTable" displayName="Rhea_Dia_4C1C4189ExchangeTable" ref="A37:D38" insertRow="1" totalsRowShown="0" headerRowDxfId="44" dataDxfId="43">
  <autoFilter ref="A37:D38" xr:uid="{23A7ABBE-61AF-40D2-8599-F80A681BBA05}"/>
  <tableColumns count="4">
    <tableColumn id="1" xr3:uid="{67A35768-13A8-4794-9FFA-5F68EBF994D5}" name="Date" dataDxfId="42"/>
    <tableColumn id="2" xr3:uid="{B81A4C9E-9A2F-45FE-BFFC-44EB64EDC9D0}" name="Item" dataDxfId="41"/>
    <tableColumn id="3" xr3:uid="{C415F3A6-1D07-4742-98CF-6254DC82E1C4}" name="Old Size" dataDxfId="40"/>
    <tableColumn id="4" xr3:uid="{A1A42B7F-6502-4CC2-8FF0-CCC048EA92DA}" name="New Size" dataDxfId="39"/>
  </tableColumns>
  <tableStyleInfo name="ExchangeTableStyle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0070F23-B829-4D2E-AEF2-B80C1269812B}" name="Rhea_Dia_0CE9F4A1ExchangeTable" displayName="Rhea_Dia_0CE9F4A1ExchangeTable" ref="A37:D38" insertRow="1" totalsRowShown="0" headerRowDxfId="29" dataDxfId="28">
  <autoFilter ref="A37:D38" xr:uid="{E0070F23-B829-4D2E-AEF2-B80C1269812B}"/>
  <tableColumns count="4">
    <tableColumn id="1" xr3:uid="{A6ABDF80-7734-4275-9AA6-598D2DDA4473}" name="Date" dataDxfId="27"/>
    <tableColumn id="2" xr3:uid="{BB419810-7554-4804-8842-763FE0D1B271}" name="Item" dataDxfId="26"/>
    <tableColumn id="3" xr3:uid="{67B1C030-3A4B-481C-BD90-8511DE8D1798}" name="Old Size" dataDxfId="25"/>
    <tableColumn id="4" xr3:uid="{8F2C9189-5B0B-4CAE-921C-4C8CD4B00E05}" name="New Size" dataDxfId="24"/>
  </tableColumns>
  <tableStyleInfo name="ExchangeTableStyle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7C88119-E4A6-4333-B60B-D8DF0A547E0C}" name="Rhea_Dia_84016FA6ExchangeTable" displayName="Rhea_Dia_84016FA6ExchangeTable" ref="A37:D38" insertRow="1" totalsRowShown="0" headerRowDxfId="14" dataDxfId="13">
  <autoFilter ref="A37:D38" xr:uid="{97C88119-E4A6-4333-B60B-D8DF0A547E0C}"/>
  <tableColumns count="4">
    <tableColumn id="1" xr3:uid="{9D71916D-6FD6-4EB6-8610-B164B06EA9AE}" name="Date" dataDxfId="12"/>
    <tableColumn id="2" xr3:uid="{AF528809-FD0E-46A6-9C3B-63675648D522}" name="Item" dataDxfId="11"/>
    <tableColumn id="3" xr3:uid="{17CF743F-A52D-4FF3-BCE2-9A8E79195842}" name="Old Size" dataDxfId="10"/>
    <tableColumn id="4" xr3:uid="{B72791FE-B717-4E2B-BE83-E39871331C34}" name="New Size" dataDxfId="9"/>
  </tableColumns>
  <tableStyleInfo name="ExchangeTableStyle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table" Target="../tables/table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ctrlProp" Target="../ctrlProps/ctrlProp14.xml"/><Relationship Id="rId7" Type="http://schemas.openxmlformats.org/officeDocument/2006/relationships/ctrlProp" Target="../ctrlProps/ctrlProp1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ctrlProp" Target="../ctrlProps/ctrlProp19.xml"/><Relationship Id="rId7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ctrlProp" Target="../ctrlProps/ctrlProp24.xml"/><Relationship Id="rId7" Type="http://schemas.openxmlformats.org/officeDocument/2006/relationships/ctrlProp" Target="../ctrlProps/ctrlProp2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ctrlProp" Target="../ctrlProps/ctrlProp29.xml"/><Relationship Id="rId7" Type="http://schemas.openxmlformats.org/officeDocument/2006/relationships/ctrlProp" Target="../ctrlProps/ctrlProp3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32.xml"/><Relationship Id="rId5" Type="http://schemas.openxmlformats.org/officeDocument/2006/relationships/ctrlProp" Target="../ctrlProps/ctrlProp31.xml"/><Relationship Id="rId4" Type="http://schemas.openxmlformats.org/officeDocument/2006/relationships/ctrlProp" Target="../ctrlProps/ctrlProp30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ctrlProp" Target="../ctrlProps/ctrlProp34.xml"/><Relationship Id="rId7" Type="http://schemas.openxmlformats.org/officeDocument/2006/relationships/ctrlProp" Target="../ctrlProps/ctrlProp3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37.xml"/><Relationship Id="rId5" Type="http://schemas.openxmlformats.org/officeDocument/2006/relationships/ctrlProp" Target="../ctrlProps/ctrlProp36.xml"/><Relationship Id="rId4" Type="http://schemas.openxmlformats.org/officeDocument/2006/relationships/ctrlProp" Target="../ctrlProps/ctrlProp3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ctrlProp" Target="../ctrlProps/ctrlProp39.xml"/><Relationship Id="rId7" Type="http://schemas.openxmlformats.org/officeDocument/2006/relationships/ctrlProp" Target="../ctrlProps/ctrlProp4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ctrlProp" Target="../ctrlProps/ctrlProp44.xml"/><Relationship Id="rId7" Type="http://schemas.openxmlformats.org/officeDocument/2006/relationships/ctrlProp" Target="../ctrlProps/ctrlProp4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47.xml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3" Type="http://schemas.openxmlformats.org/officeDocument/2006/relationships/ctrlProp" Target="../ctrlProps/ctrlProp49.xml"/><Relationship Id="rId7" Type="http://schemas.openxmlformats.org/officeDocument/2006/relationships/ctrlProp" Target="../ctrlProps/ctrlProp53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52.xml"/><Relationship Id="rId5" Type="http://schemas.openxmlformats.org/officeDocument/2006/relationships/ctrlProp" Target="../ctrlProps/ctrlProp51.xml"/><Relationship Id="rId4" Type="http://schemas.openxmlformats.org/officeDocument/2006/relationships/ctrlProp" Target="../ctrlProps/ctrlProp50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ctrlProp" Target="../ctrlProps/ctrlProp54.xml"/><Relationship Id="rId7" Type="http://schemas.openxmlformats.org/officeDocument/2006/relationships/ctrlProp" Target="../ctrlProps/ctrlProp5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9.xml"/><Relationship Id="rId7" Type="http://schemas.openxmlformats.org/officeDocument/2006/relationships/ctrlProp" Target="../ctrlProps/ctrlProp6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62.xml"/><Relationship Id="rId5" Type="http://schemas.openxmlformats.org/officeDocument/2006/relationships/ctrlProp" Target="../ctrlProps/ctrlProp61.xml"/><Relationship Id="rId4" Type="http://schemas.openxmlformats.org/officeDocument/2006/relationships/ctrlProp" Target="../ctrlProps/ctrlProp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F3530-B4A1-476B-B008-9B7C4EB64E1C}">
  <sheetPr codeName="Sheet2"/>
  <dimension ref="A1:O32"/>
  <sheetViews>
    <sheetView zoomScale="85" zoomScaleNormal="85" workbookViewId="0">
      <selection activeCell="A2" sqref="A2:E32"/>
    </sheetView>
  </sheetViews>
  <sheetFormatPr defaultRowHeight="15.05" x14ac:dyDescent="0.3"/>
  <cols>
    <col min="1" max="1" width="16.88671875" customWidth="1"/>
    <col min="2" max="2" width="21.33203125" customWidth="1"/>
    <col min="3" max="3" width="20.21875" customWidth="1"/>
    <col min="4" max="4" width="25.6640625" customWidth="1"/>
    <col min="5" max="5" width="16.6640625" customWidth="1"/>
  </cols>
  <sheetData>
    <row r="1" spans="1:15" ht="43.85" customHeight="1" x14ac:dyDescent="0.3">
      <c r="A1" s="7" t="s">
        <v>0</v>
      </c>
      <c r="B1" s="6" t="s">
        <v>2</v>
      </c>
      <c r="C1" s="27" t="s">
        <v>36</v>
      </c>
      <c r="D1" s="6" t="s">
        <v>40</v>
      </c>
      <c r="E1" s="11" t="s">
        <v>41</v>
      </c>
      <c r="O1" t="s">
        <v>59</v>
      </c>
    </row>
    <row r="2" spans="1:15" x14ac:dyDescent="0.3">
      <c r="A2" s="45" t="s">
        <v>97</v>
      </c>
      <c r="B2" s="28" t="s">
        <v>92</v>
      </c>
      <c r="C2" s="29"/>
      <c r="D2" s="46">
        <v>45304.655416666668</v>
      </c>
      <c r="E2" s="47" t="s">
        <v>98</v>
      </c>
    </row>
    <row r="3" spans="1:15" x14ac:dyDescent="0.3">
      <c r="A3" s="45" t="s">
        <v>97</v>
      </c>
      <c r="B3" s="28" t="s">
        <v>92</v>
      </c>
      <c r="C3" s="29"/>
      <c r="D3" s="46">
        <v>45305.70412037037</v>
      </c>
      <c r="E3" s="47" t="s">
        <v>98</v>
      </c>
    </row>
    <row r="4" spans="1:15" x14ac:dyDescent="0.3">
      <c r="A4" s="45" t="s">
        <v>97</v>
      </c>
      <c r="B4" s="28" t="s">
        <v>92</v>
      </c>
      <c r="C4" s="29"/>
      <c r="D4" s="46">
        <v>45305.73474537037</v>
      </c>
      <c r="E4" s="47" t="s">
        <v>98</v>
      </c>
    </row>
    <row r="5" spans="1:15" x14ac:dyDescent="0.3">
      <c r="A5" s="45" t="s">
        <v>128</v>
      </c>
      <c r="B5" s="28" t="s">
        <v>129</v>
      </c>
      <c r="C5" s="29"/>
      <c r="D5" s="46">
        <v>45304.655428240738</v>
      </c>
      <c r="E5" s="47" t="s">
        <v>150</v>
      </c>
    </row>
    <row r="6" spans="1:15" x14ac:dyDescent="0.3">
      <c r="A6" s="45" t="s">
        <v>128</v>
      </c>
      <c r="B6" s="28" t="s">
        <v>129</v>
      </c>
      <c r="C6" s="29"/>
      <c r="D6" s="46">
        <v>45304.655428240738</v>
      </c>
      <c r="E6" s="47" t="s">
        <v>191</v>
      </c>
    </row>
    <row r="7" spans="1:15" x14ac:dyDescent="0.3">
      <c r="A7" s="45" t="s">
        <v>128</v>
      </c>
      <c r="B7" s="28" t="s">
        <v>129</v>
      </c>
      <c r="C7" s="29"/>
      <c r="D7" s="46">
        <v>45304.655428240738</v>
      </c>
      <c r="E7" s="47" t="s">
        <v>192</v>
      </c>
    </row>
    <row r="8" spans="1:15" x14ac:dyDescent="0.3">
      <c r="A8" s="45" t="s">
        <v>128</v>
      </c>
      <c r="B8" s="28" t="s">
        <v>129</v>
      </c>
      <c r="C8" s="29"/>
      <c r="D8" s="46">
        <v>45304.673483796294</v>
      </c>
      <c r="E8" s="47" t="s">
        <v>197</v>
      </c>
    </row>
    <row r="9" spans="1:15" x14ac:dyDescent="0.3">
      <c r="A9" s="45" t="s">
        <v>128</v>
      </c>
      <c r="B9" s="28" t="s">
        <v>129</v>
      </c>
      <c r="C9" s="29"/>
      <c r="D9" s="46">
        <v>45304.673622685186</v>
      </c>
      <c r="E9" s="47" t="s">
        <v>198</v>
      </c>
    </row>
    <row r="10" spans="1:15" x14ac:dyDescent="0.3">
      <c r="A10" s="45" t="s">
        <v>128</v>
      </c>
      <c r="B10" s="28" t="s">
        <v>129</v>
      </c>
      <c r="C10" s="29"/>
      <c r="D10" s="46">
        <v>45304.673622685186</v>
      </c>
      <c r="E10" s="47" t="s">
        <v>211</v>
      </c>
    </row>
    <row r="11" spans="1:15" x14ac:dyDescent="0.3">
      <c r="A11" s="45" t="s">
        <v>128</v>
      </c>
      <c r="B11" s="28" t="s">
        <v>129</v>
      </c>
      <c r="C11" s="29"/>
      <c r="D11" s="46">
        <v>45305.704131944447</v>
      </c>
      <c r="E11" s="47" t="s">
        <v>150</v>
      </c>
    </row>
    <row r="12" spans="1:15" x14ac:dyDescent="0.3">
      <c r="A12" s="45" t="s">
        <v>128</v>
      </c>
      <c r="B12" s="28" t="s">
        <v>129</v>
      </c>
      <c r="C12" s="29"/>
      <c r="D12" s="46">
        <v>45305.704131944447</v>
      </c>
      <c r="E12" s="47" t="s">
        <v>212</v>
      </c>
    </row>
    <row r="13" spans="1:15" x14ac:dyDescent="0.3">
      <c r="A13" s="45" t="s">
        <v>128</v>
      </c>
      <c r="B13" s="28" t="s">
        <v>129</v>
      </c>
      <c r="C13" s="29"/>
      <c r="D13" s="46">
        <v>45305.704143518517</v>
      </c>
      <c r="E13" s="47" t="s">
        <v>213</v>
      </c>
    </row>
    <row r="14" spans="1:15" x14ac:dyDescent="0.3">
      <c r="A14" s="45" t="s">
        <v>128</v>
      </c>
      <c r="B14" s="28" t="s">
        <v>129</v>
      </c>
      <c r="C14" s="29"/>
      <c r="D14" s="46">
        <v>45305.704143518517</v>
      </c>
      <c r="E14" s="47" t="s">
        <v>214</v>
      </c>
    </row>
    <row r="15" spans="1:15" x14ac:dyDescent="0.3">
      <c r="A15" s="45" t="s">
        <v>128</v>
      </c>
      <c r="B15" s="28" t="s">
        <v>129</v>
      </c>
      <c r="C15" s="29"/>
      <c r="D15" s="46">
        <v>45305.734756944446</v>
      </c>
      <c r="E15" s="47" t="s">
        <v>150</v>
      </c>
    </row>
    <row r="16" spans="1:15" x14ac:dyDescent="0.3">
      <c r="A16" s="45" t="s">
        <v>128</v>
      </c>
      <c r="B16" s="28" t="s">
        <v>129</v>
      </c>
      <c r="C16" s="29"/>
      <c r="D16" s="46">
        <v>45305.734756944446</v>
      </c>
      <c r="E16" s="47" t="s">
        <v>217</v>
      </c>
    </row>
    <row r="17" spans="1:5" x14ac:dyDescent="0.3">
      <c r="A17" s="45" t="s">
        <v>128</v>
      </c>
      <c r="B17" s="28" t="s">
        <v>129</v>
      </c>
      <c r="C17" s="29"/>
      <c r="D17" s="46">
        <v>45305.734756944446</v>
      </c>
      <c r="E17" s="47" t="s">
        <v>218</v>
      </c>
    </row>
    <row r="18" spans="1:5" x14ac:dyDescent="0.3">
      <c r="A18" s="45" t="s">
        <v>128</v>
      </c>
      <c r="B18" s="28" t="s">
        <v>129</v>
      </c>
      <c r="C18" s="29"/>
      <c r="D18" s="46">
        <v>45305.734756944446</v>
      </c>
      <c r="E18" s="47" t="s">
        <v>219</v>
      </c>
    </row>
    <row r="19" spans="1:5" x14ac:dyDescent="0.3">
      <c r="A19" s="45" t="s">
        <v>126</v>
      </c>
      <c r="B19" s="28" t="s">
        <v>127</v>
      </c>
      <c r="C19" s="29"/>
      <c r="D19" s="46">
        <v>45304.655428240738</v>
      </c>
      <c r="E19" s="47">
        <v>87519091</v>
      </c>
    </row>
    <row r="20" spans="1:5" x14ac:dyDescent="0.3">
      <c r="A20" s="45" t="s">
        <v>126</v>
      </c>
      <c r="B20" s="28" t="s">
        <v>127</v>
      </c>
      <c r="C20" s="29"/>
      <c r="D20" s="46">
        <v>45305.704131944447</v>
      </c>
      <c r="E20" s="47">
        <v>87519091</v>
      </c>
    </row>
    <row r="21" spans="1:5" x14ac:dyDescent="0.3">
      <c r="A21" s="45" t="s">
        <v>126</v>
      </c>
      <c r="B21" s="28" t="s">
        <v>127</v>
      </c>
      <c r="C21" s="29"/>
      <c r="D21" s="46">
        <v>45305.734756944446</v>
      </c>
      <c r="E21" s="47">
        <v>87519091</v>
      </c>
    </row>
    <row r="22" spans="1:5" x14ac:dyDescent="0.3">
      <c r="A22" s="45" t="s">
        <v>124</v>
      </c>
      <c r="B22" s="28" t="s">
        <v>125</v>
      </c>
      <c r="C22" s="29"/>
      <c r="D22" s="46">
        <v>45304.655428240738</v>
      </c>
      <c r="E22" s="47" t="s">
        <v>140</v>
      </c>
    </row>
    <row r="23" spans="1:5" x14ac:dyDescent="0.3">
      <c r="A23" s="45" t="s">
        <v>124</v>
      </c>
      <c r="B23" s="28" t="s">
        <v>125</v>
      </c>
      <c r="C23" s="29"/>
      <c r="D23" s="46">
        <v>45305.704131944447</v>
      </c>
      <c r="E23" s="47" t="s">
        <v>140</v>
      </c>
    </row>
    <row r="24" spans="1:5" x14ac:dyDescent="0.3">
      <c r="A24" s="45" t="s">
        <v>124</v>
      </c>
      <c r="B24" s="28" t="s">
        <v>125</v>
      </c>
      <c r="C24" s="29"/>
      <c r="D24" s="46">
        <v>45305.734756944446</v>
      </c>
      <c r="E24" s="47" t="s">
        <v>140</v>
      </c>
    </row>
    <row r="25" spans="1:5" x14ac:dyDescent="0.3">
      <c r="A25" s="45" t="s">
        <v>122</v>
      </c>
      <c r="B25" s="28" t="s">
        <v>123</v>
      </c>
      <c r="C25" s="29"/>
      <c r="D25" s="46">
        <v>45304.655416666668</v>
      </c>
      <c r="E25" s="47" t="s">
        <v>131</v>
      </c>
    </row>
    <row r="26" spans="1:5" x14ac:dyDescent="0.3">
      <c r="A26" s="45" t="s">
        <v>122</v>
      </c>
      <c r="B26" s="28" t="s">
        <v>123</v>
      </c>
      <c r="C26" s="29"/>
      <c r="D26" s="46">
        <v>45305.704131944447</v>
      </c>
      <c r="E26" s="47" t="s">
        <v>131</v>
      </c>
    </row>
    <row r="27" spans="1:5" x14ac:dyDescent="0.3">
      <c r="A27" s="45" t="s">
        <v>122</v>
      </c>
      <c r="B27" s="28" t="s">
        <v>123</v>
      </c>
      <c r="C27" s="29"/>
      <c r="D27" s="46">
        <v>45305.73474537037</v>
      </c>
      <c r="E27" s="47" t="s">
        <v>131</v>
      </c>
    </row>
    <row r="28" spans="1:5" x14ac:dyDescent="0.3">
      <c r="A28" s="45" t="s">
        <v>81</v>
      </c>
      <c r="B28" s="28" t="s">
        <v>104</v>
      </c>
      <c r="C28" s="29"/>
      <c r="D28" s="46">
        <v>45304.655416666668</v>
      </c>
      <c r="E28" s="47" t="s">
        <v>105</v>
      </c>
    </row>
    <row r="29" spans="1:5" x14ac:dyDescent="0.3">
      <c r="A29" s="45" t="s">
        <v>81</v>
      </c>
      <c r="B29" s="28" t="s">
        <v>104</v>
      </c>
      <c r="C29" s="29"/>
      <c r="D29" s="46">
        <v>45305.70412037037</v>
      </c>
      <c r="E29" s="47" t="s">
        <v>105</v>
      </c>
    </row>
    <row r="30" spans="1:5" x14ac:dyDescent="0.3">
      <c r="A30" s="45" t="s">
        <v>81</v>
      </c>
      <c r="B30" s="28" t="s">
        <v>104</v>
      </c>
      <c r="C30" s="29"/>
      <c r="D30" s="46">
        <v>45305.73474537037</v>
      </c>
      <c r="E30" s="47" t="s">
        <v>105</v>
      </c>
    </row>
    <row r="31" spans="1:5" x14ac:dyDescent="0.3">
      <c r="A31" s="45"/>
      <c r="B31" s="28"/>
      <c r="C31" s="29"/>
      <c r="D31" s="46"/>
      <c r="E31" s="47"/>
    </row>
    <row r="32" spans="1:5" x14ac:dyDescent="0.3">
      <c r="A32" s="45"/>
      <c r="B32" s="28"/>
      <c r="C32" s="29"/>
      <c r="D32" s="46"/>
      <c r="E32" s="47"/>
    </row>
  </sheetData>
  <conditionalFormatting sqref="C2:C32">
    <cfRule type="cellIs" dxfId="195" priority="1" operator="equal">
      <formula>"S.O.S"</formula>
    </cfRule>
    <cfRule type="containsText" dxfId="194" priority="2" operator="containsText" text="UNP">
      <formula>NOT(ISERROR(SEARCH("UNP",C2)))</formula>
    </cfRule>
    <cfRule type="cellIs" dxfId="193" priority="3" operator="equal">
      <formula>"In Stock"</formula>
    </cfRule>
    <cfRule type="containsText" dxfId="192" priority="4" operator="containsText" text="Pick Up">
      <formula>NOT(ISERROR(SEARCH("Pick Up",C2)))</formula>
    </cfRule>
    <cfRule type="cellIs" dxfId="191" priority="9" operator="equal">
      <formula>"Ready To Order"</formula>
    </cfRule>
    <cfRule type="containsText" dxfId="190" priority="10" operator="containsText" text="Ordered">
      <formula>NOT(ISERROR(SEARCH("Ordered",C2)))</formula>
    </cfRule>
    <cfRule type="containsText" dxfId="189" priority="11" operator="containsText" text="Complete">
      <formula>NOT(ISERROR(SEARCH("Complete",C2)))</formula>
    </cfRule>
    <cfRule type="cellIs" dxfId="188" priority="12" operator="equal">
      <formula>"Returned"</formula>
    </cfRule>
  </conditionalFormatting>
  <hyperlinks>
    <hyperlink ref="A2" location="'Charlie_Clark_74CD899D'!A1" display="Clark" xr:uid="{07F6E89D-C9B5-4D69-ADED-8543A468DCD1}"/>
    <hyperlink ref="A28" location="'Isabella_Taylor_D098F288'!A1" display="Taylor" xr:uid="{876E5B47-C50E-4742-9879-98448D82AC62}"/>
    <hyperlink ref="A25" location="'Banks_Rob_B4DD32A8'!A1" display="Rob" xr:uid="{11E3E867-91EA-4860-A684-308ADF98D945}"/>
    <hyperlink ref="A22" location="'Rophone_Mike_747A9E83'!A1" display="Mike" xr:uid="{57635E25-51B7-4233-95A2-49609C8B5BB9}"/>
    <hyperlink ref="A19" location="'Christ_Jesus_87519091'!A1" display="Jesus" xr:uid="{9A00DF62-974E-47D7-BE4A-5765E85C849C}"/>
    <hyperlink ref="A5" location="'Rhea_Dia_A5D0E0B7'!A1" display="Dia" xr:uid="{F606BE81-1ECE-441E-985D-75FAA335788C}"/>
    <hyperlink ref="A6" location="'Rhea_Dia_AE9850BD'!A1" display="Dia" xr:uid="{9D80EFCE-117A-4657-B2A7-DA29CE9357B8}"/>
    <hyperlink ref="A7" location="'Rhea_Dia_CB339199'!A1" display="Dia" xr:uid="{314BC829-5B5D-4F8C-BF19-379E0A201A48}"/>
    <hyperlink ref="A8" location="'Rhea_Dia_B5B45CA9'!A1" display="Dia" xr:uid="{92127F3A-4F88-4314-90AC-D103D6777AA2}"/>
    <hyperlink ref="A9" location="'Rhea_Dia_D1980CB1'!A1" display="Dia" xr:uid="{9DAC04D9-0066-4FD9-BF5E-C7347AD969CE}"/>
    <hyperlink ref="A10" location="'Rhea_Dia_13B124BB'!A1" display="Dia" xr:uid="{7D870EA8-27C9-4566-820E-A59631CB7D70}"/>
    <hyperlink ref="A3" location="'Charlie_Clark_74CD899D'!A1" display="Clark" xr:uid="{DADEB0A3-B738-4605-A908-7D784C2FE435}"/>
    <hyperlink ref="A29" location="'Isabella_Taylor_D098F288'!A1" display="Taylor" xr:uid="{AF4A85E8-331B-47D4-8700-15D48C6C3C09}"/>
    <hyperlink ref="A26" location="'Banks_Rob_B4DD32A8'!A1" display="Rob" xr:uid="{6E68666D-4385-4E1D-941F-471F1E19BEF1}"/>
    <hyperlink ref="A23" location="'Rophone_Mike_747A9E83'!A1" display="Mike" xr:uid="{286874B8-1D58-421B-A622-63578FCC3B1F}"/>
    <hyperlink ref="A20" location="'Christ_Jesus_87519091'!A1" display="Jesus" xr:uid="{6840CA5F-ABBB-463B-BD9F-23741881441A}"/>
    <hyperlink ref="A11" location="'Rhea_Dia_A5D0E0B7'!A1" display="Dia" xr:uid="{92F24BC3-C0B2-41A6-8FA1-1ED014D55B03}"/>
    <hyperlink ref="A12" location="'Rhea_Dia_8BDCFB9F'!A1" display="Dia" xr:uid="{632D05C5-3499-4710-9F3E-305D16E5A174}"/>
    <hyperlink ref="A13" location="'Rhea_Dia_D81CFC8E'!A1" display="Dia" xr:uid="{660D1A46-0B65-4F8A-8E80-C4D65FB94934}"/>
    <hyperlink ref="A14" location="'Rhea_Dia_BB77129F'!A1" display="Dia" xr:uid="{9CE03BB7-23EE-4EB7-8756-26196BFA9CE5}"/>
    <hyperlink ref="A4" location="'Charlie_Clark_74CD899D'!A1" display="Clark" xr:uid="{1C3E596C-4BC5-4726-B352-6551037DFE91}"/>
    <hyperlink ref="A30" location="'Isabella_Taylor_D098F288'!A1" display="Taylor" xr:uid="{301F6C95-E3D0-4BDE-B791-F123A3A796B6}"/>
    <hyperlink ref="A27" location="'Banks_Rob_B4DD32A8'!A1" display="Rob" xr:uid="{DED09054-3C1C-461B-BA03-43829FD7C315}"/>
    <hyperlink ref="A24" location="'Rophone_Mike_747A9E83'!A1" display="Mike" xr:uid="{0C670186-CD1F-4907-BBD9-78EE8ADCAAB1}"/>
    <hyperlink ref="A21" location="'Christ_Jesus_87519091'!A1" display="Jesus" xr:uid="{C058A66D-1463-4350-88A2-A08030EEA2C7}"/>
    <hyperlink ref="A15" location="'Rhea_Dia_A5D0E0B7'!A1" display="Dia" xr:uid="{458C97A2-5C35-4F01-A01C-822E65466ED5}"/>
    <hyperlink ref="A16" location="'Rhea_Dia_4C1C4189'!A1" display="Dia" xr:uid="{F5B2E825-35B9-4228-977A-93E7534DA350}"/>
    <hyperlink ref="A17" location="'Rhea_Dia_0CE9F4A1'!A1" display="Dia" xr:uid="{3F6FB28D-2C74-4E49-AC15-2B6E4FAE42C8}"/>
    <hyperlink ref="A18" location="'Rhea_Dia_84016FA6'!A1" display="Dia" xr:uid="{B8CAC64F-00DF-4561-BDAF-299B9E36CC55}"/>
  </hyperlink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0140C-40F8-4668-B479-DCBAA4954D0E}">
  <sheetPr codeName="Sheet12"/>
  <dimension ref="A1:Y4"/>
  <sheetViews>
    <sheetView workbookViewId="0">
      <selection activeCell="R12" sqref="R12"/>
    </sheetView>
  </sheetViews>
  <sheetFormatPr defaultRowHeight="15.05" x14ac:dyDescent="0.3"/>
  <cols>
    <col min="1" max="1" width="13.109375" customWidth="1"/>
    <col min="3" max="3" width="10.88671875" customWidth="1"/>
    <col min="4" max="4" width="7.5546875" customWidth="1"/>
    <col min="5" max="5" width="10.5546875" customWidth="1"/>
    <col min="6" max="6" width="7" customWidth="1"/>
    <col min="7" max="7" width="4.77734375" customWidth="1"/>
    <col min="8" max="8" width="6.109375" customWidth="1"/>
    <col min="9" max="9" width="6.5546875" customWidth="1"/>
    <col min="10" max="10" width="11.88671875" customWidth="1"/>
    <col min="11" max="11" width="2.5546875" hidden="1" customWidth="1"/>
    <col min="12" max="12" width="7.44140625" customWidth="1"/>
    <col min="13" max="13" width="5.44140625" customWidth="1"/>
    <col min="14" max="14" width="7.21875" customWidth="1"/>
    <col min="15" max="15" width="11.109375" customWidth="1"/>
    <col min="16" max="16" width="7.6640625" hidden="1" customWidth="1"/>
    <col min="17" max="17" width="6.109375" customWidth="1"/>
    <col min="21" max="21" width="0" hidden="1" customWidth="1"/>
    <col min="24" max="24" width="11.109375" customWidth="1"/>
    <col min="25" max="25" width="10.21875" customWidth="1"/>
  </cols>
  <sheetData>
    <row r="1" spans="1:25" ht="41.75" customHeight="1" x14ac:dyDescent="0.3">
      <c r="A1" s="31" t="s">
        <v>57</v>
      </c>
      <c r="B1" s="31" t="s">
        <v>18</v>
      </c>
      <c r="C1" s="31" t="s">
        <v>21</v>
      </c>
      <c r="D1" s="31" t="s">
        <v>19</v>
      </c>
      <c r="E1" s="31" t="s">
        <v>20</v>
      </c>
      <c r="F1" s="31" t="s">
        <v>24</v>
      </c>
      <c r="G1" s="31" t="s">
        <v>23</v>
      </c>
      <c r="H1" s="31" t="s">
        <v>25</v>
      </c>
      <c r="I1" s="31" t="s">
        <v>26</v>
      </c>
      <c r="J1" s="31" t="s">
        <v>27</v>
      </c>
      <c r="K1" s="31"/>
      <c r="L1" s="31" t="s">
        <v>28</v>
      </c>
      <c r="M1" s="31" t="s">
        <v>22</v>
      </c>
      <c r="N1" s="31" t="s">
        <v>29</v>
      </c>
      <c r="O1" s="31" t="s">
        <v>30</v>
      </c>
      <c r="P1" s="31"/>
      <c r="Q1" s="31" t="s">
        <v>33</v>
      </c>
      <c r="R1" s="31" t="s">
        <v>31</v>
      </c>
      <c r="S1" s="31" t="s">
        <v>48</v>
      </c>
      <c r="T1" s="31" t="s">
        <v>32</v>
      </c>
      <c r="U1" s="31"/>
      <c r="V1" s="31" t="s">
        <v>91</v>
      </c>
      <c r="W1" s="30"/>
      <c r="X1" s="30"/>
      <c r="Y1" s="30"/>
    </row>
    <row r="2" spans="1:25" x14ac:dyDescent="0.3">
      <c r="A2" s="50" t="s">
        <v>159</v>
      </c>
      <c r="C2" s="52" t="s">
        <v>163</v>
      </c>
      <c r="D2" s="52" t="s">
        <v>120</v>
      </c>
      <c r="F2" s="52" t="s">
        <v>181</v>
      </c>
      <c r="G2" s="52" t="s">
        <v>180</v>
      </c>
      <c r="H2" s="52" t="s">
        <v>120</v>
      </c>
      <c r="I2" s="52" t="s">
        <v>118</v>
      </c>
      <c r="M2" s="52" t="s">
        <v>118</v>
      </c>
      <c r="N2" s="52" t="s">
        <v>118</v>
      </c>
      <c r="R2" s="52" t="s">
        <v>164</v>
      </c>
    </row>
    <row r="3" spans="1:25" x14ac:dyDescent="0.3">
      <c r="A3" s="50" t="s">
        <v>159</v>
      </c>
      <c r="C3" s="52" t="s">
        <v>163</v>
      </c>
      <c r="D3" s="52" t="s">
        <v>120</v>
      </c>
      <c r="F3" s="52" t="s">
        <v>181</v>
      </c>
      <c r="G3" s="52" t="s">
        <v>180</v>
      </c>
      <c r="H3" s="52" t="s">
        <v>120</v>
      </c>
      <c r="I3" s="52" t="s">
        <v>118</v>
      </c>
      <c r="M3" s="52" t="s">
        <v>118</v>
      </c>
      <c r="N3" s="52" t="s">
        <v>118</v>
      </c>
      <c r="R3" s="52" t="s">
        <v>164</v>
      </c>
    </row>
    <row r="4" spans="1:25" x14ac:dyDescent="0.3">
      <c r="A4" s="50" t="s">
        <v>159</v>
      </c>
      <c r="C4" s="52" t="s">
        <v>163</v>
      </c>
      <c r="D4" s="52" t="s">
        <v>120</v>
      </c>
      <c r="F4" s="52" t="s">
        <v>181</v>
      </c>
      <c r="G4" s="52" t="s">
        <v>180</v>
      </c>
      <c r="H4" s="52" t="s">
        <v>120</v>
      </c>
      <c r="I4" s="52" t="s">
        <v>118</v>
      </c>
      <c r="M4" s="52" t="s">
        <v>118</v>
      </c>
      <c r="N4" s="52" t="s">
        <v>118</v>
      </c>
      <c r="R4" s="52" t="s">
        <v>164</v>
      </c>
    </row>
  </sheetData>
  <hyperlinks>
    <hyperlink ref="A2" location="Rhea_Dia_A5D0E0B7!A1" display="Dia, Rhea" xr:uid="{43DD1415-CAA1-4AFC-89BC-3051DD57599F}"/>
    <hyperlink ref="A3" location="Rhea_Dia_AE9850BD!A1" display="Dia, Rhea" xr:uid="{480B5D18-FEC1-4FF3-AA45-2A6F8DCFEBF4}"/>
    <hyperlink ref="A4" location="Rhea_Dia_CB339199!A1" display="Dia, Rhea" xr:uid="{5EEBB351-FA43-4301-A687-09434047B53D}"/>
  </hyperlinks>
  <pageMargins left="0.7" right="0.7" top="0.75" bottom="0.75" header="0.3" footer="0.3"/>
  <pageSetup orientation="landscape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002" r:id="rId4" name="Button 162">
              <controlPr defaultSize="0" print="0" autoFill="0" autoPict="0" macro="[0]!pickup">
                <anchor moveWithCells="1" sizeWithCells="1">
                  <from>
                    <xdr:col>22</xdr:col>
                    <xdr:colOff>149629</xdr:colOff>
                    <xdr:row>0</xdr:row>
                    <xdr:rowOff>49876</xdr:rowOff>
                  </from>
                  <to>
                    <xdr:col>24</xdr:col>
                    <xdr:colOff>532015</xdr:colOff>
                    <xdr:row>0</xdr:row>
                    <xdr:rowOff>440575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5" r:id="rId5" name="Complete1">
              <controlPr defaultSize="0" print="0" autoFill="0" autoPict="0" macro="[0]!'markPickUpAsComplete &quot;Rhea_Dia_A5D0E0B7&quot;, 1'">
                <anchor moveWithCells="1" sizeWithCells="1">
                  <from>
                    <xdr:col>23</xdr:col>
                    <xdr:colOff>0</xdr:colOff>
                    <xdr:row>1</xdr:row>
                    <xdr:rowOff>0</xdr:rowOff>
                  </from>
                  <to>
                    <xdr:col>24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6" r:id="rId6" name="Complete2">
              <controlPr defaultSize="0" print="0" autoFill="0" autoPict="0" macro="[0]!'markPickUpAsComplete &quot;Rhea_Dia_AE9850BD&quot;, 2'">
                <anchor moveWithCells="1" sizeWithCells="1">
                  <from>
                    <xdr:col>23</xdr:col>
                    <xdr:colOff>0</xdr:colOff>
                    <xdr:row>2</xdr:row>
                    <xdr:rowOff>0</xdr:rowOff>
                  </from>
                  <to>
                    <xdr:col>24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7" r:id="rId7" name="Complete3">
              <controlPr defaultSize="0" print="0" autoFill="0" autoPict="0" macro="[0]!'markPickUpAsComplete &quot;Rhea_Dia_CB339199&quot;, 3'">
                <anchor moveWithCells="1" sizeWithCells="1">
                  <from>
                    <xdr:col>23</xdr:col>
                    <xdr:colOff>0</xdr:colOff>
                    <xdr:row>3</xdr:row>
                    <xdr:rowOff>0</xdr:rowOff>
                  </from>
                  <to>
                    <xdr:col>24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4ADA2-84C8-4239-9B0B-2EC01C320ED7}">
  <sheetPr codeName="Sheet11"/>
  <dimension ref="A1:X11"/>
  <sheetViews>
    <sheetView zoomScale="85" zoomScaleNormal="85" workbookViewId="0">
      <selection activeCell="A4" sqref="A4"/>
    </sheetView>
  </sheetViews>
  <sheetFormatPr defaultRowHeight="15.05" x14ac:dyDescent="0.3"/>
  <cols>
    <col min="1" max="1" width="16.21875" customWidth="1"/>
    <col min="2" max="9" width="9.6640625" customWidth="1"/>
    <col min="10" max="10" width="13.5546875" customWidth="1"/>
    <col min="11" max="11" width="1.44140625" hidden="1" customWidth="1"/>
    <col min="12" max="15" width="10.6640625" customWidth="1"/>
    <col min="16" max="16" width="1.77734375" hidden="1" customWidth="1"/>
    <col min="17" max="20" width="10.6640625" customWidth="1"/>
    <col min="21" max="21" width="10.6640625" hidden="1" customWidth="1"/>
    <col min="22" max="22" width="10.6640625" customWidth="1"/>
    <col min="23" max="23" width="13.6640625" customWidth="1"/>
    <col min="24" max="24" width="12.6640625" customWidth="1"/>
  </cols>
  <sheetData>
    <row r="1" spans="1:24" ht="27.65" customHeight="1" x14ac:dyDescent="0.3">
      <c r="A1" s="36" t="s">
        <v>42</v>
      </c>
      <c r="B1" s="32" t="s">
        <v>45</v>
      </c>
      <c r="C1" s="33" t="s">
        <v>75</v>
      </c>
      <c r="D1" s="68" t="s">
        <v>76</v>
      </c>
      <c r="E1" s="68"/>
      <c r="F1" s="39" t="s">
        <v>77</v>
      </c>
      <c r="G1" s="41" t="s">
        <v>64</v>
      </c>
      <c r="H1" s="34" t="s">
        <v>73</v>
      </c>
      <c r="I1" s="35" t="s">
        <v>78</v>
      </c>
      <c r="L1" s="37" t="s">
        <v>96</v>
      </c>
      <c r="M1" s="44" t="s">
        <v>93</v>
      </c>
      <c r="N1" s="43" t="s">
        <v>94</v>
      </c>
      <c r="O1" s="42" t="s">
        <v>95</v>
      </c>
    </row>
    <row r="2" spans="1:24" ht="37.35" customHeight="1" x14ac:dyDescent="0.3">
      <c r="A2" s="31" t="s">
        <v>57</v>
      </c>
      <c r="B2" s="31" t="s">
        <v>18</v>
      </c>
      <c r="C2" s="31" t="s">
        <v>21</v>
      </c>
      <c r="D2" s="31" t="s">
        <v>19</v>
      </c>
      <c r="E2" s="31" t="s">
        <v>20</v>
      </c>
      <c r="F2" s="31" t="s">
        <v>24</v>
      </c>
      <c r="G2" s="31" t="s">
        <v>23</v>
      </c>
      <c r="H2" s="31" t="s">
        <v>25</v>
      </c>
      <c r="I2" s="31" t="s">
        <v>26</v>
      </c>
      <c r="J2" s="31" t="s">
        <v>27</v>
      </c>
      <c r="K2" s="31" t="s">
        <v>79</v>
      </c>
      <c r="L2" s="31" t="s">
        <v>28</v>
      </c>
      <c r="M2" s="31" t="s">
        <v>22</v>
      </c>
      <c r="N2" s="31" t="s">
        <v>29</v>
      </c>
      <c r="O2" s="31" t="s">
        <v>30</v>
      </c>
      <c r="P2" s="31" t="s">
        <v>80</v>
      </c>
      <c r="Q2" s="31" t="s">
        <v>33</v>
      </c>
      <c r="R2" s="31" t="s">
        <v>31</v>
      </c>
      <c r="S2" s="31" t="s">
        <v>48</v>
      </c>
      <c r="T2" s="31" t="s">
        <v>32</v>
      </c>
      <c r="U2" s="31" t="s">
        <v>90</v>
      </c>
      <c r="V2" s="31" t="s">
        <v>91</v>
      </c>
      <c r="W2" s="31" t="s">
        <v>74</v>
      </c>
      <c r="X2" s="65" t="s">
        <v>187</v>
      </c>
    </row>
    <row r="3" spans="1:24" x14ac:dyDescent="0.3">
      <c r="A3" s="40" t="s">
        <v>184</v>
      </c>
      <c r="B3" s="33">
        <v>7046</v>
      </c>
      <c r="C3" s="33" t="s">
        <v>100</v>
      </c>
      <c r="D3" s="33" t="s">
        <v>53</v>
      </c>
      <c r="E3" s="33">
        <v>7058</v>
      </c>
      <c r="F3" s="32"/>
      <c r="G3" s="33" t="s">
        <v>55</v>
      </c>
      <c r="H3" s="33" t="s">
        <v>86</v>
      </c>
      <c r="I3" s="32" t="s">
        <v>65</v>
      </c>
      <c r="J3" s="33" t="s">
        <v>83</v>
      </c>
      <c r="K3" s="48"/>
      <c r="L3" s="33" t="s">
        <v>51</v>
      </c>
      <c r="M3" s="33" t="s">
        <v>62</v>
      </c>
      <c r="N3" s="33" t="s">
        <v>62</v>
      </c>
      <c r="O3" s="33">
        <v>7656</v>
      </c>
      <c r="P3" s="48"/>
      <c r="Q3" s="32"/>
      <c r="R3" s="33">
        <v>6748</v>
      </c>
      <c r="S3" s="32"/>
      <c r="T3" s="32"/>
      <c r="U3" s="49"/>
      <c r="V3" s="38" t="s">
        <v>97</v>
      </c>
      <c r="W3" s="37"/>
      <c r="X3" s="66" t="s">
        <v>188</v>
      </c>
    </row>
    <row r="4" spans="1:24" x14ac:dyDescent="0.3">
      <c r="A4" s="40" t="s">
        <v>110</v>
      </c>
      <c r="B4" s="33">
        <v>8040</v>
      </c>
      <c r="C4" s="33" t="s">
        <v>70</v>
      </c>
      <c r="D4" s="33" t="s">
        <v>67</v>
      </c>
      <c r="E4" s="32"/>
      <c r="F4" s="33">
        <v>6.375</v>
      </c>
      <c r="G4" s="32" t="s">
        <v>88</v>
      </c>
      <c r="H4" s="32"/>
      <c r="I4" s="32" t="s">
        <v>65</v>
      </c>
      <c r="J4" s="33" t="s">
        <v>83</v>
      </c>
      <c r="K4" s="48"/>
      <c r="L4" s="33" t="s">
        <v>51</v>
      </c>
      <c r="M4" s="33" t="s">
        <v>72</v>
      </c>
      <c r="N4" s="33" t="s">
        <v>72</v>
      </c>
      <c r="O4" s="33">
        <v>7644</v>
      </c>
      <c r="P4" s="48"/>
      <c r="Q4" s="32">
        <v>6.125</v>
      </c>
      <c r="R4" s="33">
        <v>7640</v>
      </c>
      <c r="S4" s="32"/>
      <c r="T4" s="33" t="s">
        <v>108</v>
      </c>
      <c r="U4" s="49"/>
      <c r="V4" s="38" t="s">
        <v>81</v>
      </c>
      <c r="W4" s="64"/>
      <c r="X4" s="67" t="s">
        <v>188</v>
      </c>
    </row>
    <row r="5" spans="1:24" x14ac:dyDescent="0.3">
      <c r="A5" s="40" t="s">
        <v>160</v>
      </c>
      <c r="B5" s="51">
        <v>6736</v>
      </c>
      <c r="C5" s="33">
        <v>16</v>
      </c>
      <c r="D5" s="33" t="s">
        <v>118</v>
      </c>
      <c r="E5" s="33">
        <v>6731</v>
      </c>
      <c r="F5" s="33">
        <v>7</v>
      </c>
      <c r="G5" s="51" t="s">
        <v>180</v>
      </c>
      <c r="H5" s="51" t="s">
        <v>180</v>
      </c>
      <c r="I5" s="32"/>
      <c r="J5" s="32"/>
      <c r="K5" s="48"/>
      <c r="L5" s="32"/>
      <c r="M5" s="51" t="s">
        <v>118</v>
      </c>
      <c r="N5" s="51" t="s">
        <v>118</v>
      </c>
      <c r="O5" s="33">
        <v>7040</v>
      </c>
      <c r="P5" s="48"/>
      <c r="Q5" s="32">
        <v>7</v>
      </c>
      <c r="R5" s="51">
        <v>6736</v>
      </c>
      <c r="S5" s="51">
        <v>6734</v>
      </c>
      <c r="T5" s="32"/>
      <c r="U5" s="49"/>
      <c r="V5" s="38" t="s">
        <v>122</v>
      </c>
      <c r="W5" s="64"/>
      <c r="X5" s="67" t="s">
        <v>189</v>
      </c>
    </row>
    <row r="6" spans="1:24" x14ac:dyDescent="0.3">
      <c r="A6" s="40" t="s">
        <v>161</v>
      </c>
      <c r="B6" s="51">
        <v>8046</v>
      </c>
      <c r="C6" s="33">
        <v>17.5</v>
      </c>
      <c r="D6" s="33" t="s">
        <v>119</v>
      </c>
      <c r="E6" s="33">
        <v>7644</v>
      </c>
      <c r="F6" s="33">
        <v>7.5</v>
      </c>
      <c r="G6" s="33" t="s">
        <v>119</v>
      </c>
      <c r="H6" s="33" t="s">
        <v>119</v>
      </c>
      <c r="I6" s="51" t="s">
        <v>67</v>
      </c>
      <c r="J6" s="32"/>
      <c r="K6" s="48"/>
      <c r="L6" s="32"/>
      <c r="M6" s="33" t="s">
        <v>119</v>
      </c>
      <c r="N6" s="33" t="s">
        <v>119</v>
      </c>
      <c r="O6" s="33">
        <v>7648</v>
      </c>
      <c r="P6" s="48"/>
      <c r="Q6" s="55">
        <v>7.5</v>
      </c>
      <c r="R6" s="33">
        <v>7648</v>
      </c>
      <c r="S6" s="33">
        <v>7646</v>
      </c>
      <c r="T6" s="32"/>
      <c r="U6" s="49"/>
      <c r="V6" s="38" t="s">
        <v>124</v>
      </c>
      <c r="W6" s="64"/>
      <c r="X6" s="67" t="s">
        <v>189</v>
      </c>
    </row>
    <row r="7" spans="1:24" x14ac:dyDescent="0.3">
      <c r="A7" s="40" t="s">
        <v>185</v>
      </c>
      <c r="B7" s="51">
        <v>6440</v>
      </c>
      <c r="C7" s="33">
        <v>16.5</v>
      </c>
      <c r="D7" s="33" t="s">
        <v>67</v>
      </c>
      <c r="E7" s="33">
        <v>6430</v>
      </c>
      <c r="F7" s="51">
        <v>7</v>
      </c>
      <c r="G7" s="51" t="s">
        <v>180</v>
      </c>
      <c r="H7" s="51" t="s">
        <v>180</v>
      </c>
      <c r="I7" s="51" t="s">
        <v>120</v>
      </c>
      <c r="J7" s="32"/>
      <c r="K7" s="48"/>
      <c r="L7" s="32"/>
      <c r="M7" s="51" t="s">
        <v>118</v>
      </c>
      <c r="N7" s="51" t="s">
        <v>118</v>
      </c>
      <c r="O7" s="51">
        <v>6444</v>
      </c>
      <c r="P7" s="48"/>
      <c r="Q7" s="32">
        <v>7</v>
      </c>
      <c r="R7" s="33">
        <v>6440</v>
      </c>
      <c r="S7" s="51">
        <v>6430</v>
      </c>
      <c r="T7" s="32"/>
      <c r="U7" s="49"/>
      <c r="V7" s="38" t="s">
        <v>126</v>
      </c>
      <c r="W7" s="64"/>
      <c r="X7" s="67" t="s">
        <v>189</v>
      </c>
    </row>
    <row r="8" spans="1:24" x14ac:dyDescent="0.3">
      <c r="A8" s="40" t="s">
        <v>159</v>
      </c>
      <c r="B8" s="51">
        <v>6432</v>
      </c>
      <c r="C8" s="41">
        <v>13</v>
      </c>
      <c r="D8" s="41" t="s">
        <v>120</v>
      </c>
      <c r="E8" s="33">
        <v>6427</v>
      </c>
      <c r="F8" s="41">
        <v>7</v>
      </c>
      <c r="G8" s="41" t="s">
        <v>180</v>
      </c>
      <c r="H8" s="41" t="s">
        <v>120</v>
      </c>
      <c r="I8" s="41" t="s">
        <v>118</v>
      </c>
      <c r="J8" s="51" t="s">
        <v>121</v>
      </c>
      <c r="K8" s="48"/>
      <c r="L8" s="32"/>
      <c r="M8" s="41" t="s">
        <v>118</v>
      </c>
      <c r="N8" s="41" t="s">
        <v>118</v>
      </c>
      <c r="O8" s="51">
        <v>6436</v>
      </c>
      <c r="P8" s="48"/>
      <c r="Q8" s="32">
        <v>7</v>
      </c>
      <c r="R8" s="41">
        <v>6432</v>
      </c>
      <c r="S8" s="51">
        <v>6430</v>
      </c>
      <c r="T8" s="32"/>
      <c r="U8" s="49"/>
      <c r="V8" s="38" t="s">
        <v>128</v>
      </c>
      <c r="W8" s="64"/>
      <c r="X8" s="67" t="s">
        <v>190</v>
      </c>
    </row>
    <row r="9" spans="1:24" x14ac:dyDescent="0.3">
      <c r="A9" s="40" t="s">
        <v>159</v>
      </c>
      <c r="B9" s="51">
        <v>6432</v>
      </c>
      <c r="C9" s="41">
        <v>13</v>
      </c>
      <c r="D9" s="41" t="s">
        <v>120</v>
      </c>
      <c r="E9" s="33">
        <v>6427</v>
      </c>
      <c r="F9" s="41">
        <v>7</v>
      </c>
      <c r="G9" s="41" t="s">
        <v>180</v>
      </c>
      <c r="H9" s="41" t="s">
        <v>120</v>
      </c>
      <c r="I9" s="41" t="s">
        <v>118</v>
      </c>
      <c r="J9" s="51" t="s">
        <v>121</v>
      </c>
      <c r="K9" s="48"/>
      <c r="L9" s="32"/>
      <c r="M9" s="41" t="s">
        <v>118</v>
      </c>
      <c r="N9" s="41" t="s">
        <v>118</v>
      </c>
      <c r="O9" s="51">
        <v>6436</v>
      </c>
      <c r="P9" s="48"/>
      <c r="Q9" s="32">
        <v>7</v>
      </c>
      <c r="R9" s="41">
        <v>6432</v>
      </c>
      <c r="S9" s="51">
        <v>6430</v>
      </c>
      <c r="T9" s="32"/>
      <c r="U9" s="49"/>
      <c r="V9" s="38" t="s">
        <v>128</v>
      </c>
      <c r="W9" s="64"/>
      <c r="X9" s="67" t="s">
        <v>190</v>
      </c>
    </row>
    <row r="10" spans="1:24" x14ac:dyDescent="0.3">
      <c r="A10" s="40" t="s">
        <v>159</v>
      </c>
      <c r="B10" s="32">
        <v>6432</v>
      </c>
      <c r="C10" s="32" t="s">
        <v>199</v>
      </c>
      <c r="D10" s="32" t="s">
        <v>120</v>
      </c>
      <c r="E10" s="32" t="s">
        <v>201</v>
      </c>
      <c r="F10" s="32">
        <v>7</v>
      </c>
      <c r="G10" s="32" t="s">
        <v>55</v>
      </c>
      <c r="H10" s="32" t="s">
        <v>120</v>
      </c>
      <c r="I10" s="32" t="s">
        <v>204</v>
      </c>
      <c r="J10" s="32" t="s">
        <v>121</v>
      </c>
      <c r="K10" s="48"/>
      <c r="L10" s="32" t="s">
        <v>51</v>
      </c>
      <c r="M10" s="32" t="s">
        <v>67</v>
      </c>
      <c r="N10" s="32">
        <v>6436</v>
      </c>
      <c r="O10" s="32" t="s">
        <v>206</v>
      </c>
      <c r="P10" s="48"/>
      <c r="Q10" s="32">
        <v>7</v>
      </c>
      <c r="R10" s="32">
        <v>6432</v>
      </c>
      <c r="S10" s="32">
        <v>6426</v>
      </c>
      <c r="T10" s="32" t="s">
        <v>209</v>
      </c>
      <c r="U10" s="49"/>
      <c r="V10" s="38" t="s">
        <v>128</v>
      </c>
      <c r="W10" s="64"/>
      <c r="X10" s="67" t="s">
        <v>215</v>
      </c>
    </row>
    <row r="11" spans="1:24" x14ac:dyDescent="0.3">
      <c r="A11" s="40" t="s">
        <v>159</v>
      </c>
      <c r="B11" s="51">
        <v>6432</v>
      </c>
      <c r="C11" s="41">
        <v>13</v>
      </c>
      <c r="D11" s="41" t="s">
        <v>120</v>
      </c>
      <c r="E11" s="33">
        <v>6427</v>
      </c>
      <c r="F11" s="41">
        <v>7</v>
      </c>
      <c r="G11" s="41" t="s">
        <v>180</v>
      </c>
      <c r="H11" s="41" t="s">
        <v>120</v>
      </c>
      <c r="I11" s="41" t="s">
        <v>118</v>
      </c>
      <c r="J11" s="51" t="s">
        <v>121</v>
      </c>
      <c r="K11" s="48"/>
      <c r="L11" s="32"/>
      <c r="M11" s="41" t="s">
        <v>118</v>
      </c>
      <c r="N11" s="41" t="s">
        <v>118</v>
      </c>
      <c r="O11" s="51">
        <v>6436</v>
      </c>
      <c r="P11" s="48"/>
      <c r="Q11" s="32">
        <v>7</v>
      </c>
      <c r="R11" s="41">
        <v>6432</v>
      </c>
      <c r="S11" s="51">
        <v>6430</v>
      </c>
      <c r="T11" s="32"/>
      <c r="U11" s="49"/>
      <c r="V11" s="38" t="s">
        <v>128</v>
      </c>
      <c r="W11" s="64"/>
      <c r="X11" s="67" t="s">
        <v>190</v>
      </c>
    </row>
  </sheetData>
  <mergeCells count="1">
    <mergeCell ref="D1:E1"/>
  </mergeCells>
  <phoneticPr fontId="14" type="noConversion"/>
  <conditionalFormatting sqref="X3:X11">
    <cfRule type="cellIs" dxfId="177" priority="1" operator="equal">
      <formula>"S.O.S"</formula>
    </cfRule>
    <cfRule type="containsText" dxfId="176" priority="2" operator="containsText" text="UNP">
      <formula>NOT(ISERROR(SEARCH("UNP",X3)))</formula>
    </cfRule>
    <cfRule type="cellIs" dxfId="175" priority="3" operator="equal">
      <formula>"In Stock"</formula>
    </cfRule>
    <cfRule type="containsText" dxfId="174" priority="4" operator="containsText" text="Pick Up">
      <formula>NOT(ISERROR(SEARCH("Pick Up",X3)))</formula>
    </cfRule>
    <cfRule type="cellIs" dxfId="173" priority="5" operator="equal">
      <formula>"Ready To Order"</formula>
    </cfRule>
    <cfRule type="containsText" dxfId="172" priority="6" operator="containsText" text="Ordered">
      <formula>NOT(ISERROR(SEARCH("Ordered",X3)))</formula>
    </cfRule>
    <cfRule type="containsText" dxfId="171" priority="7" operator="containsText" text="Complete">
      <formula>NOT(ISERROR(SEARCH("Complete",X3)))</formula>
    </cfRule>
    <cfRule type="cellIs" dxfId="170" priority="8" operator="equal">
      <formula>"Returned"</formula>
    </cfRule>
  </conditionalFormatting>
  <hyperlinks>
    <hyperlink ref="A1" location="Menu!A1" display="Back to Menu" xr:uid="{2F36453C-1B65-4911-A569-6D05EA005156}"/>
    <hyperlink ref="A3" location="Charlie_Clark_74CD899D!A1" display="Clark, Charlie" xr:uid="{FD6EEFAF-BDAD-40E0-AA9E-38A2EC5C1618}"/>
    <hyperlink ref="A4" location="Isabella_Taylor_D098F288!A1" display="Taylor, Isabella" xr:uid="{BF34B67A-30A2-4516-A3A7-9A6CA0D6F22F}"/>
    <hyperlink ref="A5" location="Banks_Rob_B4DD32A8!A1" display="Rob, Banks" xr:uid="{AB31F19D-C817-49DA-BA57-CA910252F751}"/>
    <hyperlink ref="A6" location="Rophone_Mike_747A9E83!A1" display="Mike, Rophone" xr:uid="{BE66F7E0-6774-41EB-BF7D-45E1C766FF46}"/>
    <hyperlink ref="A7" location="Christ_Jesus_87519091!A1" display="Jesus, Christ" xr:uid="{2817846A-CEDF-48FF-BEC3-B61EC5B4E02C}"/>
    <hyperlink ref="A8" location="Rhea_Dia_A5D0E0B7!A1" display="Dia, Rhea" xr:uid="{CB0A3BD2-CE77-4177-BC9D-CC79E4686DB8}"/>
    <hyperlink ref="A9" location="Rhea_Dia_8BDCFB9F!A1" display="Dia, Rhea" xr:uid="{BE683C1E-ECB9-449A-9EF7-C48AD65F1D28}"/>
    <hyperlink ref="A10" location="Rhea_Dia_D81CFC8E!A1" display="Dia, Rhea" xr:uid="{4E6D2087-92F1-4B28-8FC8-AA8E00ADB34D}"/>
    <hyperlink ref="A11" location="Rhea_Dia_BB77129F!A1" display="Dia, Rhea" xr:uid="{E57572C2-ED96-4F81-9323-69AE4896A0A5}"/>
  </hyperlinks>
  <pageMargins left="0.7" right="0.7" top="0.75" bottom="0.75" header="0.3" footer="0.3"/>
  <pageSetup orientation="landscape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0218" r:id="rId4" name="Toggle2">
              <controlPr defaultSize="0" print="0" autoFill="0" autoPict="0" macro="[0]!'togglePersonAsComplete 3'">
                <anchor moveWithCells="1" sizeWithCells="1">
                  <from>
                    <xdr:col>22</xdr:col>
                    <xdr:colOff>0</xdr:colOff>
                    <xdr:row>2</xdr:row>
                    <xdr:rowOff>0</xdr:rowOff>
                  </from>
                  <to>
                    <xdr:col>23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219" r:id="rId5" name="Toggle3">
              <controlPr defaultSize="0" print="0" autoFill="0" autoPict="0" macro="[0]!'togglePersonAsComplete 4'">
                <anchor moveWithCells="1" sizeWithCells="1">
                  <from>
                    <xdr:col>22</xdr:col>
                    <xdr:colOff>0</xdr:colOff>
                    <xdr:row>3</xdr:row>
                    <xdr:rowOff>0</xdr:rowOff>
                  </from>
                  <to>
                    <xdr:col>23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220" r:id="rId6" name="Toggle4">
              <controlPr defaultSize="0" print="0" autoFill="0" autoPict="0" macro="[0]!'togglePersonAsComplete 5'">
                <anchor moveWithCells="1" sizeWithCells="1">
                  <from>
                    <xdr:col>22</xdr:col>
                    <xdr:colOff>0</xdr:colOff>
                    <xdr:row>4</xdr:row>
                    <xdr:rowOff>0</xdr:rowOff>
                  </from>
                  <to>
                    <xdr:col>23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221" r:id="rId7" name="Toggle5">
              <controlPr defaultSize="0" print="0" autoFill="0" autoPict="0" macro="[0]!'togglePersonAsComplete 6'">
                <anchor moveWithCells="1" sizeWithCells="1">
                  <from>
                    <xdr:col>22</xdr:col>
                    <xdr:colOff>0</xdr:colOff>
                    <xdr:row>5</xdr:row>
                    <xdr:rowOff>0</xdr:rowOff>
                  </from>
                  <to>
                    <xdr:col>23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222" r:id="rId8" name="Toggle6">
              <controlPr defaultSize="0" print="0" autoFill="0" autoPict="0" macro="[0]!'togglePersonAsComplete 7'">
                <anchor moveWithCells="1" sizeWithCells="1">
                  <from>
                    <xdr:col>22</xdr:col>
                    <xdr:colOff>0</xdr:colOff>
                    <xdr:row>6</xdr:row>
                    <xdr:rowOff>0</xdr:rowOff>
                  </from>
                  <to>
                    <xdr:col>23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223" r:id="rId9" name="Toggle7">
              <controlPr defaultSize="0" print="0" autoFill="0" autoPict="0" macro="[0]!'togglePersonAsComplete 8'">
                <anchor moveWithCells="1" sizeWithCells="1">
                  <from>
                    <xdr:col>22</xdr:col>
                    <xdr:colOff>0</xdr:colOff>
                    <xdr:row>7</xdr:row>
                    <xdr:rowOff>0</xdr:rowOff>
                  </from>
                  <to>
                    <xdr:col>23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224" r:id="rId10" name="Toggle8">
              <controlPr defaultSize="0" print="0" autoFill="0" autoPict="0" macro="[0]!'togglePersonAsComplete 9'">
                <anchor moveWithCells="1" sizeWithCells="1">
                  <from>
                    <xdr:col>22</xdr:col>
                    <xdr:colOff>0</xdr:colOff>
                    <xdr:row>8</xdr:row>
                    <xdr:rowOff>0</xdr:rowOff>
                  </from>
                  <to>
                    <xdr:col>23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225" r:id="rId11" name="Toggle9">
              <controlPr defaultSize="0" print="0" autoFill="0" autoPict="0" macro="[0]!'togglePersonAsComplete 10'">
                <anchor moveWithCells="1" sizeWithCells="1">
                  <from>
                    <xdr:col>22</xdr:col>
                    <xdr:colOff>0</xdr:colOff>
                    <xdr:row>9</xdr:row>
                    <xdr:rowOff>0</xdr:rowOff>
                  </from>
                  <to>
                    <xdr:col>23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0226" r:id="rId12" name="Toggle10">
              <controlPr defaultSize="0" print="0" autoFill="0" autoPict="0" macro="[0]!'togglePersonAsComplete 11'">
                <anchor moveWithCells="1" sizeWithCells="1">
                  <from>
                    <xdr:col>22</xdr:col>
                    <xdr:colOff>0</xdr:colOff>
                    <xdr:row>10</xdr:row>
                    <xdr:rowOff>0</xdr:rowOff>
                  </from>
                  <to>
                    <xdr:col>23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C79FB-8A53-460F-A024-C367DB913058}">
  <sheetPr codeName="Sheet6"/>
  <dimension ref="A1:AF10"/>
  <sheetViews>
    <sheetView tabSelected="1" workbookViewId="0">
      <selection activeCell="P30" sqref="P30"/>
    </sheetView>
  </sheetViews>
  <sheetFormatPr defaultRowHeight="15.05" x14ac:dyDescent="0.3"/>
  <cols>
    <col min="1" max="28" width="8.88671875" style="37"/>
    <col min="29" max="29" width="10.109375" style="37" customWidth="1"/>
    <col min="30" max="16384" width="8.88671875" style="37"/>
  </cols>
  <sheetData>
    <row r="1" spans="1:32" ht="20.95" x14ac:dyDescent="0.3">
      <c r="A1" s="56" t="s">
        <v>112</v>
      </c>
      <c r="B1" s="56" t="s">
        <v>113</v>
      </c>
      <c r="C1" s="57" t="s">
        <v>111</v>
      </c>
      <c r="D1" s="56" t="s">
        <v>9</v>
      </c>
      <c r="E1" s="57" t="s">
        <v>11</v>
      </c>
      <c r="F1" s="57" t="s">
        <v>12</v>
      </c>
      <c r="G1" s="57" t="s">
        <v>13</v>
      </c>
      <c r="H1" s="57" t="s">
        <v>52</v>
      </c>
      <c r="I1" s="57" t="s">
        <v>15</v>
      </c>
      <c r="J1" s="57" t="s">
        <v>16</v>
      </c>
      <c r="K1" s="57" t="s">
        <v>17</v>
      </c>
      <c r="L1" s="57" t="s">
        <v>18</v>
      </c>
      <c r="M1" s="57" t="s">
        <v>194</v>
      </c>
      <c r="N1" s="57" t="s">
        <v>193</v>
      </c>
      <c r="O1" s="57" t="s">
        <v>114</v>
      </c>
      <c r="P1" s="57" t="s">
        <v>24</v>
      </c>
      <c r="Q1" s="57" t="s">
        <v>23</v>
      </c>
      <c r="R1" s="57" t="s">
        <v>115</v>
      </c>
      <c r="S1" s="57" t="s">
        <v>26</v>
      </c>
      <c r="T1" s="57" t="s">
        <v>116</v>
      </c>
      <c r="U1" s="57" t="s">
        <v>117</v>
      </c>
      <c r="V1" s="57" t="s">
        <v>48</v>
      </c>
      <c r="W1" s="57" t="s">
        <v>32</v>
      </c>
      <c r="X1" s="57" t="s">
        <v>33</v>
      </c>
      <c r="Y1" s="57" t="s">
        <v>29</v>
      </c>
      <c r="Z1" s="57" t="s">
        <v>30</v>
      </c>
      <c r="AA1" s="57" t="s">
        <v>28</v>
      </c>
      <c r="AB1" s="57" t="s">
        <v>22</v>
      </c>
      <c r="AC1" s="57" t="s">
        <v>41</v>
      </c>
      <c r="AD1" s="57" t="s">
        <v>3</v>
      </c>
      <c r="AE1" s="57" t="s">
        <v>54</v>
      </c>
      <c r="AF1" s="57" t="s">
        <v>195</v>
      </c>
    </row>
    <row r="2" spans="1:32" x14ac:dyDescent="0.3">
      <c r="A2" s="58" t="s">
        <v>97</v>
      </c>
      <c r="B2" s="58" t="s">
        <v>92</v>
      </c>
      <c r="C2" s="58" t="s">
        <v>44</v>
      </c>
      <c r="D2" s="58">
        <v>25.4</v>
      </c>
      <c r="E2" s="58">
        <v>13.3</v>
      </c>
      <c r="F2" s="58">
        <v>46</v>
      </c>
      <c r="G2" s="58">
        <v>56.7</v>
      </c>
      <c r="H2" s="58">
        <v>56.8</v>
      </c>
      <c r="I2" s="58">
        <v>66.8</v>
      </c>
      <c r="J2" s="58">
        <v>293.89999999999998</v>
      </c>
      <c r="K2" s="58">
        <v>126</v>
      </c>
      <c r="L2" s="59">
        <v>7046</v>
      </c>
      <c r="M2" s="59">
        <v>7058</v>
      </c>
      <c r="N2" s="59" t="s">
        <v>100</v>
      </c>
      <c r="O2" s="59" t="s">
        <v>53</v>
      </c>
      <c r="P2" s="58"/>
      <c r="Q2" s="59" t="s">
        <v>55</v>
      </c>
      <c r="R2" s="59" t="s">
        <v>86</v>
      </c>
      <c r="S2" s="60" t="s">
        <v>65</v>
      </c>
      <c r="T2" s="59" t="s">
        <v>83</v>
      </c>
      <c r="U2" s="59">
        <v>6748</v>
      </c>
      <c r="V2" s="58"/>
      <c r="W2" s="58"/>
      <c r="X2" s="58"/>
      <c r="Y2" s="59" t="s">
        <v>62</v>
      </c>
      <c r="Z2" s="59">
        <v>7656</v>
      </c>
      <c r="AA2" s="59" t="s">
        <v>51</v>
      </c>
      <c r="AB2" s="59" t="s">
        <v>62</v>
      </c>
      <c r="AC2" s="61" t="s">
        <v>98</v>
      </c>
      <c r="AD2" s="61" t="s">
        <v>43</v>
      </c>
      <c r="AE2" s="58">
        <v>7.8</v>
      </c>
    </row>
    <row r="3" spans="1:32" x14ac:dyDescent="0.3">
      <c r="A3" s="58" t="s">
        <v>81</v>
      </c>
      <c r="B3" s="58" t="s">
        <v>104</v>
      </c>
      <c r="C3" s="58" t="s">
        <v>69</v>
      </c>
      <c r="D3" s="58">
        <v>19</v>
      </c>
      <c r="E3" s="58">
        <v>13</v>
      </c>
      <c r="F3" s="58">
        <v>38.1</v>
      </c>
      <c r="G3" s="58">
        <v>61.3</v>
      </c>
      <c r="H3" s="58">
        <v>44.2</v>
      </c>
      <c r="I3" s="58">
        <v>70</v>
      </c>
      <c r="J3" s="58">
        <v>317.10000000000002</v>
      </c>
      <c r="K3" s="58">
        <v>100.2</v>
      </c>
      <c r="L3" s="59">
        <v>8040</v>
      </c>
      <c r="M3" s="58"/>
      <c r="N3" s="59" t="s">
        <v>70</v>
      </c>
      <c r="O3" s="59" t="s">
        <v>67</v>
      </c>
      <c r="P3" s="59" t="s">
        <v>165</v>
      </c>
      <c r="Q3" s="60" t="s">
        <v>88</v>
      </c>
      <c r="R3" s="58"/>
      <c r="S3" s="60" t="s">
        <v>65</v>
      </c>
      <c r="T3" s="59" t="s">
        <v>83</v>
      </c>
      <c r="U3" s="59">
        <v>7640</v>
      </c>
      <c r="V3" s="58"/>
      <c r="W3" s="59" t="s">
        <v>108</v>
      </c>
      <c r="X3" s="60" t="s">
        <v>186</v>
      </c>
      <c r="Y3" s="59" t="s">
        <v>72</v>
      </c>
      <c r="Z3" s="59">
        <v>7644</v>
      </c>
      <c r="AA3" s="59" t="s">
        <v>51</v>
      </c>
      <c r="AB3" s="59" t="s">
        <v>72</v>
      </c>
      <c r="AC3" s="61" t="s">
        <v>105</v>
      </c>
      <c r="AD3" s="61" t="s">
        <v>43</v>
      </c>
      <c r="AE3" s="58">
        <v>7.4</v>
      </c>
    </row>
    <row r="4" spans="1:32" x14ac:dyDescent="0.3">
      <c r="A4" s="58" t="s">
        <v>122</v>
      </c>
      <c r="B4" s="58" t="s">
        <v>123</v>
      </c>
      <c r="C4" s="58" t="s">
        <v>69</v>
      </c>
      <c r="D4" s="58">
        <v>22</v>
      </c>
      <c r="E4" s="58">
        <v>16</v>
      </c>
      <c r="F4" s="58">
        <v>35</v>
      </c>
      <c r="G4" s="58">
        <v>31</v>
      </c>
      <c r="H4" s="58">
        <v>37</v>
      </c>
      <c r="I4" s="58">
        <v>66</v>
      </c>
      <c r="J4" s="58">
        <v>39</v>
      </c>
      <c r="K4" s="58">
        <v>13</v>
      </c>
      <c r="L4" s="62">
        <v>6736</v>
      </c>
      <c r="M4" s="59" t="s">
        <v>162</v>
      </c>
      <c r="N4" s="59">
        <v>16</v>
      </c>
      <c r="O4" s="59" t="s">
        <v>118</v>
      </c>
      <c r="P4" s="59">
        <v>7</v>
      </c>
      <c r="Q4" s="62" t="s">
        <v>180</v>
      </c>
      <c r="R4" s="62" t="s">
        <v>180</v>
      </c>
      <c r="S4" s="58"/>
      <c r="T4" s="58"/>
      <c r="U4" s="62">
        <v>6736</v>
      </c>
      <c r="V4" s="62">
        <v>6734</v>
      </c>
      <c r="W4" s="58"/>
      <c r="X4" s="60" t="s">
        <v>181</v>
      </c>
      <c r="Y4" s="62" t="s">
        <v>118</v>
      </c>
      <c r="Z4" s="59">
        <v>7040</v>
      </c>
      <c r="AA4" s="58"/>
      <c r="AB4" s="62" t="s">
        <v>118</v>
      </c>
      <c r="AC4" s="61" t="s">
        <v>131</v>
      </c>
      <c r="AD4" s="61" t="s">
        <v>130</v>
      </c>
      <c r="AE4" s="58"/>
    </row>
    <row r="5" spans="1:32" x14ac:dyDescent="0.3">
      <c r="A5" s="58" t="s">
        <v>124</v>
      </c>
      <c r="B5" s="58" t="s">
        <v>125</v>
      </c>
      <c r="C5" s="58" t="s">
        <v>69</v>
      </c>
      <c r="D5" s="58">
        <v>23.5</v>
      </c>
      <c r="E5" s="58">
        <v>17</v>
      </c>
      <c r="F5" s="58">
        <v>45</v>
      </c>
      <c r="G5" s="58">
        <v>43</v>
      </c>
      <c r="H5" s="58">
        <v>43</v>
      </c>
      <c r="I5" s="58">
        <v>75</v>
      </c>
      <c r="J5" s="58">
        <v>304.8</v>
      </c>
      <c r="K5" s="58">
        <v>101.6</v>
      </c>
      <c r="L5" s="62">
        <v>8046</v>
      </c>
      <c r="M5" s="59">
        <v>7644</v>
      </c>
      <c r="N5" s="59">
        <v>17.5</v>
      </c>
      <c r="O5" s="59" t="s">
        <v>119</v>
      </c>
      <c r="P5" s="59" t="s">
        <v>222</v>
      </c>
      <c r="Q5" s="59" t="s">
        <v>119</v>
      </c>
      <c r="R5" s="59" t="s">
        <v>119</v>
      </c>
      <c r="S5" s="62" t="s">
        <v>67</v>
      </c>
      <c r="T5" s="58"/>
      <c r="U5" s="59">
        <v>7648</v>
      </c>
      <c r="V5" s="59">
        <v>7646</v>
      </c>
      <c r="W5" s="58"/>
      <c r="X5" s="60" t="s">
        <v>166</v>
      </c>
      <c r="Y5" s="59" t="s">
        <v>119</v>
      </c>
      <c r="Z5" s="59">
        <v>7648</v>
      </c>
      <c r="AA5" s="58"/>
      <c r="AB5" s="59" t="s">
        <v>119</v>
      </c>
      <c r="AC5" s="61" t="s">
        <v>140</v>
      </c>
      <c r="AD5" s="61" t="s">
        <v>130</v>
      </c>
      <c r="AE5" s="58"/>
    </row>
    <row r="6" spans="1:32" x14ac:dyDescent="0.3">
      <c r="A6" s="58" t="s">
        <v>126</v>
      </c>
      <c r="B6" s="58" t="s">
        <v>127</v>
      </c>
      <c r="C6" s="58" t="s">
        <v>69</v>
      </c>
      <c r="D6" s="58">
        <v>22</v>
      </c>
      <c r="E6" s="58">
        <v>16.5</v>
      </c>
      <c r="F6" s="58">
        <v>40</v>
      </c>
      <c r="G6" s="58">
        <v>30</v>
      </c>
      <c r="H6" s="58">
        <v>38</v>
      </c>
      <c r="I6" s="58">
        <v>62</v>
      </c>
      <c r="J6" s="58">
        <v>240</v>
      </c>
      <c r="K6" s="58">
        <v>130</v>
      </c>
      <c r="L6" s="62">
        <v>6440</v>
      </c>
      <c r="M6" s="59">
        <v>6430</v>
      </c>
      <c r="N6" s="59">
        <v>16.5</v>
      </c>
      <c r="O6" s="59" t="s">
        <v>67</v>
      </c>
      <c r="P6" s="62">
        <v>7</v>
      </c>
      <c r="Q6" s="62" t="s">
        <v>180</v>
      </c>
      <c r="R6" s="62" t="s">
        <v>180</v>
      </c>
      <c r="S6" s="62" t="s">
        <v>120</v>
      </c>
      <c r="T6" s="58"/>
      <c r="U6" s="59">
        <v>6440</v>
      </c>
      <c r="V6" s="62">
        <v>6430</v>
      </c>
      <c r="W6" s="58"/>
      <c r="X6" s="60">
        <v>7</v>
      </c>
      <c r="Y6" s="62" t="s">
        <v>118</v>
      </c>
      <c r="Z6" s="62">
        <v>6444</v>
      </c>
      <c r="AA6" s="58"/>
      <c r="AB6" s="62" t="s">
        <v>118</v>
      </c>
      <c r="AC6" s="61">
        <v>87519091</v>
      </c>
      <c r="AD6" s="61" t="s">
        <v>130</v>
      </c>
      <c r="AE6" s="58"/>
    </row>
    <row r="7" spans="1:32" x14ac:dyDescent="0.3">
      <c r="A7" s="58" t="s">
        <v>128</v>
      </c>
      <c r="B7" s="58" t="s">
        <v>129</v>
      </c>
      <c r="C7" s="58" t="s">
        <v>69</v>
      </c>
      <c r="D7" s="58">
        <v>22</v>
      </c>
      <c r="E7" s="58">
        <v>13.5</v>
      </c>
      <c r="F7" s="58">
        <v>32</v>
      </c>
      <c r="G7" s="58">
        <v>26.5</v>
      </c>
      <c r="H7" s="58">
        <v>31</v>
      </c>
      <c r="I7" s="58">
        <v>63</v>
      </c>
      <c r="J7" s="58">
        <v>265</v>
      </c>
      <c r="K7" s="58">
        <v>95</v>
      </c>
      <c r="L7" s="62">
        <v>6432</v>
      </c>
      <c r="M7" s="59" t="s">
        <v>170</v>
      </c>
      <c r="N7" s="63">
        <v>13</v>
      </c>
      <c r="O7" s="63" t="s">
        <v>120</v>
      </c>
      <c r="P7" s="63">
        <v>7</v>
      </c>
      <c r="Q7" s="63" t="s">
        <v>180</v>
      </c>
      <c r="R7" s="63" t="s">
        <v>120</v>
      </c>
      <c r="S7" s="63" t="s">
        <v>118</v>
      </c>
      <c r="T7" s="62" t="s">
        <v>121</v>
      </c>
      <c r="U7" s="63">
        <v>6432</v>
      </c>
      <c r="V7" s="62">
        <v>6430</v>
      </c>
      <c r="W7" s="58"/>
      <c r="X7" s="60">
        <v>7</v>
      </c>
      <c r="Y7" s="63" t="s">
        <v>118</v>
      </c>
      <c r="Z7" s="62">
        <v>6436</v>
      </c>
      <c r="AA7" s="58"/>
      <c r="AB7" s="63" t="s">
        <v>118</v>
      </c>
      <c r="AC7" s="61" t="s">
        <v>150</v>
      </c>
      <c r="AD7" s="61" t="s">
        <v>130</v>
      </c>
      <c r="AE7" s="58"/>
    </row>
    <row r="8" spans="1:32" x14ac:dyDescent="0.3">
      <c r="A8" s="58" t="s">
        <v>128</v>
      </c>
      <c r="B8" s="58" t="s">
        <v>129</v>
      </c>
      <c r="C8" s="58" t="s">
        <v>69</v>
      </c>
      <c r="D8" s="58">
        <v>22</v>
      </c>
      <c r="E8" s="58">
        <v>13.5</v>
      </c>
      <c r="F8" s="58">
        <v>32</v>
      </c>
      <c r="G8" s="58">
        <v>26.5</v>
      </c>
      <c r="H8" s="58">
        <v>31</v>
      </c>
      <c r="I8" s="58">
        <v>63</v>
      </c>
      <c r="J8" s="58">
        <v>265</v>
      </c>
      <c r="K8" s="58">
        <v>95</v>
      </c>
      <c r="L8" s="62">
        <v>6432</v>
      </c>
      <c r="M8" s="59">
        <v>6427</v>
      </c>
      <c r="N8" s="63">
        <v>13</v>
      </c>
      <c r="O8" s="63" t="s">
        <v>120</v>
      </c>
      <c r="P8" s="63">
        <v>7</v>
      </c>
      <c r="Q8" s="63" t="s">
        <v>180</v>
      </c>
      <c r="R8" s="63" t="s">
        <v>120</v>
      </c>
      <c r="S8" s="63" t="s">
        <v>118</v>
      </c>
      <c r="T8" s="62" t="s">
        <v>121</v>
      </c>
      <c r="U8" s="63">
        <v>6432</v>
      </c>
      <c r="V8" s="62">
        <v>6430</v>
      </c>
      <c r="W8" s="58"/>
      <c r="X8" s="60">
        <v>7</v>
      </c>
      <c r="Y8" s="63" t="s">
        <v>118</v>
      </c>
      <c r="Z8" s="62">
        <v>6436</v>
      </c>
      <c r="AA8" s="58"/>
      <c r="AB8" s="63" t="s">
        <v>118</v>
      </c>
      <c r="AC8" s="61"/>
      <c r="AD8" s="61"/>
      <c r="AE8" s="58"/>
    </row>
    <row r="9" spans="1:32" x14ac:dyDescent="0.3">
      <c r="A9" s="58" t="s">
        <v>128</v>
      </c>
      <c r="B9" s="58" t="s">
        <v>129</v>
      </c>
      <c r="C9" s="58" t="s">
        <v>69</v>
      </c>
      <c r="D9" s="58">
        <v>22</v>
      </c>
      <c r="E9" s="58">
        <v>13.5</v>
      </c>
      <c r="F9" s="58">
        <v>32</v>
      </c>
      <c r="G9" s="58">
        <v>26.5</v>
      </c>
      <c r="H9" s="58">
        <v>31</v>
      </c>
      <c r="I9" s="58">
        <v>63</v>
      </c>
      <c r="J9" s="58">
        <v>265</v>
      </c>
      <c r="K9" s="58">
        <v>95</v>
      </c>
      <c r="AF9" s="37" t="s">
        <v>196</v>
      </c>
    </row>
    <row r="10" spans="1:32" x14ac:dyDescent="0.3">
      <c r="A10" s="58" t="s">
        <v>128</v>
      </c>
      <c r="B10" s="58" t="s">
        <v>129</v>
      </c>
      <c r="C10" s="58" t="s">
        <v>69</v>
      </c>
      <c r="D10" s="58">
        <v>22</v>
      </c>
      <c r="E10" s="58">
        <v>13.5</v>
      </c>
      <c r="F10" s="58">
        <v>32</v>
      </c>
      <c r="G10" s="58">
        <v>26.5</v>
      </c>
      <c r="H10" s="58">
        <v>31</v>
      </c>
      <c r="I10" s="58">
        <v>63</v>
      </c>
      <c r="J10" s="58">
        <v>265</v>
      </c>
      <c r="K10" s="58">
        <v>95</v>
      </c>
      <c r="L10" s="62">
        <v>6432</v>
      </c>
      <c r="M10" s="59">
        <v>6427</v>
      </c>
      <c r="N10" s="63">
        <v>13</v>
      </c>
      <c r="O10" s="63" t="s">
        <v>120</v>
      </c>
      <c r="P10" s="63">
        <v>7</v>
      </c>
      <c r="Q10" s="63" t="s">
        <v>180</v>
      </c>
      <c r="R10" s="63" t="s">
        <v>120</v>
      </c>
      <c r="S10" s="63" t="s">
        <v>118</v>
      </c>
      <c r="T10" s="62" t="s">
        <v>121</v>
      </c>
      <c r="U10" s="63">
        <v>6432</v>
      </c>
      <c r="V10" s="62">
        <v>6430</v>
      </c>
      <c r="W10" s="58"/>
      <c r="X10" s="60">
        <v>7</v>
      </c>
      <c r="Y10" s="63" t="s">
        <v>118</v>
      </c>
      <c r="Z10" s="62">
        <v>6436</v>
      </c>
      <c r="AA10" s="58"/>
      <c r="AB10" s="63" t="s">
        <v>118</v>
      </c>
      <c r="AC10" s="61"/>
      <c r="AD10" s="61"/>
      <c r="AE10" s="5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5438A-0295-4D1F-99AC-36AECFDBED6B}">
  <sheetPr codeName="Sheet3"/>
  <dimension ref="A1:L38"/>
  <sheetViews>
    <sheetView workbookViewId="0">
      <selection sqref="A1:A1048576"/>
    </sheetView>
  </sheetViews>
  <sheetFormatPr defaultRowHeight="15.05" x14ac:dyDescent="0.3"/>
  <cols>
    <col min="1" max="1" width="18.6640625" customWidth="1"/>
    <col min="3" max="3" width="9" customWidth="1"/>
    <col min="4" max="4" width="9.8867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77" t="s">
        <v>42</v>
      </c>
      <c r="B1" s="18" t="s">
        <v>3</v>
      </c>
      <c r="C1" s="69" t="s">
        <v>0</v>
      </c>
      <c r="D1" s="69"/>
      <c r="E1" s="69" t="s">
        <v>2</v>
      </c>
      <c r="F1" s="69"/>
      <c r="G1" s="18" t="s">
        <v>34</v>
      </c>
      <c r="K1" s="18" t="s">
        <v>38</v>
      </c>
      <c r="L1" s="18" t="s">
        <v>10</v>
      </c>
    </row>
    <row r="2" spans="1:12" x14ac:dyDescent="0.3">
      <c r="A2" s="78"/>
      <c r="B2" s="2" t="s">
        <v>43</v>
      </c>
      <c r="C2" s="71" t="s">
        <v>97</v>
      </c>
      <c r="D2" s="71"/>
      <c r="E2" s="71" t="s">
        <v>92</v>
      </c>
      <c r="F2" s="71"/>
      <c r="G2" s="1" t="s">
        <v>98</v>
      </c>
      <c r="K2" s="4" t="s">
        <v>9</v>
      </c>
      <c r="L2" s="4">
        <v>25.4</v>
      </c>
    </row>
    <row r="3" spans="1:12" x14ac:dyDescent="0.3">
      <c r="A3" s="18" t="s">
        <v>1</v>
      </c>
      <c r="B3" s="79" t="s">
        <v>4</v>
      </c>
      <c r="C3" s="80"/>
      <c r="D3" s="81"/>
      <c r="E3" s="79" t="s">
        <v>49</v>
      </c>
      <c r="F3" s="81"/>
      <c r="G3" s="18" t="s">
        <v>5</v>
      </c>
      <c r="K3" s="1" t="s">
        <v>11</v>
      </c>
      <c r="L3" s="1">
        <v>13.3</v>
      </c>
    </row>
    <row r="4" spans="1:12" x14ac:dyDescent="0.3">
      <c r="A4" s="1" t="s">
        <v>39</v>
      </c>
      <c r="B4" s="76">
        <v>9999999999</v>
      </c>
      <c r="C4" s="76"/>
      <c r="D4" s="76"/>
      <c r="E4" s="71"/>
      <c r="F4" s="71"/>
      <c r="G4" s="1" t="s">
        <v>44</v>
      </c>
      <c r="K4" s="4" t="s">
        <v>12</v>
      </c>
      <c r="L4" s="4">
        <v>46</v>
      </c>
    </row>
    <row r="5" spans="1:12" x14ac:dyDescent="0.3">
      <c r="A5" s="18" t="s">
        <v>6</v>
      </c>
      <c r="B5" s="69" t="s">
        <v>7</v>
      </c>
      <c r="C5" s="69"/>
      <c r="D5" s="69"/>
      <c r="E5" s="18" t="s">
        <v>8</v>
      </c>
      <c r="F5" s="18" t="s">
        <v>35</v>
      </c>
      <c r="G5" s="18" t="s">
        <v>36</v>
      </c>
      <c r="K5" s="1" t="s">
        <v>13</v>
      </c>
      <c r="L5" s="1">
        <v>56.7</v>
      </c>
    </row>
    <row r="6" spans="1:12" x14ac:dyDescent="0.3">
      <c r="A6" s="3" t="s">
        <v>99</v>
      </c>
      <c r="B6" s="70" t="s">
        <v>18</v>
      </c>
      <c r="C6" s="70"/>
      <c r="D6" s="70"/>
      <c r="E6" s="53">
        <v>7046</v>
      </c>
      <c r="F6" s="4">
        <v>1</v>
      </c>
      <c r="G6" s="23" t="s">
        <v>58</v>
      </c>
      <c r="H6" s="26" t="str">
        <f>HYPERLINK("#G6",CHAR(128))</f>
        <v>€</v>
      </c>
      <c r="K6" s="4" t="s">
        <v>14</v>
      </c>
      <c r="L6" s="4">
        <v>56.8</v>
      </c>
    </row>
    <row r="7" spans="1:12" x14ac:dyDescent="0.3">
      <c r="A7" s="2" t="s">
        <v>101</v>
      </c>
      <c r="B7" s="71" t="s">
        <v>21</v>
      </c>
      <c r="C7" s="71"/>
      <c r="D7" s="71"/>
      <c r="E7" s="54" t="s">
        <v>100</v>
      </c>
      <c r="F7" s="14">
        <v>1</v>
      </c>
      <c r="G7" s="23" t="s">
        <v>58</v>
      </c>
      <c r="H7" s="26" t="str">
        <f>HYPERLINK("#G7",CHAR(128))</f>
        <v>€</v>
      </c>
      <c r="K7" s="1" t="s">
        <v>15</v>
      </c>
      <c r="L7" s="1">
        <v>66.8</v>
      </c>
    </row>
    <row r="8" spans="1:12" x14ac:dyDescent="0.3">
      <c r="A8" s="3" t="s">
        <v>68</v>
      </c>
      <c r="B8" s="70" t="s">
        <v>19</v>
      </c>
      <c r="C8" s="70"/>
      <c r="D8" s="70"/>
      <c r="E8" s="53" t="s">
        <v>53</v>
      </c>
      <c r="F8" s="4">
        <v>1</v>
      </c>
      <c r="G8" s="23" t="s">
        <v>58</v>
      </c>
      <c r="H8" s="26" t="str">
        <f>HYPERLINK("#G8",CHAR(128))</f>
        <v>€</v>
      </c>
      <c r="K8" s="4" t="s">
        <v>16</v>
      </c>
      <c r="L8" s="4">
        <v>293.89999999999998</v>
      </c>
    </row>
    <row r="9" spans="1:12" x14ac:dyDescent="0.3">
      <c r="A9" s="2" t="s">
        <v>102</v>
      </c>
      <c r="B9" s="71" t="s">
        <v>20</v>
      </c>
      <c r="C9" s="71"/>
      <c r="D9" s="71"/>
      <c r="E9" s="54">
        <v>7058</v>
      </c>
      <c r="F9" s="14">
        <v>1</v>
      </c>
      <c r="G9" s="23" t="s">
        <v>58</v>
      </c>
      <c r="H9" s="26" t="str">
        <f>HYPERLINK("#G9",CHAR(128))</f>
        <v>€</v>
      </c>
      <c r="I9" s="9"/>
      <c r="K9" s="1" t="s">
        <v>17</v>
      </c>
      <c r="L9" s="1">
        <v>126</v>
      </c>
    </row>
    <row r="10" spans="1:12" x14ac:dyDescent="0.3">
      <c r="A10" s="3"/>
      <c r="B10" s="70" t="s">
        <v>24</v>
      </c>
      <c r="C10" s="70"/>
      <c r="D10" s="70"/>
      <c r="E10" s="53"/>
      <c r="F10" s="4">
        <v>1</v>
      </c>
      <c r="G10" s="23" t="s">
        <v>45</v>
      </c>
      <c r="H10" s="26" t="str">
        <f>HYPERLINK("#G10",CHAR(128))</f>
        <v>€</v>
      </c>
      <c r="K10" s="13" t="s">
        <v>47</v>
      </c>
      <c r="L10" s="13">
        <v>7.8</v>
      </c>
    </row>
    <row r="11" spans="1:12" x14ac:dyDescent="0.3">
      <c r="A11" s="2" t="s">
        <v>56</v>
      </c>
      <c r="B11" s="71" t="s">
        <v>23</v>
      </c>
      <c r="C11" s="71"/>
      <c r="D11" s="71"/>
      <c r="E11" s="54" t="s">
        <v>55</v>
      </c>
      <c r="F11" s="14">
        <v>1</v>
      </c>
      <c r="G11" s="23" t="s">
        <v>58</v>
      </c>
      <c r="H11" s="26" t="str">
        <f>HYPERLINK("#G11",CHAR(128))</f>
        <v>€</v>
      </c>
    </row>
    <row r="12" spans="1:12" x14ac:dyDescent="0.3">
      <c r="A12" s="5" t="s">
        <v>87</v>
      </c>
      <c r="B12" s="70" t="s">
        <v>25</v>
      </c>
      <c r="C12" s="70"/>
      <c r="D12" s="70"/>
      <c r="E12" s="53" t="s">
        <v>86</v>
      </c>
      <c r="F12" s="4">
        <v>1</v>
      </c>
      <c r="G12" s="23" t="s">
        <v>58</v>
      </c>
      <c r="H12" s="26" t="str">
        <f>HYPERLINK("#G12",CHAR(128))</f>
        <v>€</v>
      </c>
    </row>
    <row r="13" spans="1:12" x14ac:dyDescent="0.3">
      <c r="A13" s="2" t="s">
        <v>66</v>
      </c>
      <c r="B13" s="71" t="s">
        <v>26</v>
      </c>
      <c r="C13" s="71"/>
      <c r="D13" s="71"/>
      <c r="E13" s="54" t="s">
        <v>65</v>
      </c>
      <c r="F13" s="14">
        <v>1</v>
      </c>
      <c r="G13" s="23" t="s">
        <v>45</v>
      </c>
      <c r="H13" s="26" t="str">
        <f>HYPERLINK("#G13",CHAR(128))</f>
        <v>€</v>
      </c>
    </row>
    <row r="14" spans="1:12" x14ac:dyDescent="0.3">
      <c r="A14" s="5" t="s">
        <v>84</v>
      </c>
      <c r="B14" s="70" t="s">
        <v>27</v>
      </c>
      <c r="C14" s="70"/>
      <c r="D14" s="70"/>
      <c r="E14" s="53" t="s">
        <v>83</v>
      </c>
      <c r="F14" s="4">
        <v>1</v>
      </c>
      <c r="G14" s="23" t="s">
        <v>58</v>
      </c>
      <c r="H14" s="26" t="str">
        <f>HYPERLINK("#G14",CHAR(128))</f>
        <v>€</v>
      </c>
    </row>
    <row r="15" spans="1:12" x14ac:dyDescent="0.3">
      <c r="A15" s="2"/>
      <c r="B15" s="72"/>
      <c r="C15" s="72"/>
      <c r="D15" s="72"/>
      <c r="E15" s="54"/>
      <c r="F15" s="14"/>
      <c r="G15" s="14"/>
      <c r="H15" s="12"/>
    </row>
    <row r="16" spans="1:12" x14ac:dyDescent="0.3">
      <c r="A16" s="5" t="s">
        <v>46</v>
      </c>
      <c r="B16" s="70" t="s">
        <v>28</v>
      </c>
      <c r="C16" s="70"/>
      <c r="D16" s="70"/>
      <c r="E16" s="53" t="s">
        <v>51</v>
      </c>
      <c r="F16" s="4">
        <v>1</v>
      </c>
      <c r="G16" s="23" t="s">
        <v>58</v>
      </c>
      <c r="H16" s="21" t="str">
        <f>HYPERLINK("#G16",CHAR(128))</f>
        <v>€</v>
      </c>
    </row>
    <row r="17" spans="1:10" x14ac:dyDescent="0.3">
      <c r="A17" s="2" t="s">
        <v>63</v>
      </c>
      <c r="B17" s="71" t="s">
        <v>22</v>
      </c>
      <c r="C17" s="71"/>
      <c r="D17" s="71"/>
      <c r="E17" s="54" t="s">
        <v>62</v>
      </c>
      <c r="F17" s="14">
        <v>1</v>
      </c>
      <c r="G17" s="23" t="s">
        <v>58</v>
      </c>
      <c r="H17" s="21" t="str">
        <f>HYPERLINK("#G17",CHAR(128))</f>
        <v>€</v>
      </c>
    </row>
    <row r="18" spans="1:10" x14ac:dyDescent="0.3">
      <c r="A18" s="5"/>
      <c r="B18" s="70" t="s">
        <v>29</v>
      </c>
      <c r="C18" s="70"/>
      <c r="D18" s="70"/>
      <c r="E18" s="53" t="s">
        <v>62</v>
      </c>
      <c r="F18" s="4">
        <v>1</v>
      </c>
      <c r="G18" s="23" t="s">
        <v>58</v>
      </c>
      <c r="H18" s="21" t="str">
        <f>HYPERLINK("#G18",CHAR(128))</f>
        <v>€</v>
      </c>
    </row>
    <row r="19" spans="1:10" x14ac:dyDescent="0.3">
      <c r="A19" s="2"/>
      <c r="B19" s="71" t="s">
        <v>30</v>
      </c>
      <c r="C19" s="71"/>
      <c r="D19" s="71"/>
      <c r="E19" s="54">
        <v>7656</v>
      </c>
      <c r="F19" s="14">
        <v>1</v>
      </c>
      <c r="G19" s="23" t="s">
        <v>58</v>
      </c>
      <c r="H19" s="21" t="str">
        <f>HYPERLINK("#G19",CHAR(128))</f>
        <v>€</v>
      </c>
    </row>
    <row r="20" spans="1:10" x14ac:dyDescent="0.3">
      <c r="A20" s="5"/>
      <c r="B20" s="73"/>
      <c r="C20" s="74"/>
      <c r="D20" s="75"/>
      <c r="E20" s="53"/>
      <c r="F20" s="4"/>
      <c r="G20" s="4"/>
      <c r="H20" s="12"/>
    </row>
    <row r="21" spans="1:10" x14ac:dyDescent="0.3">
      <c r="A21" s="2"/>
      <c r="B21" s="71" t="s">
        <v>33</v>
      </c>
      <c r="C21" s="71"/>
      <c r="D21" s="71"/>
      <c r="E21" s="54"/>
      <c r="F21" s="14">
        <v>1</v>
      </c>
      <c r="G21" s="23" t="s">
        <v>45</v>
      </c>
      <c r="H21" s="21" t="str">
        <f>HYPERLINK("#G21",CHAR(128))</f>
        <v>€</v>
      </c>
    </row>
    <row r="22" spans="1:10" x14ac:dyDescent="0.3">
      <c r="A22" s="5" t="s">
        <v>103</v>
      </c>
      <c r="B22" s="70" t="s">
        <v>31</v>
      </c>
      <c r="C22" s="70"/>
      <c r="D22" s="70"/>
      <c r="E22" s="53">
        <v>6748</v>
      </c>
      <c r="F22" s="4">
        <v>1</v>
      </c>
      <c r="G22" s="23" t="s">
        <v>58</v>
      </c>
      <c r="H22" s="21" t="str">
        <f>HYPERLINK("#G22",CHAR(128))</f>
        <v>€</v>
      </c>
    </row>
    <row r="23" spans="1:10" x14ac:dyDescent="0.3">
      <c r="A23" s="2"/>
      <c r="B23" s="71" t="s">
        <v>48</v>
      </c>
      <c r="C23" s="71"/>
      <c r="D23" s="71"/>
      <c r="E23" s="54"/>
      <c r="F23" s="14">
        <v>1</v>
      </c>
      <c r="G23" s="23" t="s">
        <v>45</v>
      </c>
      <c r="H23" s="20" t="str">
        <f>HYPERLINK("#G23",CHAR(128))</f>
        <v>€</v>
      </c>
    </row>
    <row r="24" spans="1:10" x14ac:dyDescent="0.3">
      <c r="A24" s="5"/>
      <c r="B24" s="70" t="s">
        <v>32</v>
      </c>
      <c r="C24" s="70"/>
      <c r="D24" s="70"/>
      <c r="E24" s="53"/>
      <c r="F24" s="4">
        <v>1</v>
      </c>
      <c r="G24" s="23" t="s">
        <v>45</v>
      </c>
      <c r="H24" s="20" t="str">
        <f>HYPERLINK("#G24",CHAR(128))</f>
        <v>€</v>
      </c>
    </row>
    <row r="25" spans="1:10" x14ac:dyDescent="0.3">
      <c r="A25" s="2"/>
      <c r="B25" s="71"/>
      <c r="C25" s="71"/>
      <c r="D25" s="71"/>
      <c r="E25" s="1"/>
      <c r="F25" s="14"/>
      <c r="G25" s="14"/>
      <c r="H25" s="12"/>
      <c r="I25" s="10"/>
    </row>
    <row r="26" spans="1:10" x14ac:dyDescent="0.3">
      <c r="A26" s="5"/>
      <c r="B26" s="70" t="s">
        <v>37</v>
      </c>
      <c r="C26" s="70"/>
      <c r="D26" s="70"/>
      <c r="E26" s="4" t="str">
        <f>C2</f>
        <v>Clark</v>
      </c>
      <c r="F26" s="4">
        <v>1</v>
      </c>
      <c r="G26" s="23" t="s">
        <v>45</v>
      </c>
      <c r="H26" s="22" t="str">
        <f>HYPERLINK("#G26",CHAR(128))</f>
        <v>€</v>
      </c>
    </row>
    <row r="28" spans="1:10" x14ac:dyDescent="0.3">
      <c r="J28" s="16"/>
    </row>
    <row r="29" spans="1:10" x14ac:dyDescent="0.3">
      <c r="A29" s="18"/>
      <c r="B29" s="69" t="s">
        <v>50</v>
      </c>
      <c r="C29" s="69"/>
      <c r="D29" s="69"/>
      <c r="E29" s="18" t="s">
        <v>8</v>
      </c>
      <c r="F29" s="18" t="s">
        <v>35</v>
      </c>
      <c r="G29" s="19" t="s">
        <v>36</v>
      </c>
    </row>
    <row r="30" spans="1:10" x14ac:dyDescent="0.3">
      <c r="A30" s="3"/>
      <c r="B30" s="70"/>
      <c r="C30" s="70"/>
      <c r="D30" s="70"/>
      <c r="E30" s="4"/>
      <c r="F30" s="8">
        <v>1</v>
      </c>
      <c r="G30" s="15"/>
      <c r="H30" s="17" t="str">
        <f>HYPERLINK("#G30",CHAR(128))</f>
        <v>€</v>
      </c>
    </row>
    <row r="31" spans="1:10" x14ac:dyDescent="0.3">
      <c r="A31" s="2"/>
      <c r="B31" s="71"/>
      <c r="C31" s="71"/>
      <c r="D31" s="71"/>
      <c r="E31" s="1"/>
      <c r="F31" s="14">
        <v>1</v>
      </c>
      <c r="G31" s="24"/>
      <c r="H31" s="17" t="str">
        <f>HYPERLINK("#G31",CHAR(128))</f>
        <v>€</v>
      </c>
    </row>
    <row r="32" spans="1:10" x14ac:dyDescent="0.3">
      <c r="A32" s="3"/>
      <c r="B32" s="70"/>
      <c r="C32" s="70"/>
      <c r="D32" s="70"/>
      <c r="E32" s="4"/>
      <c r="F32" s="4">
        <v>1</v>
      </c>
      <c r="G32" s="25"/>
      <c r="H32" s="17" t="str">
        <f>HYPERLINK("#G32",CHAR(128))</f>
        <v>€</v>
      </c>
    </row>
    <row r="33" spans="1:8" x14ac:dyDescent="0.3">
      <c r="A33" s="2"/>
      <c r="B33" s="71"/>
      <c r="C33" s="71"/>
      <c r="D33" s="71"/>
      <c r="E33" s="1"/>
      <c r="F33" s="14">
        <v>1</v>
      </c>
      <c r="G33" s="24"/>
      <c r="H33" s="17" t="str">
        <f>HYPERLINK("#G33",CHAR(128))</f>
        <v>€</v>
      </c>
    </row>
    <row r="34" spans="1:8" x14ac:dyDescent="0.3">
      <c r="A34" s="3"/>
      <c r="B34" s="70"/>
      <c r="C34" s="70"/>
      <c r="D34" s="70"/>
      <c r="E34" s="4"/>
      <c r="F34" s="4">
        <v>1</v>
      </c>
      <c r="G34" s="25"/>
      <c r="H34" s="17" t="str">
        <f>HYPERLINK("#G34",CHAR(128))</f>
        <v>€</v>
      </c>
    </row>
    <row r="37" spans="1:8" x14ac:dyDescent="0.3">
      <c r="A37" s="37" t="s">
        <v>40</v>
      </c>
      <c r="B37" s="37" t="s">
        <v>7</v>
      </c>
      <c r="C37" s="37" t="s">
        <v>60</v>
      </c>
      <c r="D37" s="37" t="s">
        <v>61</v>
      </c>
    </row>
    <row r="38" spans="1:8" x14ac:dyDescent="0.3">
      <c r="A38" s="37"/>
      <c r="B38" s="37"/>
      <c r="C38" s="37"/>
      <c r="D38" s="37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143" priority="2" operator="equal">
      <formula>"Returned"</formula>
    </cfRule>
    <cfRule type="cellIs" dxfId="142" priority="5" operator="equal">
      <formula>"Ready To Order"</formula>
    </cfRule>
    <cfRule type="cellIs" dxfId="141" priority="6" operator="equal">
      <formula>"UNP"</formula>
    </cfRule>
    <cfRule type="containsText" dxfId="140" priority="7" operator="containsText" text="Ordered">
      <formula>NOT(ISERROR(SEARCH("Ordered",G6)))</formula>
    </cfRule>
    <cfRule type="containsText" dxfId="139" priority="8" operator="containsText" text="Pick Up">
      <formula>NOT(ISERROR(SEARCH("Pick Up",G6)))</formula>
    </cfRule>
    <cfRule type="containsText" dxfId="138" priority="9" operator="containsText" text="Complete">
      <formula>NOT(ISERROR(SEARCH("Complete",G6)))</formula>
    </cfRule>
  </conditionalFormatting>
  <conditionalFormatting sqref="G30:G33">
    <cfRule type="containsText" dxfId="137" priority="4" operator="containsText" text="Given">
      <formula>NOT(ISERROR(SEARCH("Given",G30)))</formula>
    </cfRule>
  </conditionalFormatting>
  <conditionalFormatting sqref="G30:G34">
    <cfRule type="containsText" dxfId="136" priority="3" operator="containsText" text="Returned">
      <formula>NOT(ISERROR(SEARCH("Returned",G30)))</formula>
    </cfRule>
  </conditionalFormatting>
  <conditionalFormatting sqref="G6:G14 G21:G26 G16:G19">
    <cfRule type="cellIs" dxfId="135" priority="1" operator="equal">
      <formula>"In Stock"</formula>
    </cfRule>
  </conditionalFormatting>
  <dataValidations count="3">
    <dataValidation type="list" allowBlank="1" showInputMessage="1" showErrorMessage="1" sqref="G30:G34" xr:uid="{67295A0C-D682-486F-B104-04AADC9B77DE}">
      <formula1>"--,Returned, Given"</formula1>
    </dataValidation>
    <dataValidation type="list" allowBlank="1" showInputMessage="1" showErrorMessage="1" sqref="G16:G19 G21:G24 G26 G6:G14" xr:uid="{6AA4A5CB-E662-447C-A9E2-BFCFA47A4908}">
      <formula1>"UNP, Ready To Order, Ordered, In Stock, Pick Up, Complete, Returned"</formula1>
    </dataValidation>
    <dataValidation type="decimal" allowBlank="1" showInputMessage="1" showErrorMessage="1" sqref="L2" xr:uid="{12C8A5D0-F3D2-4510-864C-E0092374F882}">
      <formula1>19</formula1>
      <formula2>26</formula2>
    </dataValidation>
  </dataValidations>
  <hyperlinks>
    <hyperlink ref="A1:A2" location="Menu!A1" display="Back to Menu" xr:uid="{94F822EE-8EC5-4DAE-8B49-BCDC6D24AF86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4545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16625</xdr:colOff>
                    <xdr:row>10</xdr:row>
                    <xdr:rowOff>191193</xdr:rowOff>
                  </from>
                  <to>
                    <xdr:col>12</xdr:col>
                    <xdr:colOff>16625</xdr:colOff>
                    <xdr:row>12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546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216131</xdr:rowOff>
                  </from>
                  <to>
                    <xdr:col>12</xdr:col>
                    <xdr:colOff>33251</xdr:colOff>
                    <xdr:row>21</xdr:row>
                    <xdr:rowOff>157942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547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32</xdr:row>
                    <xdr:rowOff>166255</xdr:rowOff>
                  </from>
                  <to>
                    <xdr:col>12</xdr:col>
                    <xdr:colOff>0</xdr:colOff>
                    <xdr:row>33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548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598516</xdr:colOff>
                    <xdr:row>30</xdr:row>
                    <xdr:rowOff>174567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4549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174567</xdr:rowOff>
                  </from>
                  <to>
                    <xdr:col>12</xdr:col>
                    <xdr:colOff>8313</xdr:colOff>
                    <xdr:row>26</xdr:row>
                    <xdr:rowOff>108065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15D275-72FB-4CB3-8E68-F06CFFF4262D}">
  <sheetPr codeName="Sheet4"/>
  <dimension ref="A1:L38"/>
  <sheetViews>
    <sheetView workbookViewId="0">
      <selection sqref="A1:A1048576"/>
    </sheetView>
  </sheetViews>
  <sheetFormatPr defaultRowHeight="15.05" x14ac:dyDescent="0.3"/>
  <cols>
    <col min="1" max="1" width="18.6640625" customWidth="1"/>
    <col min="3" max="3" width="9" customWidth="1"/>
    <col min="4" max="4" width="9.8867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77" t="s">
        <v>42</v>
      </c>
      <c r="B1" s="18" t="s">
        <v>3</v>
      </c>
      <c r="C1" s="69" t="s">
        <v>0</v>
      </c>
      <c r="D1" s="69"/>
      <c r="E1" s="69" t="s">
        <v>2</v>
      </c>
      <c r="F1" s="69"/>
      <c r="G1" s="18" t="s">
        <v>34</v>
      </c>
      <c r="K1" s="18" t="s">
        <v>38</v>
      </c>
      <c r="L1" s="18" t="s">
        <v>10</v>
      </c>
    </row>
    <row r="2" spans="1:12" x14ac:dyDescent="0.3">
      <c r="A2" s="78"/>
      <c r="B2" s="2" t="s">
        <v>43</v>
      </c>
      <c r="C2" s="71" t="s">
        <v>81</v>
      </c>
      <c r="D2" s="71"/>
      <c r="E2" s="71" t="s">
        <v>104</v>
      </c>
      <c r="F2" s="71"/>
      <c r="G2" s="1" t="s">
        <v>105</v>
      </c>
      <c r="K2" s="4" t="s">
        <v>9</v>
      </c>
      <c r="L2" s="4">
        <v>19</v>
      </c>
    </row>
    <row r="3" spans="1:12" x14ac:dyDescent="0.3">
      <c r="A3" s="18" t="s">
        <v>1</v>
      </c>
      <c r="B3" s="79" t="s">
        <v>4</v>
      </c>
      <c r="C3" s="80"/>
      <c r="D3" s="81"/>
      <c r="E3" s="79" t="s">
        <v>49</v>
      </c>
      <c r="F3" s="81"/>
      <c r="G3" s="18" t="s">
        <v>5</v>
      </c>
      <c r="K3" s="1" t="s">
        <v>11</v>
      </c>
      <c r="L3" s="1">
        <v>13</v>
      </c>
    </row>
    <row r="4" spans="1:12" x14ac:dyDescent="0.3">
      <c r="A4" s="1" t="s">
        <v>39</v>
      </c>
      <c r="B4" s="76">
        <v>9999999999</v>
      </c>
      <c r="C4" s="76"/>
      <c r="D4" s="76"/>
      <c r="E4" s="71"/>
      <c r="F4" s="71"/>
      <c r="G4" s="1" t="s">
        <v>69</v>
      </c>
      <c r="K4" s="4" t="s">
        <v>12</v>
      </c>
      <c r="L4" s="4">
        <v>38.1</v>
      </c>
    </row>
    <row r="5" spans="1:12" x14ac:dyDescent="0.3">
      <c r="A5" s="18" t="s">
        <v>6</v>
      </c>
      <c r="B5" s="69" t="s">
        <v>7</v>
      </c>
      <c r="C5" s="69"/>
      <c r="D5" s="69"/>
      <c r="E5" s="18" t="s">
        <v>8</v>
      </c>
      <c r="F5" s="18" t="s">
        <v>35</v>
      </c>
      <c r="G5" s="18" t="s">
        <v>36</v>
      </c>
      <c r="K5" s="1" t="s">
        <v>13</v>
      </c>
      <c r="L5" s="1">
        <v>61.3</v>
      </c>
    </row>
    <row r="6" spans="1:12" x14ac:dyDescent="0.3">
      <c r="A6" s="3" t="s">
        <v>106</v>
      </c>
      <c r="B6" s="70" t="s">
        <v>18</v>
      </c>
      <c r="C6" s="70"/>
      <c r="D6" s="70"/>
      <c r="E6" s="53">
        <v>8040</v>
      </c>
      <c r="F6" s="4">
        <v>1</v>
      </c>
      <c r="G6" s="23" t="s">
        <v>58</v>
      </c>
      <c r="H6" s="26" t="str">
        <f>HYPERLINK("#G6",CHAR(128))</f>
        <v>€</v>
      </c>
      <c r="K6" s="4" t="s">
        <v>14</v>
      </c>
      <c r="L6" s="4">
        <v>44.2</v>
      </c>
    </row>
    <row r="7" spans="1:12" x14ac:dyDescent="0.3">
      <c r="A7" s="2" t="s">
        <v>71</v>
      </c>
      <c r="B7" s="71" t="s">
        <v>21</v>
      </c>
      <c r="C7" s="71"/>
      <c r="D7" s="71"/>
      <c r="E7" s="54" t="s">
        <v>70</v>
      </c>
      <c r="F7" s="14">
        <v>1</v>
      </c>
      <c r="G7" s="23" t="s">
        <v>58</v>
      </c>
      <c r="H7" s="26" t="str">
        <f>HYPERLINK("#G7",CHAR(128))</f>
        <v>€</v>
      </c>
      <c r="K7" s="1" t="s">
        <v>15</v>
      </c>
      <c r="L7" s="1">
        <v>70</v>
      </c>
    </row>
    <row r="8" spans="1:12" x14ac:dyDescent="0.3">
      <c r="A8" s="3" t="s">
        <v>82</v>
      </c>
      <c r="B8" s="70" t="s">
        <v>19</v>
      </c>
      <c r="C8" s="70"/>
      <c r="D8" s="70"/>
      <c r="E8" s="53" t="s">
        <v>67</v>
      </c>
      <c r="F8" s="4">
        <v>1</v>
      </c>
      <c r="G8" s="23" t="s">
        <v>58</v>
      </c>
      <c r="H8" s="26" t="str">
        <f>HYPERLINK("#G8",CHAR(128))</f>
        <v>€</v>
      </c>
      <c r="K8" s="4" t="s">
        <v>16</v>
      </c>
      <c r="L8" s="4">
        <v>317.10000000000002</v>
      </c>
    </row>
    <row r="9" spans="1:12" x14ac:dyDescent="0.3">
      <c r="A9" s="2"/>
      <c r="B9" s="71" t="s">
        <v>20</v>
      </c>
      <c r="C9" s="71"/>
      <c r="D9" s="71"/>
      <c r="E9" s="54"/>
      <c r="F9" s="14">
        <v>1</v>
      </c>
      <c r="G9" s="23" t="s">
        <v>45</v>
      </c>
      <c r="H9" s="26" t="str">
        <f>HYPERLINK("#G9",CHAR(128))</f>
        <v>€</v>
      </c>
      <c r="I9" s="9"/>
      <c r="K9" s="1" t="s">
        <v>17</v>
      </c>
      <c r="L9" s="1">
        <v>100.2</v>
      </c>
    </row>
    <row r="10" spans="1:12" x14ac:dyDescent="0.3">
      <c r="A10" s="3" t="s">
        <v>216</v>
      </c>
      <c r="B10" s="70" t="s">
        <v>24</v>
      </c>
      <c r="C10" s="70"/>
      <c r="D10" s="70"/>
      <c r="E10" s="53" t="s">
        <v>165</v>
      </c>
      <c r="F10" s="4">
        <v>1</v>
      </c>
      <c r="G10" s="23" t="s">
        <v>58</v>
      </c>
      <c r="H10" s="26" t="str">
        <f>HYPERLINK("#G10",CHAR(128))</f>
        <v>€</v>
      </c>
      <c r="K10" s="13" t="s">
        <v>47</v>
      </c>
      <c r="L10" s="13">
        <v>7.4</v>
      </c>
    </row>
    <row r="11" spans="1:12" x14ac:dyDescent="0.3">
      <c r="A11" s="2" t="s">
        <v>89</v>
      </c>
      <c r="B11" s="71" t="s">
        <v>23</v>
      </c>
      <c r="C11" s="71"/>
      <c r="D11" s="71"/>
      <c r="E11" s="54" t="s">
        <v>88</v>
      </c>
      <c r="F11" s="14">
        <v>1</v>
      </c>
      <c r="G11" s="23" t="s">
        <v>45</v>
      </c>
      <c r="H11" s="26" t="str">
        <f>HYPERLINK("#G11",CHAR(128))</f>
        <v>€</v>
      </c>
    </row>
    <row r="12" spans="1:12" x14ac:dyDescent="0.3">
      <c r="A12" s="5"/>
      <c r="B12" s="70" t="s">
        <v>25</v>
      </c>
      <c r="C12" s="70"/>
      <c r="D12" s="70"/>
      <c r="E12" s="53"/>
      <c r="F12" s="4">
        <v>1</v>
      </c>
      <c r="G12" s="23" t="s">
        <v>45</v>
      </c>
      <c r="H12" s="26" t="str">
        <f>HYPERLINK("#G12",CHAR(128))</f>
        <v>€</v>
      </c>
    </row>
    <row r="13" spans="1:12" x14ac:dyDescent="0.3">
      <c r="A13" s="2" t="s">
        <v>66</v>
      </c>
      <c r="B13" s="71" t="s">
        <v>26</v>
      </c>
      <c r="C13" s="71"/>
      <c r="D13" s="71"/>
      <c r="E13" s="54" t="s">
        <v>65</v>
      </c>
      <c r="F13" s="14">
        <v>1</v>
      </c>
      <c r="G13" s="23" t="s">
        <v>45</v>
      </c>
      <c r="H13" s="26" t="str">
        <f>HYPERLINK("#G13",CHAR(128))</f>
        <v>€</v>
      </c>
    </row>
    <row r="14" spans="1:12" x14ac:dyDescent="0.3">
      <c r="A14" s="5" t="s">
        <v>84</v>
      </c>
      <c r="B14" s="70" t="s">
        <v>27</v>
      </c>
      <c r="C14" s="70"/>
      <c r="D14" s="70"/>
      <c r="E14" s="53" t="s">
        <v>83</v>
      </c>
      <c r="F14" s="4">
        <v>1</v>
      </c>
      <c r="G14" s="23" t="s">
        <v>58</v>
      </c>
      <c r="H14" s="26" t="str">
        <f>HYPERLINK("#G14",CHAR(128))</f>
        <v>€</v>
      </c>
    </row>
    <row r="15" spans="1:12" x14ac:dyDescent="0.3">
      <c r="A15" s="2"/>
      <c r="B15" s="72"/>
      <c r="C15" s="72"/>
      <c r="D15" s="72"/>
      <c r="E15" s="54"/>
      <c r="F15" s="14"/>
      <c r="G15" s="14"/>
      <c r="H15" s="12"/>
    </row>
    <row r="16" spans="1:12" x14ac:dyDescent="0.3">
      <c r="A16" s="5" t="s">
        <v>46</v>
      </c>
      <c r="B16" s="70" t="s">
        <v>28</v>
      </c>
      <c r="C16" s="70"/>
      <c r="D16" s="70"/>
      <c r="E16" s="53" t="s">
        <v>51</v>
      </c>
      <c r="F16" s="4">
        <v>1</v>
      </c>
      <c r="G16" s="23" t="s">
        <v>58</v>
      </c>
      <c r="H16" s="21" t="str">
        <f>HYPERLINK("#G16",CHAR(128))</f>
        <v>€</v>
      </c>
    </row>
    <row r="17" spans="1:10" x14ac:dyDescent="0.3">
      <c r="A17" s="2" t="s">
        <v>85</v>
      </c>
      <c r="B17" s="71" t="s">
        <v>22</v>
      </c>
      <c r="C17" s="71"/>
      <c r="D17" s="71"/>
      <c r="E17" s="54" t="s">
        <v>72</v>
      </c>
      <c r="F17" s="14">
        <v>1</v>
      </c>
      <c r="G17" s="23" t="s">
        <v>58</v>
      </c>
      <c r="H17" s="21" t="str">
        <f>HYPERLINK("#G17",CHAR(128))</f>
        <v>€</v>
      </c>
    </row>
    <row r="18" spans="1:10" x14ac:dyDescent="0.3">
      <c r="A18" s="5"/>
      <c r="B18" s="70" t="s">
        <v>29</v>
      </c>
      <c r="C18" s="70"/>
      <c r="D18" s="70"/>
      <c r="E18" s="53" t="s">
        <v>72</v>
      </c>
      <c r="F18" s="4">
        <v>1</v>
      </c>
      <c r="G18" s="23" t="s">
        <v>58</v>
      </c>
      <c r="H18" s="21" t="str">
        <f>HYPERLINK("#G18",CHAR(128))</f>
        <v>€</v>
      </c>
    </row>
    <row r="19" spans="1:10" x14ac:dyDescent="0.3">
      <c r="A19" s="2"/>
      <c r="B19" s="71" t="s">
        <v>30</v>
      </c>
      <c r="C19" s="71"/>
      <c r="D19" s="71"/>
      <c r="E19" s="54">
        <v>7644</v>
      </c>
      <c r="F19" s="14">
        <v>1</v>
      </c>
      <c r="G19" s="23" t="s">
        <v>58</v>
      </c>
      <c r="H19" s="21" t="str">
        <f>HYPERLINK("#G19",CHAR(128))</f>
        <v>€</v>
      </c>
    </row>
    <row r="20" spans="1:10" x14ac:dyDescent="0.3">
      <c r="A20" s="5"/>
      <c r="B20" s="73"/>
      <c r="C20" s="74"/>
      <c r="D20" s="75"/>
      <c r="E20" s="53"/>
      <c r="F20" s="4"/>
      <c r="G20" s="4"/>
      <c r="H20" s="12"/>
    </row>
    <row r="21" spans="1:10" x14ac:dyDescent="0.3">
      <c r="A21" s="2"/>
      <c r="B21" s="71" t="s">
        <v>33</v>
      </c>
      <c r="C21" s="71"/>
      <c r="D21" s="71"/>
      <c r="E21" s="54" t="s">
        <v>186</v>
      </c>
      <c r="F21" s="14">
        <v>1</v>
      </c>
      <c r="G21" s="23" t="s">
        <v>45</v>
      </c>
      <c r="H21" s="21" t="str">
        <f>HYPERLINK("#G21",CHAR(128))</f>
        <v>€</v>
      </c>
    </row>
    <row r="22" spans="1:10" x14ac:dyDescent="0.3">
      <c r="A22" s="5" t="s">
        <v>107</v>
      </c>
      <c r="B22" s="70" t="s">
        <v>31</v>
      </c>
      <c r="C22" s="70"/>
      <c r="D22" s="70"/>
      <c r="E22" s="53">
        <v>7640</v>
      </c>
      <c r="F22" s="4">
        <v>1</v>
      </c>
      <c r="G22" s="23" t="s">
        <v>58</v>
      </c>
      <c r="H22" s="21" t="str">
        <f>HYPERLINK("#G22",CHAR(128))</f>
        <v>€</v>
      </c>
    </row>
    <row r="23" spans="1:10" x14ac:dyDescent="0.3">
      <c r="A23" s="2"/>
      <c r="B23" s="71" t="s">
        <v>48</v>
      </c>
      <c r="C23" s="71"/>
      <c r="D23" s="71"/>
      <c r="E23" s="54"/>
      <c r="F23" s="14">
        <v>1</v>
      </c>
      <c r="G23" s="23" t="s">
        <v>45</v>
      </c>
      <c r="H23" s="20" t="str">
        <f>HYPERLINK("#G23",CHAR(128))</f>
        <v>€</v>
      </c>
    </row>
    <row r="24" spans="1:10" x14ac:dyDescent="0.3">
      <c r="A24" s="5" t="s">
        <v>109</v>
      </c>
      <c r="B24" s="70" t="s">
        <v>32</v>
      </c>
      <c r="C24" s="70"/>
      <c r="D24" s="70"/>
      <c r="E24" s="53" t="s">
        <v>108</v>
      </c>
      <c r="F24" s="4">
        <v>1</v>
      </c>
      <c r="G24" s="23" t="s">
        <v>58</v>
      </c>
      <c r="H24" s="20" t="str">
        <f>HYPERLINK("#G24",CHAR(128))</f>
        <v>€</v>
      </c>
    </row>
    <row r="25" spans="1:10" x14ac:dyDescent="0.3">
      <c r="A25" s="2"/>
      <c r="B25" s="71"/>
      <c r="C25" s="71"/>
      <c r="D25" s="71"/>
      <c r="E25" s="1"/>
      <c r="F25" s="14"/>
      <c r="G25" s="14"/>
      <c r="H25" s="12"/>
      <c r="I25" s="10"/>
    </row>
    <row r="26" spans="1:10" x14ac:dyDescent="0.3">
      <c r="A26" s="5"/>
      <c r="B26" s="70" t="s">
        <v>37</v>
      </c>
      <c r="C26" s="70"/>
      <c r="D26" s="70"/>
      <c r="E26" s="4" t="str">
        <f>C2</f>
        <v>Taylor</v>
      </c>
      <c r="F26" s="4">
        <v>1</v>
      </c>
      <c r="G26" s="23" t="s">
        <v>45</v>
      </c>
      <c r="H26" s="22" t="str">
        <f>HYPERLINK("#G26",CHAR(128))</f>
        <v>€</v>
      </c>
    </row>
    <row r="28" spans="1:10" x14ac:dyDescent="0.3">
      <c r="J28" s="16"/>
    </row>
    <row r="29" spans="1:10" x14ac:dyDescent="0.3">
      <c r="A29" s="18"/>
      <c r="B29" s="69" t="s">
        <v>50</v>
      </c>
      <c r="C29" s="69"/>
      <c r="D29" s="69"/>
      <c r="E29" s="18" t="s">
        <v>8</v>
      </c>
      <c r="F29" s="18" t="s">
        <v>35</v>
      </c>
      <c r="G29" s="19" t="s">
        <v>36</v>
      </c>
    </row>
    <row r="30" spans="1:10" x14ac:dyDescent="0.3">
      <c r="A30" s="3"/>
      <c r="B30" s="70"/>
      <c r="C30" s="70"/>
      <c r="D30" s="70"/>
      <c r="E30" s="4"/>
      <c r="F30" s="8">
        <v>1</v>
      </c>
      <c r="G30" s="15"/>
      <c r="H30" s="17" t="str">
        <f>HYPERLINK("#G30",CHAR(128))</f>
        <v>€</v>
      </c>
    </row>
    <row r="31" spans="1:10" x14ac:dyDescent="0.3">
      <c r="A31" s="2"/>
      <c r="B31" s="71"/>
      <c r="C31" s="71"/>
      <c r="D31" s="71"/>
      <c r="E31" s="1"/>
      <c r="F31" s="14">
        <v>1</v>
      </c>
      <c r="G31" s="24"/>
      <c r="H31" s="17" t="str">
        <f>HYPERLINK("#G31",CHAR(128))</f>
        <v>€</v>
      </c>
    </row>
    <row r="32" spans="1:10" x14ac:dyDescent="0.3">
      <c r="A32" s="3"/>
      <c r="B32" s="70"/>
      <c r="C32" s="70"/>
      <c r="D32" s="70"/>
      <c r="E32" s="4"/>
      <c r="F32" s="4">
        <v>1</v>
      </c>
      <c r="G32" s="25"/>
      <c r="H32" s="17" t="str">
        <f>HYPERLINK("#G32",CHAR(128))</f>
        <v>€</v>
      </c>
    </row>
    <row r="33" spans="1:8" x14ac:dyDescent="0.3">
      <c r="A33" s="2"/>
      <c r="B33" s="71"/>
      <c r="C33" s="71"/>
      <c r="D33" s="71"/>
      <c r="E33" s="1"/>
      <c r="F33" s="14">
        <v>1</v>
      </c>
      <c r="G33" s="24"/>
      <c r="H33" s="17" t="str">
        <f>HYPERLINK("#G33",CHAR(128))</f>
        <v>€</v>
      </c>
    </row>
    <row r="34" spans="1:8" x14ac:dyDescent="0.3">
      <c r="A34" s="3"/>
      <c r="B34" s="70"/>
      <c r="C34" s="70"/>
      <c r="D34" s="70"/>
      <c r="E34" s="4"/>
      <c r="F34" s="4">
        <v>1</v>
      </c>
      <c r="G34" s="25"/>
      <c r="H34" s="17" t="str">
        <f>HYPERLINK("#G34",CHAR(128))</f>
        <v>€</v>
      </c>
    </row>
    <row r="37" spans="1:8" x14ac:dyDescent="0.3">
      <c r="A37" s="37" t="s">
        <v>40</v>
      </c>
      <c r="B37" s="37" t="s">
        <v>7</v>
      </c>
      <c r="C37" s="37" t="s">
        <v>60</v>
      </c>
      <c r="D37" s="37" t="s">
        <v>61</v>
      </c>
    </row>
    <row r="38" spans="1:8" x14ac:dyDescent="0.3">
      <c r="A38" s="37"/>
      <c r="B38" s="37"/>
      <c r="C38" s="37"/>
      <c r="D38" s="37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128" priority="2" operator="equal">
      <formula>"Returned"</formula>
    </cfRule>
    <cfRule type="cellIs" dxfId="127" priority="5" operator="equal">
      <formula>"Ready To Order"</formula>
    </cfRule>
    <cfRule type="cellIs" dxfId="126" priority="6" operator="equal">
      <formula>"UNP"</formula>
    </cfRule>
    <cfRule type="containsText" dxfId="125" priority="7" operator="containsText" text="Ordered">
      <formula>NOT(ISERROR(SEARCH("Ordered",G6)))</formula>
    </cfRule>
    <cfRule type="containsText" dxfId="124" priority="8" operator="containsText" text="Pick Up">
      <formula>NOT(ISERROR(SEARCH("Pick Up",G6)))</formula>
    </cfRule>
    <cfRule type="containsText" dxfId="123" priority="9" operator="containsText" text="Complete">
      <formula>NOT(ISERROR(SEARCH("Complete",G6)))</formula>
    </cfRule>
  </conditionalFormatting>
  <conditionalFormatting sqref="G30:G33">
    <cfRule type="containsText" dxfId="122" priority="4" operator="containsText" text="Given">
      <formula>NOT(ISERROR(SEARCH("Given",G30)))</formula>
    </cfRule>
  </conditionalFormatting>
  <conditionalFormatting sqref="G30:G34">
    <cfRule type="containsText" dxfId="121" priority="3" operator="containsText" text="Returned">
      <formula>NOT(ISERROR(SEARCH("Returned",G30)))</formula>
    </cfRule>
  </conditionalFormatting>
  <conditionalFormatting sqref="G6:G14 G21:G26 G16:G19">
    <cfRule type="cellIs" dxfId="120" priority="1" operator="equal">
      <formula>"In Stock"</formula>
    </cfRule>
  </conditionalFormatting>
  <dataValidations count="3">
    <dataValidation type="list" allowBlank="1" showInputMessage="1" showErrorMessage="1" sqref="G30:G34" xr:uid="{211BD2A1-7710-49AA-A629-0379ACBC4431}">
      <formula1>"--,Returned, Given"</formula1>
    </dataValidation>
    <dataValidation type="list" allowBlank="1" showInputMessage="1" showErrorMessage="1" sqref="G16:G19 G21:G24 G26 G6:G14" xr:uid="{E927CE71-7EC5-4FE9-8B96-B9A2EB8789C0}">
      <formula1>"UNP, Ready To Order, Ordered, In Stock, Pick Up, Complete, Returned"</formula1>
    </dataValidation>
    <dataValidation type="decimal" allowBlank="1" showInputMessage="1" showErrorMessage="1" sqref="L2" xr:uid="{03DB0340-C324-42C0-BF97-19EEA20657AC}">
      <formula1>19</formula1>
      <formula2>26</formula2>
    </dataValidation>
  </dataValidations>
  <hyperlinks>
    <hyperlink ref="A1:A2" location="Menu!A1" display="Back to Menu" xr:uid="{9E99028F-605E-413B-85D4-425FE430BDA4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5569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16625</xdr:colOff>
                    <xdr:row>10</xdr:row>
                    <xdr:rowOff>191193</xdr:rowOff>
                  </from>
                  <to>
                    <xdr:col>12</xdr:col>
                    <xdr:colOff>16625</xdr:colOff>
                    <xdr:row>12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570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216131</xdr:rowOff>
                  </from>
                  <to>
                    <xdr:col>12</xdr:col>
                    <xdr:colOff>33251</xdr:colOff>
                    <xdr:row>21</xdr:row>
                    <xdr:rowOff>157942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571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32</xdr:row>
                    <xdr:rowOff>166255</xdr:rowOff>
                  </from>
                  <to>
                    <xdr:col>12</xdr:col>
                    <xdr:colOff>0</xdr:colOff>
                    <xdr:row>33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572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598516</xdr:colOff>
                    <xdr:row>30</xdr:row>
                    <xdr:rowOff>174567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5573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174567</xdr:rowOff>
                  </from>
                  <to>
                    <xdr:col>12</xdr:col>
                    <xdr:colOff>8313</xdr:colOff>
                    <xdr:row>26</xdr:row>
                    <xdr:rowOff>108065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5C330-78F4-437D-96E9-59C631CD2CCA}">
  <sheetPr codeName="Sheet5"/>
  <dimension ref="A1:L38"/>
  <sheetViews>
    <sheetView workbookViewId="0">
      <selection sqref="A1:A1048576"/>
    </sheetView>
  </sheetViews>
  <sheetFormatPr defaultRowHeight="15.05" x14ac:dyDescent="0.3"/>
  <cols>
    <col min="1" max="1" width="18.6640625" customWidth="1"/>
    <col min="3" max="3" width="9" customWidth="1"/>
    <col min="4" max="4" width="9.8867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77" t="s">
        <v>42</v>
      </c>
      <c r="B1" s="18" t="s">
        <v>3</v>
      </c>
      <c r="C1" s="69" t="s">
        <v>0</v>
      </c>
      <c r="D1" s="69"/>
      <c r="E1" s="69" t="s">
        <v>2</v>
      </c>
      <c r="F1" s="69"/>
      <c r="G1" s="18" t="s">
        <v>34</v>
      </c>
      <c r="K1" s="18" t="s">
        <v>38</v>
      </c>
      <c r="L1" s="18" t="s">
        <v>10</v>
      </c>
    </row>
    <row r="2" spans="1:12" x14ac:dyDescent="0.3">
      <c r="A2" s="78"/>
      <c r="B2" s="2" t="s">
        <v>130</v>
      </c>
      <c r="C2" s="71" t="s">
        <v>122</v>
      </c>
      <c r="D2" s="71"/>
      <c r="E2" s="71" t="s">
        <v>123</v>
      </c>
      <c r="F2" s="71"/>
      <c r="G2" s="1" t="s">
        <v>131</v>
      </c>
      <c r="K2" s="4" t="s">
        <v>9</v>
      </c>
      <c r="L2" s="4">
        <v>22</v>
      </c>
    </row>
    <row r="3" spans="1:12" x14ac:dyDescent="0.3">
      <c r="A3" s="18" t="s">
        <v>1</v>
      </c>
      <c r="B3" s="79" t="s">
        <v>4</v>
      </c>
      <c r="C3" s="80"/>
      <c r="D3" s="81"/>
      <c r="E3" s="79" t="s">
        <v>49</v>
      </c>
      <c r="F3" s="81"/>
      <c r="G3" s="18" t="s">
        <v>5</v>
      </c>
      <c r="K3" s="1" t="s">
        <v>11</v>
      </c>
      <c r="L3" s="1">
        <v>16</v>
      </c>
    </row>
    <row r="4" spans="1:12" x14ac:dyDescent="0.3">
      <c r="A4" s="1" t="s">
        <v>39</v>
      </c>
      <c r="B4" s="76">
        <v>9999999999</v>
      </c>
      <c r="C4" s="76"/>
      <c r="D4" s="76"/>
      <c r="E4" s="71"/>
      <c r="F4" s="71"/>
      <c r="G4" s="1" t="s">
        <v>69</v>
      </c>
      <c r="K4" s="4" t="s">
        <v>12</v>
      </c>
      <c r="L4" s="4">
        <v>35</v>
      </c>
    </row>
    <row r="5" spans="1:12" x14ac:dyDescent="0.3">
      <c r="A5" s="18" t="s">
        <v>6</v>
      </c>
      <c r="B5" s="69" t="s">
        <v>7</v>
      </c>
      <c r="C5" s="69"/>
      <c r="D5" s="69"/>
      <c r="E5" s="18" t="s">
        <v>8</v>
      </c>
      <c r="F5" s="18" t="s">
        <v>35</v>
      </c>
      <c r="G5" s="18" t="s">
        <v>36</v>
      </c>
      <c r="K5" s="1" t="s">
        <v>13</v>
      </c>
      <c r="L5" s="1">
        <v>31</v>
      </c>
    </row>
    <row r="6" spans="1:12" x14ac:dyDescent="0.3">
      <c r="A6" s="3" t="s">
        <v>132</v>
      </c>
      <c r="B6" s="70" t="s">
        <v>18</v>
      </c>
      <c r="C6" s="70"/>
      <c r="D6" s="70"/>
      <c r="E6" s="53">
        <v>6736</v>
      </c>
      <c r="F6" s="4">
        <v>1</v>
      </c>
      <c r="G6" s="23" t="s">
        <v>77</v>
      </c>
      <c r="H6" s="26" t="str">
        <f>HYPERLINK("#G6",CHAR(128))</f>
        <v>€</v>
      </c>
      <c r="K6" s="4" t="s">
        <v>14</v>
      </c>
      <c r="L6" s="4">
        <v>37</v>
      </c>
    </row>
    <row r="7" spans="1:12" x14ac:dyDescent="0.3">
      <c r="A7" s="2" t="s">
        <v>173</v>
      </c>
      <c r="B7" s="71" t="s">
        <v>21</v>
      </c>
      <c r="C7" s="71"/>
      <c r="D7" s="71"/>
      <c r="E7" s="54">
        <v>16</v>
      </c>
      <c r="F7" s="14">
        <v>1</v>
      </c>
      <c r="G7" s="23" t="s">
        <v>58</v>
      </c>
      <c r="H7" s="26" t="str">
        <f>HYPERLINK("#G7",CHAR(128))</f>
        <v>€</v>
      </c>
      <c r="K7" s="1" t="s">
        <v>15</v>
      </c>
      <c r="L7" s="1">
        <v>66</v>
      </c>
    </row>
    <row r="8" spans="1:12" x14ac:dyDescent="0.3">
      <c r="A8" s="3" t="s">
        <v>133</v>
      </c>
      <c r="B8" s="70" t="s">
        <v>19</v>
      </c>
      <c r="C8" s="70"/>
      <c r="D8" s="70"/>
      <c r="E8" s="53" t="s">
        <v>118</v>
      </c>
      <c r="F8" s="4">
        <v>1</v>
      </c>
      <c r="G8" s="23" t="s">
        <v>58</v>
      </c>
      <c r="H8" s="26" t="str">
        <f>HYPERLINK("#G8",CHAR(128))</f>
        <v>€</v>
      </c>
      <c r="K8" s="4" t="s">
        <v>16</v>
      </c>
      <c r="L8" s="4">
        <v>39</v>
      </c>
    </row>
    <row r="9" spans="1:12" x14ac:dyDescent="0.3">
      <c r="A9" s="2" t="s">
        <v>134</v>
      </c>
      <c r="B9" s="71" t="s">
        <v>20</v>
      </c>
      <c r="C9" s="71"/>
      <c r="D9" s="71"/>
      <c r="E9" s="54" t="s">
        <v>162</v>
      </c>
      <c r="F9" s="14">
        <v>1</v>
      </c>
      <c r="G9" s="23" t="s">
        <v>58</v>
      </c>
      <c r="H9" s="26" t="str">
        <f>HYPERLINK("#G9",CHAR(128))</f>
        <v>€</v>
      </c>
      <c r="I9" s="9"/>
      <c r="K9" s="1" t="s">
        <v>17</v>
      </c>
      <c r="L9" s="1">
        <v>13</v>
      </c>
    </row>
    <row r="10" spans="1:12" x14ac:dyDescent="0.3">
      <c r="A10" s="3" t="s">
        <v>174</v>
      </c>
      <c r="B10" s="70" t="s">
        <v>24</v>
      </c>
      <c r="C10" s="70"/>
      <c r="D10" s="70"/>
      <c r="E10" s="53">
        <v>7</v>
      </c>
      <c r="F10" s="4">
        <v>1</v>
      </c>
      <c r="G10" s="23" t="s">
        <v>58</v>
      </c>
      <c r="H10" s="26" t="str">
        <f>HYPERLINK("#G10",CHAR(128))</f>
        <v>€</v>
      </c>
      <c r="K10" s="13" t="s">
        <v>47</v>
      </c>
      <c r="L10" s="13"/>
    </row>
    <row r="11" spans="1:12" x14ac:dyDescent="0.3">
      <c r="A11" s="2" t="s">
        <v>56</v>
      </c>
      <c r="B11" s="71" t="s">
        <v>23</v>
      </c>
      <c r="C11" s="71"/>
      <c r="D11" s="71"/>
      <c r="E11" s="54" t="s">
        <v>180</v>
      </c>
      <c r="F11" s="14">
        <v>1</v>
      </c>
      <c r="G11" s="23" t="s">
        <v>77</v>
      </c>
      <c r="H11" s="26" t="str">
        <f>HYPERLINK("#G11",CHAR(128))</f>
        <v>€</v>
      </c>
    </row>
    <row r="12" spans="1:12" x14ac:dyDescent="0.3">
      <c r="A12" s="5" t="s">
        <v>168</v>
      </c>
      <c r="B12" s="70" t="s">
        <v>25</v>
      </c>
      <c r="C12" s="70"/>
      <c r="D12" s="70"/>
      <c r="E12" s="53" t="s">
        <v>180</v>
      </c>
      <c r="F12" s="4">
        <v>1</v>
      </c>
      <c r="G12" s="23" t="s">
        <v>77</v>
      </c>
      <c r="H12" s="26" t="str">
        <f>HYPERLINK("#G12",CHAR(128))</f>
        <v>€</v>
      </c>
    </row>
    <row r="13" spans="1:12" x14ac:dyDescent="0.3">
      <c r="A13" s="2"/>
      <c r="B13" s="71" t="s">
        <v>26</v>
      </c>
      <c r="C13" s="71"/>
      <c r="D13" s="71"/>
      <c r="E13" s="54"/>
      <c r="F13" s="14">
        <v>1</v>
      </c>
      <c r="G13" s="23" t="s">
        <v>45</v>
      </c>
      <c r="H13" s="26" t="str">
        <f>HYPERLINK("#G13",CHAR(128))</f>
        <v>€</v>
      </c>
    </row>
    <row r="14" spans="1:12" x14ac:dyDescent="0.3">
      <c r="A14" s="5"/>
      <c r="B14" s="70" t="s">
        <v>27</v>
      </c>
      <c r="C14" s="70"/>
      <c r="D14" s="70"/>
      <c r="E14" s="53"/>
      <c r="F14" s="4">
        <v>1</v>
      </c>
      <c r="G14" s="23" t="s">
        <v>45</v>
      </c>
      <c r="H14" s="26" t="str">
        <f>HYPERLINK("#G14",CHAR(128))</f>
        <v>€</v>
      </c>
    </row>
    <row r="15" spans="1:12" x14ac:dyDescent="0.3">
      <c r="A15" s="2"/>
      <c r="B15" s="72"/>
      <c r="C15" s="72"/>
      <c r="D15" s="72"/>
      <c r="E15" s="54"/>
      <c r="F15" s="14"/>
      <c r="G15" s="14"/>
      <c r="H15" s="12"/>
    </row>
    <row r="16" spans="1:12" x14ac:dyDescent="0.3">
      <c r="A16" s="5" t="s">
        <v>46</v>
      </c>
      <c r="B16" s="70" t="s">
        <v>28</v>
      </c>
      <c r="C16" s="70"/>
      <c r="D16" s="70"/>
      <c r="E16" s="53"/>
      <c r="F16" s="4">
        <v>1</v>
      </c>
      <c r="G16" s="23" t="s">
        <v>45</v>
      </c>
      <c r="H16" s="21" t="str">
        <f>HYPERLINK("#G16",CHAR(128))</f>
        <v>€</v>
      </c>
    </row>
    <row r="17" spans="1:10" x14ac:dyDescent="0.3">
      <c r="A17" s="2" t="s">
        <v>136</v>
      </c>
      <c r="B17" s="71" t="s">
        <v>22</v>
      </c>
      <c r="C17" s="71"/>
      <c r="D17" s="71"/>
      <c r="E17" s="54" t="s">
        <v>118</v>
      </c>
      <c r="F17" s="14">
        <v>1</v>
      </c>
      <c r="G17" s="23" t="s">
        <v>77</v>
      </c>
      <c r="H17" s="21" t="str">
        <f>HYPERLINK("#G17",CHAR(128))</f>
        <v>€</v>
      </c>
    </row>
    <row r="18" spans="1:10" x14ac:dyDescent="0.3">
      <c r="A18" s="5"/>
      <c r="B18" s="70" t="s">
        <v>29</v>
      </c>
      <c r="C18" s="70"/>
      <c r="D18" s="70"/>
      <c r="E18" s="53" t="s">
        <v>118</v>
      </c>
      <c r="F18" s="4">
        <v>1</v>
      </c>
      <c r="G18" s="23" t="s">
        <v>77</v>
      </c>
      <c r="H18" s="21" t="str">
        <f>HYPERLINK("#G18",CHAR(128))</f>
        <v>€</v>
      </c>
    </row>
    <row r="19" spans="1:10" x14ac:dyDescent="0.3">
      <c r="A19" s="2"/>
      <c r="B19" s="71" t="s">
        <v>30</v>
      </c>
      <c r="C19" s="71"/>
      <c r="D19" s="71"/>
      <c r="E19" s="54">
        <v>7040</v>
      </c>
      <c r="F19" s="14">
        <v>1</v>
      </c>
      <c r="G19" s="23" t="s">
        <v>58</v>
      </c>
      <c r="H19" s="21" t="str">
        <f>HYPERLINK("#G19",CHAR(128))</f>
        <v>€</v>
      </c>
    </row>
    <row r="20" spans="1:10" x14ac:dyDescent="0.3">
      <c r="A20" s="5"/>
      <c r="B20" s="73"/>
      <c r="C20" s="74"/>
      <c r="D20" s="75"/>
      <c r="E20" s="53"/>
      <c r="F20" s="4"/>
      <c r="G20" s="4"/>
      <c r="H20" s="12"/>
    </row>
    <row r="21" spans="1:10" x14ac:dyDescent="0.3">
      <c r="A21" s="2" t="s">
        <v>175</v>
      </c>
      <c r="B21" s="71" t="s">
        <v>33</v>
      </c>
      <c r="C21" s="71"/>
      <c r="D21" s="71"/>
      <c r="E21" s="54" t="s">
        <v>181</v>
      </c>
      <c r="F21" s="14">
        <v>1</v>
      </c>
      <c r="G21" s="23" t="s">
        <v>45</v>
      </c>
      <c r="H21" s="21" t="str">
        <f>HYPERLINK("#G21",CHAR(128))</f>
        <v>€</v>
      </c>
    </row>
    <row r="22" spans="1:10" x14ac:dyDescent="0.3">
      <c r="A22" s="5" t="s">
        <v>138</v>
      </c>
      <c r="B22" s="70" t="s">
        <v>31</v>
      </c>
      <c r="C22" s="70"/>
      <c r="D22" s="70"/>
      <c r="E22" s="53">
        <v>6736</v>
      </c>
      <c r="F22" s="4">
        <v>1</v>
      </c>
      <c r="G22" s="23" t="s">
        <v>77</v>
      </c>
      <c r="H22" s="21" t="str">
        <f>HYPERLINK("#G22",CHAR(128))</f>
        <v>€</v>
      </c>
    </row>
    <row r="23" spans="1:10" x14ac:dyDescent="0.3">
      <c r="A23" s="2" t="s">
        <v>139</v>
      </c>
      <c r="B23" s="71" t="s">
        <v>48</v>
      </c>
      <c r="C23" s="71"/>
      <c r="D23" s="71"/>
      <c r="E23" s="54">
        <v>6734</v>
      </c>
      <c r="F23" s="14">
        <v>1</v>
      </c>
      <c r="G23" s="23" t="s">
        <v>77</v>
      </c>
      <c r="H23" s="20" t="str">
        <f>HYPERLINK("#G23",CHAR(128))</f>
        <v>€</v>
      </c>
    </row>
    <row r="24" spans="1:10" x14ac:dyDescent="0.3">
      <c r="A24" s="5"/>
      <c r="B24" s="70" t="s">
        <v>32</v>
      </c>
      <c r="C24" s="70"/>
      <c r="D24" s="70"/>
      <c r="E24" s="53"/>
      <c r="F24" s="4">
        <v>1</v>
      </c>
      <c r="G24" s="23" t="s">
        <v>45</v>
      </c>
      <c r="H24" s="20" t="str">
        <f>HYPERLINK("#G24",CHAR(128))</f>
        <v>€</v>
      </c>
    </row>
    <row r="25" spans="1:10" x14ac:dyDescent="0.3">
      <c r="A25" s="2"/>
      <c r="B25" s="71"/>
      <c r="C25" s="71"/>
      <c r="D25" s="71"/>
      <c r="E25" s="1"/>
      <c r="F25" s="14"/>
      <c r="G25" s="14"/>
      <c r="H25" s="12"/>
      <c r="I25" s="10"/>
    </row>
    <row r="26" spans="1:10" x14ac:dyDescent="0.3">
      <c r="A26" s="5"/>
      <c r="B26" s="70" t="s">
        <v>37</v>
      </c>
      <c r="C26" s="70"/>
      <c r="D26" s="70"/>
      <c r="E26" s="4" t="str">
        <f>C2</f>
        <v>Rob</v>
      </c>
      <c r="F26" s="4">
        <v>1</v>
      </c>
      <c r="G26" s="23" t="s">
        <v>45</v>
      </c>
      <c r="H26" s="22" t="str">
        <f>HYPERLINK("#G26",CHAR(128))</f>
        <v>€</v>
      </c>
    </row>
    <row r="28" spans="1:10" x14ac:dyDescent="0.3">
      <c r="J28" s="16"/>
    </row>
    <row r="29" spans="1:10" x14ac:dyDescent="0.3">
      <c r="A29" s="18"/>
      <c r="B29" s="69" t="s">
        <v>50</v>
      </c>
      <c r="C29" s="69"/>
      <c r="D29" s="69"/>
      <c r="E29" s="18" t="s">
        <v>8</v>
      </c>
      <c r="F29" s="18" t="s">
        <v>35</v>
      </c>
      <c r="G29" s="19" t="s">
        <v>36</v>
      </c>
    </row>
    <row r="30" spans="1:10" x14ac:dyDescent="0.3">
      <c r="A30" s="3"/>
      <c r="B30" s="70"/>
      <c r="C30" s="70"/>
      <c r="D30" s="70"/>
      <c r="E30" s="4"/>
      <c r="F30" s="8">
        <v>1</v>
      </c>
      <c r="G30" s="15"/>
      <c r="H30" s="17" t="str">
        <f>HYPERLINK("#G30",CHAR(128))</f>
        <v>€</v>
      </c>
    </row>
    <row r="31" spans="1:10" x14ac:dyDescent="0.3">
      <c r="A31" s="2"/>
      <c r="B31" s="71"/>
      <c r="C31" s="71"/>
      <c r="D31" s="71"/>
      <c r="E31" s="1"/>
      <c r="F31" s="14">
        <v>1</v>
      </c>
      <c r="G31" s="24"/>
      <c r="H31" s="17" t="str">
        <f>HYPERLINK("#G31",CHAR(128))</f>
        <v>€</v>
      </c>
    </row>
    <row r="32" spans="1:10" x14ac:dyDescent="0.3">
      <c r="A32" s="3"/>
      <c r="B32" s="70"/>
      <c r="C32" s="70"/>
      <c r="D32" s="70"/>
      <c r="E32" s="4"/>
      <c r="F32" s="4">
        <v>1</v>
      </c>
      <c r="G32" s="25"/>
      <c r="H32" s="17" t="str">
        <f>HYPERLINK("#G32",CHAR(128))</f>
        <v>€</v>
      </c>
    </row>
    <row r="33" spans="1:8" x14ac:dyDescent="0.3">
      <c r="A33" s="2"/>
      <c r="B33" s="71"/>
      <c r="C33" s="71"/>
      <c r="D33" s="71"/>
      <c r="E33" s="1"/>
      <c r="F33" s="14">
        <v>1</v>
      </c>
      <c r="G33" s="24"/>
      <c r="H33" s="17" t="str">
        <f>HYPERLINK("#G33",CHAR(128))</f>
        <v>€</v>
      </c>
    </row>
    <row r="34" spans="1:8" x14ac:dyDescent="0.3">
      <c r="A34" s="3"/>
      <c r="B34" s="70"/>
      <c r="C34" s="70"/>
      <c r="D34" s="70"/>
      <c r="E34" s="4"/>
      <c r="F34" s="4">
        <v>1</v>
      </c>
      <c r="G34" s="25"/>
      <c r="H34" s="17" t="str">
        <f>HYPERLINK("#G34",CHAR(128))</f>
        <v>€</v>
      </c>
    </row>
    <row r="37" spans="1:8" x14ac:dyDescent="0.3">
      <c r="A37" s="37" t="s">
        <v>40</v>
      </c>
      <c r="B37" s="37" t="s">
        <v>7</v>
      </c>
      <c r="C37" s="37" t="s">
        <v>60</v>
      </c>
      <c r="D37" s="37" t="s">
        <v>61</v>
      </c>
    </row>
    <row r="38" spans="1:8" x14ac:dyDescent="0.3">
      <c r="A38" s="37"/>
      <c r="B38" s="37"/>
      <c r="C38" s="37"/>
      <c r="D38" s="37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113" priority="2" operator="equal">
      <formula>"Returned"</formula>
    </cfRule>
    <cfRule type="cellIs" dxfId="112" priority="5" operator="equal">
      <formula>"Ready To Order"</formula>
    </cfRule>
    <cfRule type="cellIs" dxfId="111" priority="6" operator="equal">
      <formula>"UNP"</formula>
    </cfRule>
    <cfRule type="containsText" dxfId="110" priority="7" operator="containsText" text="Ordered">
      <formula>NOT(ISERROR(SEARCH("Ordered",G6)))</formula>
    </cfRule>
    <cfRule type="containsText" dxfId="109" priority="8" operator="containsText" text="Pick Up">
      <formula>NOT(ISERROR(SEARCH("Pick Up",G6)))</formula>
    </cfRule>
    <cfRule type="containsText" dxfId="108" priority="9" operator="containsText" text="Complete">
      <formula>NOT(ISERROR(SEARCH("Complete",G6)))</formula>
    </cfRule>
  </conditionalFormatting>
  <conditionalFormatting sqref="G30:G33">
    <cfRule type="containsText" dxfId="107" priority="4" operator="containsText" text="Given">
      <formula>NOT(ISERROR(SEARCH("Given",G30)))</formula>
    </cfRule>
  </conditionalFormatting>
  <conditionalFormatting sqref="G30:G34">
    <cfRule type="containsText" dxfId="106" priority="3" operator="containsText" text="Returned">
      <formula>NOT(ISERROR(SEARCH("Returned",G30)))</formula>
    </cfRule>
  </conditionalFormatting>
  <conditionalFormatting sqref="G6:G14 G21:G26 G16:G19">
    <cfRule type="cellIs" dxfId="105" priority="1" operator="equal">
      <formula>"In Stock"</formula>
    </cfRule>
  </conditionalFormatting>
  <dataValidations count="3">
    <dataValidation type="list" allowBlank="1" showInputMessage="1" showErrorMessage="1" sqref="G30:G34" xr:uid="{FBA7C2A9-8BC5-4941-8473-D6FAA1FA9C1E}">
      <formula1>"--,Returned, Given"</formula1>
    </dataValidation>
    <dataValidation type="list" allowBlank="1" showInputMessage="1" showErrorMessage="1" sqref="G16:G19 G21:G24 G26 G6:G14" xr:uid="{FE8F1075-5A56-40A1-B64E-0696E4581D41}">
      <formula1>"UNP, Ready To Order, Ordered, In Stock, Pick Up, Complete, Returned"</formula1>
    </dataValidation>
    <dataValidation type="decimal" allowBlank="1" showInputMessage="1" showErrorMessage="1" sqref="L2" xr:uid="{D5A03F8B-1F13-4EE3-9620-013AFEF0E1F9}">
      <formula1>19</formula1>
      <formula2>26</formula2>
    </dataValidation>
  </dataValidations>
  <hyperlinks>
    <hyperlink ref="A1:A2" location="Menu!A1" display="Back to Menu" xr:uid="{8ECADCED-2B80-42DE-A37F-EE9832668C46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6593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16625</xdr:colOff>
                    <xdr:row>10</xdr:row>
                    <xdr:rowOff>191193</xdr:rowOff>
                  </from>
                  <to>
                    <xdr:col>12</xdr:col>
                    <xdr:colOff>16625</xdr:colOff>
                    <xdr:row>12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594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216131</xdr:rowOff>
                  </from>
                  <to>
                    <xdr:col>12</xdr:col>
                    <xdr:colOff>33251</xdr:colOff>
                    <xdr:row>21</xdr:row>
                    <xdr:rowOff>157942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595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32</xdr:row>
                    <xdr:rowOff>166255</xdr:rowOff>
                  </from>
                  <to>
                    <xdr:col>12</xdr:col>
                    <xdr:colOff>0</xdr:colOff>
                    <xdr:row>33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596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598516</xdr:colOff>
                    <xdr:row>30</xdr:row>
                    <xdr:rowOff>174567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6597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174567</xdr:rowOff>
                  </from>
                  <to>
                    <xdr:col>12</xdr:col>
                    <xdr:colOff>8313</xdr:colOff>
                    <xdr:row>26</xdr:row>
                    <xdr:rowOff>108065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2EA59-A703-441F-92D7-AEC0B8DF64DC}">
  <sheetPr codeName="Sheet7"/>
  <dimension ref="A1:L38"/>
  <sheetViews>
    <sheetView workbookViewId="0">
      <selection activeCell="E21" sqref="E21"/>
    </sheetView>
  </sheetViews>
  <sheetFormatPr defaultRowHeight="15.05" x14ac:dyDescent="0.3"/>
  <cols>
    <col min="1" max="1" width="18.6640625" customWidth="1"/>
    <col min="3" max="3" width="9" customWidth="1"/>
    <col min="4" max="4" width="9.8867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77" t="s">
        <v>42</v>
      </c>
      <c r="B1" s="18" t="s">
        <v>3</v>
      </c>
      <c r="C1" s="69" t="s">
        <v>0</v>
      </c>
      <c r="D1" s="69"/>
      <c r="E1" s="69" t="s">
        <v>2</v>
      </c>
      <c r="F1" s="69"/>
      <c r="G1" s="18" t="s">
        <v>34</v>
      </c>
      <c r="K1" s="18" t="s">
        <v>38</v>
      </c>
      <c r="L1" s="18" t="s">
        <v>10</v>
      </c>
    </row>
    <row r="2" spans="1:12" x14ac:dyDescent="0.3">
      <c r="A2" s="78"/>
      <c r="B2" s="2" t="s">
        <v>130</v>
      </c>
      <c r="C2" s="71" t="s">
        <v>124</v>
      </c>
      <c r="D2" s="71"/>
      <c r="E2" s="71" t="s">
        <v>125</v>
      </c>
      <c r="F2" s="71"/>
      <c r="G2" s="1" t="s">
        <v>140</v>
      </c>
      <c r="K2" s="4" t="s">
        <v>9</v>
      </c>
      <c r="L2" s="4">
        <v>23.5</v>
      </c>
    </row>
    <row r="3" spans="1:12" x14ac:dyDescent="0.3">
      <c r="A3" s="18" t="s">
        <v>1</v>
      </c>
      <c r="B3" s="79" t="s">
        <v>4</v>
      </c>
      <c r="C3" s="80"/>
      <c r="D3" s="81"/>
      <c r="E3" s="79" t="s">
        <v>49</v>
      </c>
      <c r="F3" s="81"/>
      <c r="G3" s="18" t="s">
        <v>5</v>
      </c>
      <c r="K3" s="1" t="s">
        <v>11</v>
      </c>
      <c r="L3" s="1">
        <v>17</v>
      </c>
    </row>
    <row r="4" spans="1:12" x14ac:dyDescent="0.3">
      <c r="A4" s="1" t="s">
        <v>39</v>
      </c>
      <c r="B4" s="76">
        <v>9999999999</v>
      </c>
      <c r="C4" s="76"/>
      <c r="D4" s="76"/>
      <c r="E4" s="71"/>
      <c r="F4" s="71"/>
      <c r="G4" s="1" t="s">
        <v>69</v>
      </c>
      <c r="K4" s="4" t="s">
        <v>12</v>
      </c>
      <c r="L4" s="4">
        <v>45</v>
      </c>
    </row>
    <row r="5" spans="1:12" x14ac:dyDescent="0.3">
      <c r="A5" s="18" t="s">
        <v>6</v>
      </c>
      <c r="B5" s="69" t="s">
        <v>7</v>
      </c>
      <c r="C5" s="69"/>
      <c r="D5" s="69"/>
      <c r="E5" s="18" t="s">
        <v>8</v>
      </c>
      <c r="F5" s="18" t="s">
        <v>35</v>
      </c>
      <c r="G5" s="18" t="s">
        <v>36</v>
      </c>
      <c r="K5" s="1" t="s">
        <v>13</v>
      </c>
      <c r="L5" s="1">
        <v>43</v>
      </c>
    </row>
    <row r="6" spans="1:12" x14ac:dyDescent="0.3">
      <c r="A6" s="3" t="s">
        <v>141</v>
      </c>
      <c r="B6" s="70" t="s">
        <v>18</v>
      </c>
      <c r="C6" s="70"/>
      <c r="D6" s="70"/>
      <c r="E6" s="53">
        <v>8046</v>
      </c>
      <c r="F6" s="4">
        <v>1</v>
      </c>
      <c r="G6" s="23" t="s">
        <v>77</v>
      </c>
      <c r="H6" s="26" t="str">
        <f>HYPERLINK("#G6",CHAR(128))</f>
        <v>€</v>
      </c>
      <c r="K6" s="4" t="s">
        <v>14</v>
      </c>
      <c r="L6" s="4">
        <v>43</v>
      </c>
    </row>
    <row r="7" spans="1:12" x14ac:dyDescent="0.3">
      <c r="A7" s="2" t="s">
        <v>221</v>
      </c>
      <c r="B7" s="71" t="s">
        <v>21</v>
      </c>
      <c r="C7" s="71"/>
      <c r="D7" s="71"/>
      <c r="E7" s="54" t="s">
        <v>220</v>
      </c>
      <c r="F7" s="14">
        <v>1</v>
      </c>
      <c r="G7" s="23" t="s">
        <v>58</v>
      </c>
      <c r="H7" s="26" t="str">
        <f>HYPERLINK("#G7",CHAR(128))</f>
        <v>€</v>
      </c>
      <c r="K7" s="1" t="s">
        <v>15</v>
      </c>
      <c r="L7" s="1">
        <v>75</v>
      </c>
    </row>
    <row r="8" spans="1:12" x14ac:dyDescent="0.3">
      <c r="A8" s="3" t="s">
        <v>142</v>
      </c>
      <c r="B8" s="70" t="s">
        <v>19</v>
      </c>
      <c r="C8" s="70"/>
      <c r="D8" s="70"/>
      <c r="E8" s="53" t="s">
        <v>119</v>
      </c>
      <c r="F8" s="4">
        <v>1</v>
      </c>
      <c r="G8" s="23" t="s">
        <v>58</v>
      </c>
      <c r="H8" s="26" t="str">
        <f>HYPERLINK("#G8",CHAR(128))</f>
        <v>€</v>
      </c>
      <c r="K8" s="4" t="s">
        <v>16</v>
      </c>
      <c r="L8" s="4">
        <v>304.8</v>
      </c>
    </row>
    <row r="9" spans="1:12" x14ac:dyDescent="0.3">
      <c r="A9" s="2" t="s">
        <v>176</v>
      </c>
      <c r="B9" s="71" t="s">
        <v>20</v>
      </c>
      <c r="C9" s="71"/>
      <c r="D9" s="71"/>
      <c r="E9" s="54">
        <v>7644</v>
      </c>
      <c r="F9" s="14">
        <v>1</v>
      </c>
      <c r="G9" s="23" t="s">
        <v>58</v>
      </c>
      <c r="H9" s="26" t="str">
        <f>HYPERLINK("#G9",CHAR(128))</f>
        <v>€</v>
      </c>
      <c r="I9" s="9"/>
      <c r="K9" s="1" t="s">
        <v>17</v>
      </c>
      <c r="L9" s="1">
        <v>101.6</v>
      </c>
    </row>
    <row r="10" spans="1:12" x14ac:dyDescent="0.3">
      <c r="A10" s="3"/>
      <c r="B10" s="70" t="s">
        <v>24</v>
      </c>
      <c r="C10" s="70"/>
      <c r="D10" s="70"/>
      <c r="E10" s="53">
        <v>7.5</v>
      </c>
      <c r="F10" s="4">
        <v>1</v>
      </c>
      <c r="G10" s="23" t="s">
        <v>58</v>
      </c>
      <c r="H10" s="26" t="str">
        <f>HYPERLINK("#G10",CHAR(128))</f>
        <v>€</v>
      </c>
      <c r="K10" s="13" t="s">
        <v>47</v>
      </c>
      <c r="L10" s="13"/>
    </row>
    <row r="11" spans="1:12" x14ac:dyDescent="0.3">
      <c r="A11" s="2" t="s">
        <v>182</v>
      </c>
      <c r="B11" s="71" t="s">
        <v>23</v>
      </c>
      <c r="C11" s="71"/>
      <c r="D11" s="71"/>
      <c r="E11" s="54" t="s">
        <v>119</v>
      </c>
      <c r="F11" s="14">
        <v>1</v>
      </c>
      <c r="G11" s="23" t="s">
        <v>58</v>
      </c>
      <c r="H11" s="26" t="str">
        <f>HYPERLINK("#G11",CHAR(128))</f>
        <v>€</v>
      </c>
    </row>
    <row r="12" spans="1:12" x14ac:dyDescent="0.3">
      <c r="A12" s="5" t="s">
        <v>183</v>
      </c>
      <c r="B12" s="70" t="s">
        <v>25</v>
      </c>
      <c r="C12" s="70"/>
      <c r="D12" s="70"/>
      <c r="E12" s="53" t="s">
        <v>119</v>
      </c>
      <c r="F12" s="4">
        <v>1</v>
      </c>
      <c r="G12" s="23" t="s">
        <v>58</v>
      </c>
      <c r="H12" s="26" t="str">
        <f>HYPERLINK("#G12",CHAR(128))</f>
        <v>€</v>
      </c>
    </row>
    <row r="13" spans="1:12" x14ac:dyDescent="0.3">
      <c r="A13" s="2" t="s">
        <v>177</v>
      </c>
      <c r="B13" s="71" t="s">
        <v>26</v>
      </c>
      <c r="C13" s="71"/>
      <c r="D13" s="71"/>
      <c r="E13" s="54" t="s">
        <v>67</v>
      </c>
      <c r="F13" s="14">
        <v>1</v>
      </c>
      <c r="G13" s="23" t="s">
        <v>77</v>
      </c>
      <c r="H13" s="26" t="str">
        <f>HYPERLINK("#G13",CHAR(128))</f>
        <v>€</v>
      </c>
    </row>
    <row r="14" spans="1:12" x14ac:dyDescent="0.3">
      <c r="A14" s="5"/>
      <c r="B14" s="70" t="s">
        <v>27</v>
      </c>
      <c r="C14" s="70"/>
      <c r="D14" s="70"/>
      <c r="E14" s="53"/>
      <c r="F14" s="4">
        <v>1</v>
      </c>
      <c r="G14" s="23" t="s">
        <v>45</v>
      </c>
      <c r="H14" s="26" t="str">
        <f>HYPERLINK("#G14",CHAR(128))</f>
        <v>€</v>
      </c>
    </row>
    <row r="15" spans="1:12" x14ac:dyDescent="0.3">
      <c r="A15" s="2"/>
      <c r="B15" s="72"/>
      <c r="C15" s="72"/>
      <c r="D15" s="72"/>
      <c r="E15" s="54"/>
      <c r="F15" s="14"/>
      <c r="G15" s="14"/>
      <c r="H15" s="12"/>
    </row>
    <row r="16" spans="1:12" x14ac:dyDescent="0.3">
      <c r="A16" s="5" t="s">
        <v>46</v>
      </c>
      <c r="B16" s="70" t="s">
        <v>28</v>
      </c>
      <c r="C16" s="70"/>
      <c r="D16" s="70"/>
      <c r="E16" s="53"/>
      <c r="F16" s="4">
        <v>1</v>
      </c>
      <c r="G16" s="23" t="s">
        <v>45</v>
      </c>
      <c r="H16" s="21" t="str">
        <f>HYPERLINK("#G16",CHAR(128))</f>
        <v>€</v>
      </c>
    </row>
    <row r="17" spans="1:10" x14ac:dyDescent="0.3">
      <c r="A17" s="2" t="s">
        <v>143</v>
      </c>
      <c r="B17" s="71" t="s">
        <v>22</v>
      </c>
      <c r="C17" s="71"/>
      <c r="D17" s="71"/>
      <c r="E17" s="54" t="s">
        <v>119</v>
      </c>
      <c r="F17" s="14">
        <v>1</v>
      </c>
      <c r="G17" s="23" t="s">
        <v>58</v>
      </c>
      <c r="H17" s="21" t="str">
        <f>HYPERLINK("#G17",CHAR(128))</f>
        <v>€</v>
      </c>
    </row>
    <row r="18" spans="1:10" x14ac:dyDescent="0.3">
      <c r="A18" s="5"/>
      <c r="B18" s="70" t="s">
        <v>29</v>
      </c>
      <c r="C18" s="70"/>
      <c r="D18" s="70"/>
      <c r="E18" s="53" t="s">
        <v>119</v>
      </c>
      <c r="F18" s="4">
        <v>1</v>
      </c>
      <c r="G18" s="23" t="s">
        <v>58</v>
      </c>
      <c r="H18" s="21" t="str">
        <f>HYPERLINK("#G18",CHAR(128))</f>
        <v>€</v>
      </c>
    </row>
    <row r="19" spans="1:10" x14ac:dyDescent="0.3">
      <c r="A19" s="2"/>
      <c r="B19" s="71" t="s">
        <v>30</v>
      </c>
      <c r="C19" s="71"/>
      <c r="D19" s="71"/>
      <c r="E19" s="54">
        <v>7648</v>
      </c>
      <c r="F19" s="14">
        <v>1</v>
      </c>
      <c r="G19" s="23" t="s">
        <v>58</v>
      </c>
      <c r="H19" s="21" t="str">
        <f>HYPERLINK("#G19",CHAR(128))</f>
        <v>€</v>
      </c>
    </row>
    <row r="20" spans="1:10" x14ac:dyDescent="0.3">
      <c r="A20" s="5"/>
      <c r="B20" s="73"/>
      <c r="C20" s="74"/>
      <c r="D20" s="75"/>
      <c r="E20" s="53"/>
      <c r="F20" s="4"/>
      <c r="G20" s="4"/>
      <c r="H20" s="12"/>
    </row>
    <row r="21" spans="1:10" x14ac:dyDescent="0.3">
      <c r="A21" s="2" t="s">
        <v>167</v>
      </c>
      <c r="B21" s="71" t="s">
        <v>33</v>
      </c>
      <c r="C21" s="71"/>
      <c r="D21" s="71"/>
      <c r="E21" s="54" t="s">
        <v>166</v>
      </c>
      <c r="F21" s="14">
        <v>1</v>
      </c>
      <c r="G21" s="23" t="s">
        <v>45</v>
      </c>
      <c r="H21" s="21" t="str">
        <f>HYPERLINK("#G21",CHAR(128))</f>
        <v>€</v>
      </c>
    </row>
    <row r="22" spans="1:10" x14ac:dyDescent="0.3">
      <c r="A22" s="5" t="s">
        <v>144</v>
      </c>
      <c r="B22" s="70" t="s">
        <v>31</v>
      </c>
      <c r="C22" s="70"/>
      <c r="D22" s="70"/>
      <c r="E22" s="53">
        <v>7648</v>
      </c>
      <c r="F22" s="4">
        <v>1</v>
      </c>
      <c r="G22" s="23" t="s">
        <v>58</v>
      </c>
      <c r="H22" s="21" t="str">
        <f>HYPERLINK("#G22",CHAR(128))</f>
        <v>€</v>
      </c>
    </row>
    <row r="23" spans="1:10" x14ac:dyDescent="0.3">
      <c r="A23" s="2" t="s">
        <v>145</v>
      </c>
      <c r="B23" s="71" t="s">
        <v>48</v>
      </c>
      <c r="C23" s="71"/>
      <c r="D23" s="71"/>
      <c r="E23" s="54">
        <v>7646</v>
      </c>
      <c r="F23" s="14">
        <v>1</v>
      </c>
      <c r="G23" s="23" t="s">
        <v>58</v>
      </c>
      <c r="H23" s="20" t="str">
        <f>HYPERLINK("#G23",CHAR(128))</f>
        <v>€</v>
      </c>
    </row>
    <row r="24" spans="1:10" x14ac:dyDescent="0.3">
      <c r="A24" s="5"/>
      <c r="B24" s="70" t="s">
        <v>32</v>
      </c>
      <c r="C24" s="70"/>
      <c r="D24" s="70"/>
      <c r="E24" s="53"/>
      <c r="F24" s="4">
        <v>1</v>
      </c>
      <c r="G24" s="23" t="s">
        <v>45</v>
      </c>
      <c r="H24" s="20" t="str">
        <f>HYPERLINK("#G24",CHAR(128))</f>
        <v>€</v>
      </c>
    </row>
    <row r="25" spans="1:10" x14ac:dyDescent="0.3">
      <c r="A25" s="2"/>
      <c r="B25" s="71"/>
      <c r="C25" s="71"/>
      <c r="D25" s="71"/>
      <c r="E25" s="1"/>
      <c r="F25" s="14"/>
      <c r="G25" s="14"/>
      <c r="H25" s="12"/>
      <c r="I25" s="10"/>
    </row>
    <row r="26" spans="1:10" x14ac:dyDescent="0.3">
      <c r="A26" s="5"/>
      <c r="B26" s="70" t="s">
        <v>37</v>
      </c>
      <c r="C26" s="70"/>
      <c r="D26" s="70"/>
      <c r="E26" s="4" t="str">
        <f>C2</f>
        <v>Mike</v>
      </c>
      <c r="F26" s="4">
        <v>1</v>
      </c>
      <c r="G26" s="23" t="s">
        <v>45</v>
      </c>
      <c r="H26" s="22" t="str">
        <f>HYPERLINK("#G26",CHAR(128))</f>
        <v>€</v>
      </c>
    </row>
    <row r="28" spans="1:10" x14ac:dyDescent="0.3">
      <c r="J28" s="16"/>
    </row>
    <row r="29" spans="1:10" x14ac:dyDescent="0.3">
      <c r="A29" s="18"/>
      <c r="B29" s="69" t="s">
        <v>50</v>
      </c>
      <c r="C29" s="69"/>
      <c r="D29" s="69"/>
      <c r="E29" s="18" t="s">
        <v>8</v>
      </c>
      <c r="F29" s="18" t="s">
        <v>35</v>
      </c>
      <c r="G29" s="19" t="s">
        <v>36</v>
      </c>
    </row>
    <row r="30" spans="1:10" x14ac:dyDescent="0.3">
      <c r="A30" s="3"/>
      <c r="B30" s="70"/>
      <c r="C30" s="70"/>
      <c r="D30" s="70"/>
      <c r="E30" s="4"/>
      <c r="F30" s="8">
        <v>1</v>
      </c>
      <c r="G30" s="15"/>
      <c r="H30" s="17" t="str">
        <f>HYPERLINK("#G30",CHAR(128))</f>
        <v>€</v>
      </c>
    </row>
    <row r="31" spans="1:10" x14ac:dyDescent="0.3">
      <c r="A31" s="2"/>
      <c r="B31" s="71"/>
      <c r="C31" s="71"/>
      <c r="D31" s="71"/>
      <c r="E31" s="1"/>
      <c r="F31" s="14">
        <v>1</v>
      </c>
      <c r="G31" s="24"/>
      <c r="H31" s="17" t="str">
        <f>HYPERLINK("#G31",CHAR(128))</f>
        <v>€</v>
      </c>
    </row>
    <row r="32" spans="1:10" x14ac:dyDescent="0.3">
      <c r="A32" s="3"/>
      <c r="B32" s="70"/>
      <c r="C32" s="70"/>
      <c r="D32" s="70"/>
      <c r="E32" s="4"/>
      <c r="F32" s="4">
        <v>1</v>
      </c>
      <c r="G32" s="25"/>
      <c r="H32" s="17" t="str">
        <f>HYPERLINK("#G32",CHAR(128))</f>
        <v>€</v>
      </c>
    </row>
    <row r="33" spans="1:8" x14ac:dyDescent="0.3">
      <c r="A33" s="2"/>
      <c r="B33" s="71"/>
      <c r="C33" s="71"/>
      <c r="D33" s="71"/>
      <c r="E33" s="1"/>
      <c r="F33" s="14">
        <v>1</v>
      </c>
      <c r="G33" s="24"/>
      <c r="H33" s="17" t="str">
        <f>HYPERLINK("#G33",CHAR(128))</f>
        <v>€</v>
      </c>
    </row>
    <row r="34" spans="1:8" x14ac:dyDescent="0.3">
      <c r="A34" s="3"/>
      <c r="B34" s="70"/>
      <c r="C34" s="70"/>
      <c r="D34" s="70"/>
      <c r="E34" s="4"/>
      <c r="F34" s="4">
        <v>1</v>
      </c>
      <c r="G34" s="25"/>
      <c r="H34" s="17" t="str">
        <f>HYPERLINK("#G34",CHAR(128))</f>
        <v>€</v>
      </c>
    </row>
    <row r="37" spans="1:8" x14ac:dyDescent="0.3">
      <c r="A37" s="37" t="s">
        <v>40</v>
      </c>
      <c r="B37" s="37" t="s">
        <v>7</v>
      </c>
      <c r="C37" s="37" t="s">
        <v>60</v>
      </c>
      <c r="D37" s="37" t="s">
        <v>61</v>
      </c>
    </row>
    <row r="38" spans="1:8" x14ac:dyDescent="0.3">
      <c r="A38" s="37"/>
      <c r="B38" s="37"/>
      <c r="C38" s="37"/>
      <c r="D38" s="37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98" priority="2" operator="equal">
      <formula>"Returned"</formula>
    </cfRule>
    <cfRule type="cellIs" dxfId="97" priority="5" operator="equal">
      <formula>"Ready To Order"</formula>
    </cfRule>
    <cfRule type="cellIs" dxfId="96" priority="6" operator="equal">
      <formula>"UNP"</formula>
    </cfRule>
    <cfRule type="containsText" dxfId="95" priority="7" operator="containsText" text="Ordered">
      <formula>NOT(ISERROR(SEARCH("Ordered",G6)))</formula>
    </cfRule>
    <cfRule type="containsText" dxfId="94" priority="8" operator="containsText" text="Pick Up">
      <formula>NOT(ISERROR(SEARCH("Pick Up",G6)))</formula>
    </cfRule>
    <cfRule type="containsText" dxfId="93" priority="9" operator="containsText" text="Complete">
      <formula>NOT(ISERROR(SEARCH("Complete",G6)))</formula>
    </cfRule>
  </conditionalFormatting>
  <conditionalFormatting sqref="G30:G33">
    <cfRule type="containsText" dxfId="92" priority="4" operator="containsText" text="Given">
      <formula>NOT(ISERROR(SEARCH("Given",G30)))</formula>
    </cfRule>
  </conditionalFormatting>
  <conditionalFormatting sqref="G30:G34">
    <cfRule type="containsText" dxfId="91" priority="3" operator="containsText" text="Returned">
      <formula>NOT(ISERROR(SEARCH("Returned",G30)))</formula>
    </cfRule>
  </conditionalFormatting>
  <conditionalFormatting sqref="G6:G14 G21:G26 G16:G19">
    <cfRule type="cellIs" dxfId="90" priority="1" operator="equal">
      <formula>"In Stock"</formula>
    </cfRule>
  </conditionalFormatting>
  <dataValidations count="3">
    <dataValidation type="list" allowBlank="1" showInputMessage="1" showErrorMessage="1" sqref="G30:G34" xr:uid="{DD39B1DA-608A-4AC7-978E-60B2F20B1ACC}">
      <formula1>"--,Returned, Given"</formula1>
    </dataValidation>
    <dataValidation type="list" allowBlank="1" showInputMessage="1" showErrorMessage="1" sqref="G16:G19 G21:G24 G26 G6:G14" xr:uid="{057AE9AA-8A5A-4E89-B002-7A299DB3623A}">
      <formula1>"UNP, Ready To Order, Ordered, In Stock, Pick Up, Complete, Returned"</formula1>
    </dataValidation>
    <dataValidation type="decimal" allowBlank="1" showInputMessage="1" showErrorMessage="1" sqref="L2" xr:uid="{2F44832C-BADF-4B0A-B630-3E173AFA3613}">
      <formula1>19</formula1>
      <formula2>26</formula2>
    </dataValidation>
  </dataValidations>
  <hyperlinks>
    <hyperlink ref="A1:A2" location="Menu!A1" display="Back to Menu" xr:uid="{72694F4E-FC07-49CF-B83E-1639FE4146F1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7617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16625</xdr:colOff>
                    <xdr:row>10</xdr:row>
                    <xdr:rowOff>191193</xdr:rowOff>
                  </from>
                  <to>
                    <xdr:col>12</xdr:col>
                    <xdr:colOff>16625</xdr:colOff>
                    <xdr:row>12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618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216131</xdr:rowOff>
                  </from>
                  <to>
                    <xdr:col>12</xdr:col>
                    <xdr:colOff>33251</xdr:colOff>
                    <xdr:row>21</xdr:row>
                    <xdr:rowOff>157942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619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32</xdr:row>
                    <xdr:rowOff>166255</xdr:rowOff>
                  </from>
                  <to>
                    <xdr:col>12</xdr:col>
                    <xdr:colOff>0</xdr:colOff>
                    <xdr:row>33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620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598516</xdr:colOff>
                    <xdr:row>30</xdr:row>
                    <xdr:rowOff>174567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7621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174567</xdr:rowOff>
                  </from>
                  <to>
                    <xdr:col>12</xdr:col>
                    <xdr:colOff>8313</xdr:colOff>
                    <xdr:row>26</xdr:row>
                    <xdr:rowOff>108065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0AA27-A095-4EE5-8D51-166CB8D149FC}">
  <sheetPr codeName="Sheet8"/>
  <dimension ref="A1:L38"/>
  <sheetViews>
    <sheetView workbookViewId="0">
      <selection sqref="A1:A1048576"/>
    </sheetView>
  </sheetViews>
  <sheetFormatPr defaultRowHeight="15.05" x14ac:dyDescent="0.3"/>
  <cols>
    <col min="1" max="1" width="18.6640625" customWidth="1"/>
    <col min="3" max="3" width="9" customWidth="1"/>
    <col min="4" max="4" width="9.8867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77" t="s">
        <v>42</v>
      </c>
      <c r="B1" s="18" t="s">
        <v>3</v>
      </c>
      <c r="C1" s="69" t="s">
        <v>0</v>
      </c>
      <c r="D1" s="69"/>
      <c r="E1" s="69" t="s">
        <v>2</v>
      </c>
      <c r="F1" s="69"/>
      <c r="G1" s="18" t="s">
        <v>34</v>
      </c>
      <c r="K1" s="18" t="s">
        <v>38</v>
      </c>
      <c r="L1" s="18" t="s">
        <v>10</v>
      </c>
    </row>
    <row r="2" spans="1:12" x14ac:dyDescent="0.3">
      <c r="A2" s="78"/>
      <c r="B2" s="2" t="s">
        <v>130</v>
      </c>
      <c r="C2" s="71" t="s">
        <v>126</v>
      </c>
      <c r="D2" s="71"/>
      <c r="E2" s="71" t="s">
        <v>127</v>
      </c>
      <c r="F2" s="71"/>
      <c r="G2" s="1">
        <v>87519091</v>
      </c>
      <c r="K2" s="4" t="s">
        <v>9</v>
      </c>
      <c r="L2" s="4">
        <v>22</v>
      </c>
    </row>
    <row r="3" spans="1:12" x14ac:dyDescent="0.3">
      <c r="A3" s="18" t="s">
        <v>1</v>
      </c>
      <c r="B3" s="79" t="s">
        <v>4</v>
      </c>
      <c r="C3" s="80"/>
      <c r="D3" s="81"/>
      <c r="E3" s="79" t="s">
        <v>49</v>
      </c>
      <c r="F3" s="81"/>
      <c r="G3" s="18" t="s">
        <v>5</v>
      </c>
      <c r="K3" s="1" t="s">
        <v>11</v>
      </c>
      <c r="L3" s="1">
        <v>16.5</v>
      </c>
    </row>
    <row r="4" spans="1:12" x14ac:dyDescent="0.3">
      <c r="A4" s="1" t="s">
        <v>39</v>
      </c>
      <c r="B4" s="76">
        <v>9999999999</v>
      </c>
      <c r="C4" s="76"/>
      <c r="D4" s="76"/>
      <c r="E4" s="71"/>
      <c r="F4" s="71"/>
      <c r="G4" s="1" t="s">
        <v>69</v>
      </c>
      <c r="K4" s="4" t="s">
        <v>12</v>
      </c>
      <c r="L4" s="4">
        <v>40</v>
      </c>
    </row>
    <row r="5" spans="1:12" x14ac:dyDescent="0.3">
      <c r="A5" s="18" t="s">
        <v>6</v>
      </c>
      <c r="B5" s="69" t="s">
        <v>7</v>
      </c>
      <c r="C5" s="69"/>
      <c r="D5" s="69"/>
      <c r="E5" s="18" t="s">
        <v>8</v>
      </c>
      <c r="F5" s="18" t="s">
        <v>35</v>
      </c>
      <c r="G5" s="18" t="s">
        <v>36</v>
      </c>
      <c r="K5" s="1" t="s">
        <v>13</v>
      </c>
      <c r="L5" s="1">
        <v>30</v>
      </c>
    </row>
    <row r="6" spans="1:12" x14ac:dyDescent="0.3">
      <c r="A6" s="3" t="s">
        <v>146</v>
      </c>
      <c r="B6" s="70" t="s">
        <v>18</v>
      </c>
      <c r="C6" s="70"/>
      <c r="D6" s="70"/>
      <c r="E6" s="53">
        <v>6440</v>
      </c>
      <c r="F6" s="4">
        <v>1</v>
      </c>
      <c r="G6" s="23" t="s">
        <v>77</v>
      </c>
      <c r="H6" s="26" t="str">
        <f>HYPERLINK("#G6",CHAR(128))</f>
        <v>€</v>
      </c>
      <c r="K6" s="4" t="s">
        <v>14</v>
      </c>
      <c r="L6" s="4">
        <v>38</v>
      </c>
    </row>
    <row r="7" spans="1:12" x14ac:dyDescent="0.3">
      <c r="A7" s="2"/>
      <c r="B7" s="71" t="s">
        <v>21</v>
      </c>
      <c r="C7" s="71"/>
      <c r="D7" s="71"/>
      <c r="E7" s="54">
        <v>16.5</v>
      </c>
      <c r="F7" s="14">
        <v>1</v>
      </c>
      <c r="G7" s="23" t="s">
        <v>58</v>
      </c>
      <c r="H7" s="26" t="str">
        <f>HYPERLINK("#G7",CHAR(128))</f>
        <v>€</v>
      </c>
      <c r="K7" s="1" t="s">
        <v>15</v>
      </c>
      <c r="L7" s="1">
        <v>62</v>
      </c>
    </row>
    <row r="8" spans="1:12" x14ac:dyDescent="0.3">
      <c r="A8" s="3" t="s">
        <v>82</v>
      </c>
      <c r="B8" s="70" t="s">
        <v>19</v>
      </c>
      <c r="C8" s="70"/>
      <c r="D8" s="70"/>
      <c r="E8" s="53" t="s">
        <v>67</v>
      </c>
      <c r="F8" s="4">
        <v>1</v>
      </c>
      <c r="G8" s="23" t="s">
        <v>58</v>
      </c>
      <c r="H8" s="26" t="str">
        <f>HYPERLINK("#G8",CHAR(128))</f>
        <v>€</v>
      </c>
      <c r="K8" s="4" t="s">
        <v>16</v>
      </c>
      <c r="L8" s="4">
        <v>240</v>
      </c>
    </row>
    <row r="9" spans="1:12" x14ac:dyDescent="0.3">
      <c r="A9" s="2" t="s">
        <v>147</v>
      </c>
      <c r="B9" s="71" t="s">
        <v>20</v>
      </c>
      <c r="C9" s="71"/>
      <c r="D9" s="71"/>
      <c r="E9" s="54">
        <v>6430</v>
      </c>
      <c r="F9" s="14">
        <v>1</v>
      </c>
      <c r="G9" s="23" t="s">
        <v>58</v>
      </c>
      <c r="H9" s="26" t="str">
        <f>HYPERLINK("#G9",CHAR(128))</f>
        <v>€</v>
      </c>
      <c r="I9" s="9"/>
      <c r="K9" s="1" t="s">
        <v>17</v>
      </c>
      <c r="L9" s="1">
        <v>130</v>
      </c>
    </row>
    <row r="10" spans="1:12" x14ac:dyDescent="0.3">
      <c r="A10" s="3" t="s">
        <v>174</v>
      </c>
      <c r="B10" s="70" t="s">
        <v>24</v>
      </c>
      <c r="C10" s="70"/>
      <c r="D10" s="70"/>
      <c r="E10" s="53">
        <v>7</v>
      </c>
      <c r="F10" s="4">
        <v>1</v>
      </c>
      <c r="G10" s="23" t="s">
        <v>77</v>
      </c>
      <c r="H10" s="26" t="str">
        <f>HYPERLINK("#G10",CHAR(128))</f>
        <v>€</v>
      </c>
      <c r="K10" s="13" t="s">
        <v>47</v>
      </c>
      <c r="L10" s="13"/>
    </row>
    <row r="11" spans="1:12" x14ac:dyDescent="0.3">
      <c r="A11" s="2" t="s">
        <v>56</v>
      </c>
      <c r="B11" s="71" t="s">
        <v>23</v>
      </c>
      <c r="C11" s="71"/>
      <c r="D11" s="71"/>
      <c r="E11" s="54" t="s">
        <v>180</v>
      </c>
      <c r="F11" s="14">
        <v>1</v>
      </c>
      <c r="G11" s="23" t="s">
        <v>77</v>
      </c>
      <c r="H11" s="26" t="str">
        <f>HYPERLINK("#G11",CHAR(128))</f>
        <v>€</v>
      </c>
    </row>
    <row r="12" spans="1:12" x14ac:dyDescent="0.3">
      <c r="A12" s="5" t="s">
        <v>168</v>
      </c>
      <c r="B12" s="70" t="s">
        <v>25</v>
      </c>
      <c r="C12" s="70"/>
      <c r="D12" s="70"/>
      <c r="E12" s="53" t="s">
        <v>180</v>
      </c>
      <c r="F12" s="4">
        <v>1</v>
      </c>
      <c r="G12" s="23" t="s">
        <v>77</v>
      </c>
      <c r="H12" s="26" t="str">
        <f>HYPERLINK("#G12",CHAR(128))</f>
        <v>€</v>
      </c>
    </row>
    <row r="13" spans="1:12" x14ac:dyDescent="0.3">
      <c r="A13" s="2" t="s">
        <v>178</v>
      </c>
      <c r="B13" s="71" t="s">
        <v>26</v>
      </c>
      <c r="C13" s="71"/>
      <c r="D13" s="71"/>
      <c r="E13" s="54" t="s">
        <v>120</v>
      </c>
      <c r="F13" s="14">
        <v>1</v>
      </c>
      <c r="G13" s="23" t="s">
        <v>77</v>
      </c>
      <c r="H13" s="26" t="str">
        <f>HYPERLINK("#G13",CHAR(128))</f>
        <v>€</v>
      </c>
    </row>
    <row r="14" spans="1:12" x14ac:dyDescent="0.3">
      <c r="A14" s="5"/>
      <c r="B14" s="70" t="s">
        <v>27</v>
      </c>
      <c r="C14" s="70"/>
      <c r="D14" s="70"/>
      <c r="E14" s="53"/>
      <c r="F14" s="4">
        <v>1</v>
      </c>
      <c r="G14" s="23" t="s">
        <v>45</v>
      </c>
      <c r="H14" s="26" t="str">
        <f>HYPERLINK("#G14",CHAR(128))</f>
        <v>€</v>
      </c>
    </row>
    <row r="15" spans="1:12" x14ac:dyDescent="0.3">
      <c r="A15" s="2"/>
      <c r="B15" s="72"/>
      <c r="C15" s="72"/>
      <c r="D15" s="72"/>
      <c r="E15" s="54"/>
      <c r="F15" s="14"/>
      <c r="G15" s="14"/>
      <c r="H15" s="12"/>
    </row>
    <row r="16" spans="1:12" x14ac:dyDescent="0.3">
      <c r="A16" s="5" t="s">
        <v>46</v>
      </c>
      <c r="B16" s="70" t="s">
        <v>28</v>
      </c>
      <c r="C16" s="70"/>
      <c r="D16" s="70"/>
      <c r="E16" s="53"/>
      <c r="F16" s="4">
        <v>1</v>
      </c>
      <c r="G16" s="23" t="s">
        <v>45</v>
      </c>
      <c r="H16" s="21" t="str">
        <f>HYPERLINK("#G16",CHAR(128))</f>
        <v>€</v>
      </c>
    </row>
    <row r="17" spans="1:10" x14ac:dyDescent="0.3">
      <c r="A17" s="2" t="s">
        <v>136</v>
      </c>
      <c r="B17" s="71" t="s">
        <v>22</v>
      </c>
      <c r="C17" s="71"/>
      <c r="D17" s="71"/>
      <c r="E17" s="54" t="s">
        <v>118</v>
      </c>
      <c r="F17" s="14">
        <v>1</v>
      </c>
      <c r="G17" s="23" t="s">
        <v>77</v>
      </c>
      <c r="H17" s="21" t="str">
        <f>HYPERLINK("#G17",CHAR(128))</f>
        <v>€</v>
      </c>
    </row>
    <row r="18" spans="1:10" x14ac:dyDescent="0.3">
      <c r="A18" s="5"/>
      <c r="B18" s="70" t="s">
        <v>29</v>
      </c>
      <c r="C18" s="70"/>
      <c r="D18" s="70"/>
      <c r="E18" s="53" t="s">
        <v>118</v>
      </c>
      <c r="F18" s="4">
        <v>1</v>
      </c>
      <c r="G18" s="23" t="s">
        <v>77</v>
      </c>
      <c r="H18" s="21" t="str">
        <f>HYPERLINK("#G18",CHAR(128))</f>
        <v>€</v>
      </c>
    </row>
    <row r="19" spans="1:10" x14ac:dyDescent="0.3">
      <c r="A19" s="2"/>
      <c r="B19" s="71" t="s">
        <v>30</v>
      </c>
      <c r="C19" s="71"/>
      <c r="D19" s="71"/>
      <c r="E19" s="54">
        <v>6444</v>
      </c>
      <c r="F19" s="14">
        <v>1</v>
      </c>
      <c r="G19" s="23" t="s">
        <v>77</v>
      </c>
      <c r="H19" s="21" t="str">
        <f>HYPERLINK("#G19",CHAR(128))</f>
        <v>€</v>
      </c>
    </row>
    <row r="20" spans="1:10" x14ac:dyDescent="0.3">
      <c r="A20" s="5"/>
      <c r="B20" s="73"/>
      <c r="C20" s="74"/>
      <c r="D20" s="75"/>
      <c r="E20" s="53"/>
      <c r="F20" s="4"/>
      <c r="G20" s="4"/>
      <c r="H20" s="12"/>
    </row>
    <row r="21" spans="1:10" x14ac:dyDescent="0.3">
      <c r="A21" s="2" t="s">
        <v>175</v>
      </c>
      <c r="B21" s="71" t="s">
        <v>33</v>
      </c>
      <c r="C21" s="71"/>
      <c r="D21" s="71"/>
      <c r="E21" s="54">
        <v>7</v>
      </c>
      <c r="F21" s="14">
        <v>1</v>
      </c>
      <c r="G21" s="23" t="s">
        <v>45</v>
      </c>
      <c r="H21" s="21" t="str">
        <f>HYPERLINK("#G21",CHAR(128))</f>
        <v>€</v>
      </c>
    </row>
    <row r="22" spans="1:10" x14ac:dyDescent="0.3">
      <c r="A22" s="5" t="s">
        <v>148</v>
      </c>
      <c r="B22" s="70" t="s">
        <v>31</v>
      </c>
      <c r="C22" s="70"/>
      <c r="D22" s="70"/>
      <c r="E22" s="53">
        <v>6440</v>
      </c>
      <c r="F22" s="4">
        <v>1</v>
      </c>
      <c r="G22" s="23" t="s">
        <v>58</v>
      </c>
      <c r="H22" s="21" t="str">
        <f>HYPERLINK("#G22",CHAR(128))</f>
        <v>€</v>
      </c>
    </row>
    <row r="23" spans="1:10" x14ac:dyDescent="0.3">
      <c r="A23" s="2" t="s">
        <v>149</v>
      </c>
      <c r="B23" s="71" t="s">
        <v>48</v>
      </c>
      <c r="C23" s="71"/>
      <c r="D23" s="71"/>
      <c r="E23" s="54">
        <v>6430</v>
      </c>
      <c r="F23" s="14">
        <v>1</v>
      </c>
      <c r="G23" s="23" t="s">
        <v>77</v>
      </c>
      <c r="H23" s="20" t="str">
        <f>HYPERLINK("#G23",CHAR(128))</f>
        <v>€</v>
      </c>
    </row>
    <row r="24" spans="1:10" x14ac:dyDescent="0.3">
      <c r="A24" s="5"/>
      <c r="B24" s="70" t="s">
        <v>32</v>
      </c>
      <c r="C24" s="70"/>
      <c r="D24" s="70"/>
      <c r="E24" s="53"/>
      <c r="F24" s="4">
        <v>1</v>
      </c>
      <c r="G24" s="23" t="s">
        <v>45</v>
      </c>
      <c r="H24" s="20" t="str">
        <f>HYPERLINK("#G24",CHAR(128))</f>
        <v>€</v>
      </c>
    </row>
    <row r="25" spans="1:10" x14ac:dyDescent="0.3">
      <c r="A25" s="2"/>
      <c r="B25" s="71"/>
      <c r="C25" s="71"/>
      <c r="D25" s="71"/>
      <c r="E25" s="1"/>
      <c r="F25" s="14"/>
      <c r="G25" s="14"/>
      <c r="H25" s="12"/>
      <c r="I25" s="10"/>
    </row>
    <row r="26" spans="1:10" x14ac:dyDescent="0.3">
      <c r="A26" s="5"/>
      <c r="B26" s="70" t="s">
        <v>37</v>
      </c>
      <c r="C26" s="70"/>
      <c r="D26" s="70"/>
      <c r="E26" s="4" t="str">
        <f>C2</f>
        <v>Jesus</v>
      </c>
      <c r="F26" s="4">
        <v>1</v>
      </c>
      <c r="G26" s="23" t="s">
        <v>45</v>
      </c>
      <c r="H26" s="22" t="str">
        <f>HYPERLINK("#G26",CHAR(128))</f>
        <v>€</v>
      </c>
    </row>
    <row r="28" spans="1:10" x14ac:dyDescent="0.3">
      <c r="J28" s="16"/>
    </row>
    <row r="29" spans="1:10" x14ac:dyDescent="0.3">
      <c r="A29" s="18"/>
      <c r="B29" s="69" t="s">
        <v>50</v>
      </c>
      <c r="C29" s="69"/>
      <c r="D29" s="69"/>
      <c r="E29" s="18" t="s">
        <v>8</v>
      </c>
      <c r="F29" s="18" t="s">
        <v>35</v>
      </c>
      <c r="G29" s="19" t="s">
        <v>36</v>
      </c>
    </row>
    <row r="30" spans="1:10" x14ac:dyDescent="0.3">
      <c r="A30" s="3"/>
      <c r="B30" s="70"/>
      <c r="C30" s="70"/>
      <c r="D30" s="70"/>
      <c r="E30" s="4"/>
      <c r="F30" s="8">
        <v>1</v>
      </c>
      <c r="G30" s="15"/>
      <c r="H30" s="17" t="str">
        <f>HYPERLINK("#G30",CHAR(128))</f>
        <v>€</v>
      </c>
    </row>
    <row r="31" spans="1:10" x14ac:dyDescent="0.3">
      <c r="A31" s="2"/>
      <c r="B31" s="71"/>
      <c r="C31" s="71"/>
      <c r="D31" s="71"/>
      <c r="E31" s="1"/>
      <c r="F31" s="14">
        <v>1</v>
      </c>
      <c r="G31" s="24"/>
      <c r="H31" s="17" t="str">
        <f>HYPERLINK("#G31",CHAR(128))</f>
        <v>€</v>
      </c>
    </row>
    <row r="32" spans="1:10" x14ac:dyDescent="0.3">
      <c r="A32" s="3"/>
      <c r="B32" s="70"/>
      <c r="C32" s="70"/>
      <c r="D32" s="70"/>
      <c r="E32" s="4"/>
      <c r="F32" s="4">
        <v>1</v>
      </c>
      <c r="G32" s="25"/>
      <c r="H32" s="17" t="str">
        <f>HYPERLINK("#G32",CHAR(128))</f>
        <v>€</v>
      </c>
    </row>
    <row r="33" spans="1:8" x14ac:dyDescent="0.3">
      <c r="A33" s="2"/>
      <c r="B33" s="71"/>
      <c r="C33" s="71"/>
      <c r="D33" s="71"/>
      <c r="E33" s="1"/>
      <c r="F33" s="14">
        <v>1</v>
      </c>
      <c r="G33" s="24"/>
      <c r="H33" s="17" t="str">
        <f>HYPERLINK("#G33",CHAR(128))</f>
        <v>€</v>
      </c>
    </row>
    <row r="34" spans="1:8" x14ac:dyDescent="0.3">
      <c r="A34" s="3"/>
      <c r="B34" s="70"/>
      <c r="C34" s="70"/>
      <c r="D34" s="70"/>
      <c r="E34" s="4"/>
      <c r="F34" s="4">
        <v>1</v>
      </c>
      <c r="G34" s="25"/>
      <c r="H34" s="17" t="str">
        <f>HYPERLINK("#G34",CHAR(128))</f>
        <v>€</v>
      </c>
    </row>
    <row r="37" spans="1:8" x14ac:dyDescent="0.3">
      <c r="A37" s="37" t="s">
        <v>40</v>
      </c>
      <c r="B37" s="37" t="s">
        <v>7</v>
      </c>
      <c r="C37" s="37" t="s">
        <v>60</v>
      </c>
      <c r="D37" s="37" t="s">
        <v>61</v>
      </c>
    </row>
    <row r="38" spans="1:8" x14ac:dyDescent="0.3">
      <c r="A38" s="37"/>
      <c r="B38" s="37"/>
      <c r="C38" s="37"/>
      <c r="D38" s="37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83" priority="2" operator="equal">
      <formula>"Returned"</formula>
    </cfRule>
    <cfRule type="cellIs" dxfId="82" priority="5" operator="equal">
      <formula>"Ready To Order"</formula>
    </cfRule>
    <cfRule type="cellIs" dxfId="81" priority="6" operator="equal">
      <formula>"UNP"</formula>
    </cfRule>
    <cfRule type="containsText" dxfId="80" priority="7" operator="containsText" text="Ordered">
      <formula>NOT(ISERROR(SEARCH("Ordered",G6)))</formula>
    </cfRule>
    <cfRule type="containsText" dxfId="79" priority="8" operator="containsText" text="Pick Up">
      <formula>NOT(ISERROR(SEARCH("Pick Up",G6)))</formula>
    </cfRule>
    <cfRule type="containsText" dxfId="78" priority="9" operator="containsText" text="Complete">
      <formula>NOT(ISERROR(SEARCH("Complete",G6)))</formula>
    </cfRule>
  </conditionalFormatting>
  <conditionalFormatting sqref="G30:G33">
    <cfRule type="containsText" dxfId="77" priority="4" operator="containsText" text="Given">
      <formula>NOT(ISERROR(SEARCH("Given",G30)))</formula>
    </cfRule>
  </conditionalFormatting>
  <conditionalFormatting sqref="G30:G34">
    <cfRule type="containsText" dxfId="76" priority="3" operator="containsText" text="Returned">
      <formula>NOT(ISERROR(SEARCH("Returned",G30)))</formula>
    </cfRule>
  </conditionalFormatting>
  <conditionalFormatting sqref="G6:G14 G21:G26 G16:G19">
    <cfRule type="cellIs" dxfId="75" priority="1" operator="equal">
      <formula>"In Stock"</formula>
    </cfRule>
  </conditionalFormatting>
  <dataValidations count="3">
    <dataValidation type="list" allowBlank="1" showInputMessage="1" showErrorMessage="1" sqref="G30:G34" xr:uid="{19A396C5-7A5E-4B77-BC30-E68953C7A36A}">
      <formula1>"--,Returned, Given"</formula1>
    </dataValidation>
    <dataValidation type="list" allowBlank="1" showInputMessage="1" showErrorMessage="1" sqref="G16:G19 G21:G24 G26 G6:G14" xr:uid="{94E378AA-8613-4E07-A310-D4021B7BDE7F}">
      <formula1>"UNP, Ready To Order, Ordered, In Stock, Pick Up, Complete, Returned"</formula1>
    </dataValidation>
    <dataValidation type="decimal" allowBlank="1" showInputMessage="1" showErrorMessage="1" sqref="L2" xr:uid="{0464DEDF-93AF-43E6-BFAA-7841B354FB0F}">
      <formula1>19</formula1>
      <formula2>26</formula2>
    </dataValidation>
  </dataValidations>
  <hyperlinks>
    <hyperlink ref="A1:A2" location="Menu!A1" display="Back to Menu" xr:uid="{2F6494E6-8220-438D-9E32-05856B567A67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41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16625</xdr:colOff>
                    <xdr:row>10</xdr:row>
                    <xdr:rowOff>191193</xdr:rowOff>
                  </from>
                  <to>
                    <xdr:col>12</xdr:col>
                    <xdr:colOff>16625</xdr:colOff>
                    <xdr:row>12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42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216131</xdr:rowOff>
                  </from>
                  <to>
                    <xdr:col>12</xdr:col>
                    <xdr:colOff>33251</xdr:colOff>
                    <xdr:row>21</xdr:row>
                    <xdr:rowOff>157942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43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32</xdr:row>
                    <xdr:rowOff>166255</xdr:rowOff>
                  </from>
                  <to>
                    <xdr:col>12</xdr:col>
                    <xdr:colOff>0</xdr:colOff>
                    <xdr:row>33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44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598516</xdr:colOff>
                    <xdr:row>30</xdr:row>
                    <xdr:rowOff>174567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45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174567</xdr:rowOff>
                  </from>
                  <to>
                    <xdr:col>12</xdr:col>
                    <xdr:colOff>8313</xdr:colOff>
                    <xdr:row>26</xdr:row>
                    <xdr:rowOff>108065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43E404-0FDE-49E3-BC51-763ACC5B7AB8}">
  <sheetPr codeName="Sheet9"/>
  <dimension ref="A1:L38"/>
  <sheetViews>
    <sheetView workbookViewId="0">
      <selection sqref="A1:A1048576"/>
    </sheetView>
  </sheetViews>
  <sheetFormatPr defaultRowHeight="15.05" x14ac:dyDescent="0.3"/>
  <cols>
    <col min="1" max="1" width="18.6640625" customWidth="1"/>
    <col min="3" max="3" width="9" customWidth="1"/>
    <col min="4" max="4" width="9.8867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77" t="s">
        <v>42</v>
      </c>
      <c r="B1" s="18" t="s">
        <v>3</v>
      </c>
      <c r="C1" s="69" t="s">
        <v>0</v>
      </c>
      <c r="D1" s="69"/>
      <c r="E1" s="69" t="s">
        <v>2</v>
      </c>
      <c r="F1" s="69"/>
      <c r="G1" s="18" t="s">
        <v>34</v>
      </c>
      <c r="K1" s="18" t="s">
        <v>38</v>
      </c>
      <c r="L1" s="18" t="s">
        <v>10</v>
      </c>
    </row>
    <row r="2" spans="1:12" x14ac:dyDescent="0.3">
      <c r="A2" s="78"/>
      <c r="B2" s="2" t="s">
        <v>130</v>
      </c>
      <c r="C2" s="71" t="s">
        <v>128</v>
      </c>
      <c r="D2" s="71"/>
      <c r="E2" s="71" t="s">
        <v>129</v>
      </c>
      <c r="F2" s="71"/>
      <c r="G2" s="1" t="s">
        <v>150</v>
      </c>
      <c r="K2" s="4" t="s">
        <v>9</v>
      </c>
      <c r="L2" s="4">
        <v>22</v>
      </c>
    </row>
    <row r="3" spans="1:12" x14ac:dyDescent="0.3">
      <c r="A3" s="18" t="s">
        <v>1</v>
      </c>
      <c r="B3" s="79" t="s">
        <v>4</v>
      </c>
      <c r="C3" s="80"/>
      <c r="D3" s="81"/>
      <c r="E3" s="79" t="s">
        <v>49</v>
      </c>
      <c r="F3" s="81"/>
      <c r="G3" s="18" t="s">
        <v>5</v>
      </c>
      <c r="K3" s="1" t="s">
        <v>11</v>
      </c>
      <c r="L3" s="1">
        <v>13.5</v>
      </c>
    </row>
    <row r="4" spans="1:12" x14ac:dyDescent="0.3">
      <c r="A4" s="1" t="s">
        <v>39</v>
      </c>
      <c r="B4" s="76">
        <v>9999999999</v>
      </c>
      <c r="C4" s="76"/>
      <c r="D4" s="76"/>
      <c r="E4" s="71"/>
      <c r="F4" s="71"/>
      <c r="G4" s="1" t="s">
        <v>69</v>
      </c>
      <c r="K4" s="4" t="s">
        <v>12</v>
      </c>
      <c r="L4" s="4">
        <v>32</v>
      </c>
    </row>
    <row r="5" spans="1:12" x14ac:dyDescent="0.3">
      <c r="A5" s="18" t="s">
        <v>6</v>
      </c>
      <c r="B5" s="69" t="s">
        <v>7</v>
      </c>
      <c r="C5" s="69"/>
      <c r="D5" s="69"/>
      <c r="E5" s="18" t="s">
        <v>8</v>
      </c>
      <c r="F5" s="18" t="s">
        <v>35</v>
      </c>
      <c r="G5" s="18" t="s">
        <v>36</v>
      </c>
      <c r="K5" s="1" t="s">
        <v>13</v>
      </c>
      <c r="L5" s="1">
        <v>26.5</v>
      </c>
    </row>
    <row r="6" spans="1:12" x14ac:dyDescent="0.3">
      <c r="A6" s="3" t="s">
        <v>151</v>
      </c>
      <c r="B6" s="70" t="s">
        <v>18</v>
      </c>
      <c r="C6" s="70"/>
      <c r="D6" s="70"/>
      <c r="E6" s="53">
        <v>6432</v>
      </c>
      <c r="F6" s="4">
        <v>1</v>
      </c>
      <c r="G6" s="23" t="s">
        <v>77</v>
      </c>
      <c r="H6" s="26" t="str">
        <f>HYPERLINK("#G6",CHAR(128))</f>
        <v>€</v>
      </c>
      <c r="K6" s="4" t="s">
        <v>14</v>
      </c>
      <c r="L6" s="4">
        <v>31</v>
      </c>
    </row>
    <row r="7" spans="1:12" x14ac:dyDescent="0.3">
      <c r="A7" s="2" t="s">
        <v>152</v>
      </c>
      <c r="B7" s="71" t="s">
        <v>21</v>
      </c>
      <c r="C7" s="71"/>
      <c r="D7" s="71"/>
      <c r="E7" s="54">
        <v>13</v>
      </c>
      <c r="F7" s="14">
        <v>1</v>
      </c>
      <c r="G7" s="23" t="s">
        <v>64</v>
      </c>
      <c r="H7" s="26" t="str">
        <f>HYPERLINK("#G7",CHAR(128))</f>
        <v>€</v>
      </c>
      <c r="K7" s="1" t="s">
        <v>15</v>
      </c>
      <c r="L7" s="1">
        <v>63</v>
      </c>
    </row>
    <row r="8" spans="1:12" x14ac:dyDescent="0.3">
      <c r="A8" s="3" t="s">
        <v>179</v>
      </c>
      <c r="B8" s="70" t="s">
        <v>19</v>
      </c>
      <c r="C8" s="70"/>
      <c r="D8" s="70"/>
      <c r="E8" s="53" t="s">
        <v>120</v>
      </c>
      <c r="F8" s="4">
        <v>1</v>
      </c>
      <c r="G8" s="23" t="s">
        <v>64</v>
      </c>
      <c r="H8" s="26" t="str">
        <f>HYPERLINK("#G8",CHAR(128))</f>
        <v>€</v>
      </c>
      <c r="K8" s="4" t="s">
        <v>16</v>
      </c>
      <c r="L8" s="4">
        <v>265</v>
      </c>
    </row>
    <row r="9" spans="1:12" x14ac:dyDescent="0.3">
      <c r="A9" s="2" t="s">
        <v>154</v>
      </c>
      <c r="B9" s="71" t="s">
        <v>20</v>
      </c>
      <c r="C9" s="71"/>
      <c r="D9" s="71"/>
      <c r="E9" s="54" t="s">
        <v>170</v>
      </c>
      <c r="F9" s="14">
        <v>1</v>
      </c>
      <c r="G9" s="23" t="s">
        <v>58</v>
      </c>
      <c r="H9" s="26" t="str">
        <f>HYPERLINK("#G9",CHAR(128))</f>
        <v>€</v>
      </c>
      <c r="I9" s="9"/>
      <c r="K9" s="1" t="s">
        <v>17</v>
      </c>
      <c r="L9" s="1">
        <v>95</v>
      </c>
    </row>
    <row r="10" spans="1:12" x14ac:dyDescent="0.3">
      <c r="A10" s="3" t="s">
        <v>174</v>
      </c>
      <c r="B10" s="70" t="s">
        <v>24</v>
      </c>
      <c r="C10" s="70"/>
      <c r="D10" s="70"/>
      <c r="E10" s="53">
        <v>7</v>
      </c>
      <c r="F10" s="4">
        <v>1</v>
      </c>
      <c r="G10" s="23" t="s">
        <v>64</v>
      </c>
      <c r="H10" s="26" t="str">
        <f>HYPERLINK("#G10",CHAR(128))</f>
        <v>€</v>
      </c>
      <c r="K10" s="13" t="s">
        <v>47</v>
      </c>
      <c r="L10" s="13"/>
    </row>
    <row r="11" spans="1:12" x14ac:dyDescent="0.3">
      <c r="A11" s="2" t="s">
        <v>56</v>
      </c>
      <c r="B11" s="71" t="s">
        <v>23</v>
      </c>
      <c r="C11" s="71"/>
      <c r="D11" s="71"/>
      <c r="E11" s="54" t="s">
        <v>180</v>
      </c>
      <c r="F11" s="14">
        <v>1</v>
      </c>
      <c r="G11" s="23" t="s">
        <v>64</v>
      </c>
      <c r="H11" s="26" t="str">
        <f>HYPERLINK("#G11",CHAR(128))</f>
        <v>€</v>
      </c>
    </row>
    <row r="12" spans="1:12" x14ac:dyDescent="0.3">
      <c r="A12" s="5" t="s">
        <v>172</v>
      </c>
      <c r="B12" s="70" t="s">
        <v>25</v>
      </c>
      <c r="C12" s="70"/>
      <c r="D12" s="70"/>
      <c r="E12" s="53" t="s">
        <v>120</v>
      </c>
      <c r="F12" s="4">
        <v>1</v>
      </c>
      <c r="G12" s="23" t="s">
        <v>64</v>
      </c>
      <c r="H12" s="26" t="str">
        <f>HYPERLINK("#G12",CHAR(128))</f>
        <v>€</v>
      </c>
    </row>
    <row r="13" spans="1:12" x14ac:dyDescent="0.3">
      <c r="A13" s="2" t="s">
        <v>155</v>
      </c>
      <c r="B13" s="71" t="s">
        <v>26</v>
      </c>
      <c r="C13" s="71"/>
      <c r="D13" s="71"/>
      <c r="E13" s="54" t="s">
        <v>118</v>
      </c>
      <c r="F13" s="14">
        <v>1</v>
      </c>
      <c r="G13" s="23" t="s">
        <v>64</v>
      </c>
      <c r="H13" s="26" t="str">
        <f>HYPERLINK("#G13",CHAR(128))</f>
        <v>€</v>
      </c>
    </row>
    <row r="14" spans="1:12" x14ac:dyDescent="0.3">
      <c r="A14" s="5" t="s">
        <v>156</v>
      </c>
      <c r="B14" s="70" t="s">
        <v>27</v>
      </c>
      <c r="C14" s="70"/>
      <c r="D14" s="70"/>
      <c r="E14" s="53" t="s">
        <v>121</v>
      </c>
      <c r="F14" s="4">
        <v>1</v>
      </c>
      <c r="G14" s="23" t="s">
        <v>77</v>
      </c>
      <c r="H14" s="26" t="str">
        <f>HYPERLINK("#G14",CHAR(128))</f>
        <v>€</v>
      </c>
    </row>
    <row r="15" spans="1:12" x14ac:dyDescent="0.3">
      <c r="A15" s="2"/>
      <c r="B15" s="72"/>
      <c r="C15" s="72"/>
      <c r="D15" s="72"/>
      <c r="E15" s="54"/>
      <c r="F15" s="14"/>
      <c r="G15" s="14"/>
      <c r="H15" s="12"/>
    </row>
    <row r="16" spans="1:12" x14ac:dyDescent="0.3">
      <c r="A16" s="5" t="s">
        <v>46</v>
      </c>
      <c r="B16" s="70" t="s">
        <v>28</v>
      </c>
      <c r="C16" s="70"/>
      <c r="D16" s="70"/>
      <c r="E16" s="53"/>
      <c r="F16" s="4">
        <v>1</v>
      </c>
      <c r="G16" s="23" t="s">
        <v>45</v>
      </c>
      <c r="H16" s="21" t="str">
        <f>HYPERLINK("#G16",CHAR(128))</f>
        <v>€</v>
      </c>
    </row>
    <row r="17" spans="1:10" x14ac:dyDescent="0.3">
      <c r="A17" s="2" t="s">
        <v>136</v>
      </c>
      <c r="B17" s="71" t="s">
        <v>22</v>
      </c>
      <c r="C17" s="71"/>
      <c r="D17" s="71"/>
      <c r="E17" s="54" t="s">
        <v>118</v>
      </c>
      <c r="F17" s="14">
        <v>1</v>
      </c>
      <c r="G17" s="23" t="s">
        <v>64</v>
      </c>
      <c r="H17" s="21" t="str">
        <f>HYPERLINK("#G17",CHAR(128))</f>
        <v>€</v>
      </c>
    </row>
    <row r="18" spans="1:10" x14ac:dyDescent="0.3">
      <c r="A18" s="5"/>
      <c r="B18" s="70" t="s">
        <v>29</v>
      </c>
      <c r="C18" s="70"/>
      <c r="D18" s="70"/>
      <c r="E18" s="53" t="s">
        <v>118</v>
      </c>
      <c r="F18" s="4">
        <v>1</v>
      </c>
      <c r="G18" s="23" t="s">
        <v>64</v>
      </c>
      <c r="H18" s="21" t="str">
        <f>HYPERLINK("#G18",CHAR(128))</f>
        <v>€</v>
      </c>
    </row>
    <row r="19" spans="1:10" x14ac:dyDescent="0.3">
      <c r="A19" s="2"/>
      <c r="B19" s="71" t="s">
        <v>30</v>
      </c>
      <c r="C19" s="71"/>
      <c r="D19" s="71"/>
      <c r="E19" s="54">
        <v>6436</v>
      </c>
      <c r="F19" s="14">
        <v>1</v>
      </c>
      <c r="G19" s="23" t="s">
        <v>77</v>
      </c>
      <c r="H19" s="21" t="str">
        <f>HYPERLINK("#G19",CHAR(128))</f>
        <v>€</v>
      </c>
    </row>
    <row r="20" spans="1:10" x14ac:dyDescent="0.3">
      <c r="A20" s="5"/>
      <c r="B20" s="73"/>
      <c r="C20" s="74"/>
      <c r="D20" s="75"/>
      <c r="E20" s="53"/>
      <c r="F20" s="4"/>
      <c r="G20" s="4"/>
      <c r="H20" s="12"/>
    </row>
    <row r="21" spans="1:10" x14ac:dyDescent="0.3">
      <c r="A21" s="2" t="s">
        <v>175</v>
      </c>
      <c r="B21" s="71" t="s">
        <v>33</v>
      </c>
      <c r="C21" s="71"/>
      <c r="D21" s="71"/>
      <c r="E21" s="54">
        <v>7</v>
      </c>
      <c r="F21" s="14">
        <v>1</v>
      </c>
      <c r="G21" s="23" t="s">
        <v>45</v>
      </c>
      <c r="H21" s="21" t="str">
        <f>HYPERLINK("#G21",CHAR(128))</f>
        <v>€</v>
      </c>
    </row>
    <row r="22" spans="1:10" x14ac:dyDescent="0.3">
      <c r="A22" s="5" t="s">
        <v>158</v>
      </c>
      <c r="B22" s="70" t="s">
        <v>31</v>
      </c>
      <c r="C22" s="70"/>
      <c r="D22" s="70"/>
      <c r="E22" s="53">
        <v>6432</v>
      </c>
      <c r="F22" s="4">
        <v>1</v>
      </c>
      <c r="G22" s="23" t="s">
        <v>64</v>
      </c>
      <c r="H22" s="21" t="str">
        <f>HYPERLINK("#G22",CHAR(128))</f>
        <v>€</v>
      </c>
    </row>
    <row r="23" spans="1:10" x14ac:dyDescent="0.3">
      <c r="A23" s="2" t="s">
        <v>149</v>
      </c>
      <c r="B23" s="71" t="s">
        <v>48</v>
      </c>
      <c r="C23" s="71"/>
      <c r="D23" s="71"/>
      <c r="E23" s="54">
        <v>6430</v>
      </c>
      <c r="F23" s="14">
        <v>1</v>
      </c>
      <c r="G23" s="23" t="s">
        <v>77</v>
      </c>
      <c r="H23" s="20" t="str">
        <f>HYPERLINK("#G23",CHAR(128))</f>
        <v>€</v>
      </c>
    </row>
    <row r="24" spans="1:10" x14ac:dyDescent="0.3">
      <c r="A24" s="5"/>
      <c r="B24" s="70" t="s">
        <v>32</v>
      </c>
      <c r="C24" s="70"/>
      <c r="D24" s="70"/>
      <c r="E24" s="53"/>
      <c r="F24" s="4">
        <v>1</v>
      </c>
      <c r="G24" s="23" t="s">
        <v>45</v>
      </c>
      <c r="H24" s="20" t="str">
        <f>HYPERLINK("#G24",CHAR(128))</f>
        <v>€</v>
      </c>
    </row>
    <row r="25" spans="1:10" x14ac:dyDescent="0.3">
      <c r="A25" s="2"/>
      <c r="B25" s="71"/>
      <c r="C25" s="71"/>
      <c r="D25" s="71"/>
      <c r="E25" s="1"/>
      <c r="F25" s="14"/>
      <c r="G25" s="14"/>
      <c r="H25" s="12"/>
      <c r="I25" s="10"/>
    </row>
    <row r="26" spans="1:10" x14ac:dyDescent="0.3">
      <c r="A26" s="5"/>
      <c r="B26" s="70" t="s">
        <v>37</v>
      </c>
      <c r="C26" s="70"/>
      <c r="D26" s="70"/>
      <c r="E26" s="4" t="str">
        <f>C2</f>
        <v>Dia</v>
      </c>
      <c r="F26" s="4">
        <v>1</v>
      </c>
      <c r="G26" s="23" t="s">
        <v>45</v>
      </c>
      <c r="H26" s="22" t="str">
        <f>HYPERLINK("#G26",CHAR(128))</f>
        <v>€</v>
      </c>
    </row>
    <row r="28" spans="1:10" x14ac:dyDescent="0.3">
      <c r="J28" s="16"/>
    </row>
    <row r="29" spans="1:10" x14ac:dyDescent="0.3">
      <c r="A29" s="18"/>
      <c r="B29" s="69" t="s">
        <v>50</v>
      </c>
      <c r="C29" s="69"/>
      <c r="D29" s="69"/>
      <c r="E29" s="18" t="s">
        <v>8</v>
      </c>
      <c r="F29" s="18" t="s">
        <v>35</v>
      </c>
      <c r="G29" s="19" t="s">
        <v>36</v>
      </c>
    </row>
    <row r="30" spans="1:10" x14ac:dyDescent="0.3">
      <c r="A30" s="3"/>
      <c r="B30" s="70"/>
      <c r="C30" s="70"/>
      <c r="D30" s="70"/>
      <c r="E30" s="4"/>
      <c r="F30" s="8">
        <v>1</v>
      </c>
      <c r="G30" s="15"/>
      <c r="H30" s="17" t="str">
        <f>HYPERLINK("#G30",CHAR(128))</f>
        <v>€</v>
      </c>
    </row>
    <row r="31" spans="1:10" x14ac:dyDescent="0.3">
      <c r="A31" s="2"/>
      <c r="B31" s="71"/>
      <c r="C31" s="71"/>
      <c r="D31" s="71"/>
      <c r="E31" s="1"/>
      <c r="F31" s="14">
        <v>1</v>
      </c>
      <c r="G31" s="24"/>
      <c r="H31" s="17" t="str">
        <f>HYPERLINK("#G31",CHAR(128))</f>
        <v>€</v>
      </c>
    </row>
    <row r="32" spans="1:10" x14ac:dyDescent="0.3">
      <c r="A32" s="3"/>
      <c r="B32" s="70"/>
      <c r="C32" s="70"/>
      <c r="D32" s="70"/>
      <c r="E32" s="4"/>
      <c r="F32" s="4">
        <v>1</v>
      </c>
      <c r="G32" s="25"/>
      <c r="H32" s="17" t="str">
        <f>HYPERLINK("#G32",CHAR(128))</f>
        <v>€</v>
      </c>
    </row>
    <row r="33" spans="1:8" x14ac:dyDescent="0.3">
      <c r="A33" s="2"/>
      <c r="B33" s="71"/>
      <c r="C33" s="71"/>
      <c r="D33" s="71"/>
      <c r="E33" s="1"/>
      <c r="F33" s="14">
        <v>1</v>
      </c>
      <c r="G33" s="24"/>
      <c r="H33" s="17" t="str">
        <f>HYPERLINK("#G33",CHAR(128))</f>
        <v>€</v>
      </c>
    </row>
    <row r="34" spans="1:8" x14ac:dyDescent="0.3">
      <c r="A34" s="3"/>
      <c r="B34" s="70"/>
      <c r="C34" s="70"/>
      <c r="D34" s="70"/>
      <c r="E34" s="4"/>
      <c r="F34" s="4">
        <v>1</v>
      </c>
      <c r="G34" s="25"/>
      <c r="H34" s="17" t="str">
        <f>HYPERLINK("#G34",CHAR(128))</f>
        <v>€</v>
      </c>
    </row>
    <row r="37" spans="1:8" x14ac:dyDescent="0.3">
      <c r="A37" s="37" t="s">
        <v>40</v>
      </c>
      <c r="B37" s="37" t="s">
        <v>7</v>
      </c>
      <c r="C37" s="37" t="s">
        <v>60</v>
      </c>
      <c r="D37" s="37" t="s">
        <v>61</v>
      </c>
    </row>
    <row r="38" spans="1:8" x14ac:dyDescent="0.3">
      <c r="A38" s="37"/>
      <c r="B38" s="37"/>
      <c r="C38" s="37"/>
      <c r="D38" s="37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68" priority="2" operator="equal">
      <formula>"Returned"</formula>
    </cfRule>
    <cfRule type="cellIs" dxfId="67" priority="5" operator="equal">
      <formula>"Ready To Order"</formula>
    </cfRule>
    <cfRule type="cellIs" dxfId="66" priority="6" operator="equal">
      <formula>"UNP"</formula>
    </cfRule>
    <cfRule type="containsText" dxfId="65" priority="7" operator="containsText" text="Ordered">
      <formula>NOT(ISERROR(SEARCH("Ordered",G6)))</formula>
    </cfRule>
    <cfRule type="containsText" dxfId="64" priority="8" operator="containsText" text="Pick Up">
      <formula>NOT(ISERROR(SEARCH("Pick Up",G6)))</formula>
    </cfRule>
    <cfRule type="containsText" dxfId="63" priority="9" operator="containsText" text="Complete">
      <formula>NOT(ISERROR(SEARCH("Complete",G6)))</formula>
    </cfRule>
  </conditionalFormatting>
  <conditionalFormatting sqref="G30:G33">
    <cfRule type="containsText" dxfId="62" priority="4" operator="containsText" text="Given">
      <formula>NOT(ISERROR(SEARCH("Given",G30)))</formula>
    </cfRule>
  </conditionalFormatting>
  <conditionalFormatting sqref="G30:G34">
    <cfRule type="containsText" dxfId="61" priority="3" operator="containsText" text="Returned">
      <formula>NOT(ISERROR(SEARCH("Returned",G30)))</formula>
    </cfRule>
  </conditionalFormatting>
  <conditionalFormatting sqref="G6:G14 G21:G26 G16:G19">
    <cfRule type="cellIs" dxfId="60" priority="1" operator="equal">
      <formula>"In Stock"</formula>
    </cfRule>
  </conditionalFormatting>
  <dataValidations count="3">
    <dataValidation type="list" allowBlank="1" showInputMessage="1" showErrorMessage="1" sqref="G30:G34" xr:uid="{9246EAFA-343F-4313-B7AE-C269C27AC1FC}">
      <formula1>"--,Returned, Given"</formula1>
    </dataValidation>
    <dataValidation type="list" allowBlank="1" showInputMessage="1" showErrorMessage="1" sqref="G16:G19 G21:G24 G26 G6:G14" xr:uid="{A4F88C51-5CA0-4E8B-8B5D-14343D9330DB}">
      <formula1>"UNP, Ready To Order, Ordered, In Stock, Pick Up, Complete, Returned"</formula1>
    </dataValidation>
    <dataValidation type="decimal" allowBlank="1" showInputMessage="1" showErrorMessage="1" sqref="L2" xr:uid="{AF6C233E-B524-4EC3-9AAC-48DA3C5EA17D}">
      <formula1>19</formula1>
      <formula2>26</formula2>
    </dataValidation>
  </dataValidations>
  <hyperlinks>
    <hyperlink ref="A1:A2" location="Menu!A1" display="Back to Menu" xr:uid="{601AC780-4C79-429E-A209-06CE0D5AAB47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9665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16625</xdr:colOff>
                    <xdr:row>10</xdr:row>
                    <xdr:rowOff>191193</xdr:rowOff>
                  </from>
                  <to>
                    <xdr:col>12</xdr:col>
                    <xdr:colOff>16625</xdr:colOff>
                    <xdr:row>12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6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216131</xdr:rowOff>
                  </from>
                  <to>
                    <xdr:col>12</xdr:col>
                    <xdr:colOff>33251</xdr:colOff>
                    <xdr:row>21</xdr:row>
                    <xdr:rowOff>157942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7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32</xdr:row>
                    <xdr:rowOff>166255</xdr:rowOff>
                  </from>
                  <to>
                    <xdr:col>12</xdr:col>
                    <xdr:colOff>0</xdr:colOff>
                    <xdr:row>33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8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598516</xdr:colOff>
                    <xdr:row>30</xdr:row>
                    <xdr:rowOff>174567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9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174567</xdr:rowOff>
                  </from>
                  <to>
                    <xdr:col>12</xdr:col>
                    <xdr:colOff>8313</xdr:colOff>
                    <xdr:row>26</xdr:row>
                    <xdr:rowOff>108065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3F069-1606-4A8C-95E2-CDB937E0B04D}">
  <sheetPr codeName="Sheet10"/>
  <dimension ref="A1:L38"/>
  <sheetViews>
    <sheetView workbookViewId="0">
      <selection sqref="A1:A1048576"/>
    </sheetView>
  </sheetViews>
  <sheetFormatPr defaultRowHeight="15.05" x14ac:dyDescent="0.3"/>
  <cols>
    <col min="1" max="1" width="18.6640625" customWidth="1"/>
    <col min="3" max="3" width="9" customWidth="1"/>
    <col min="4" max="4" width="9.8867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77" t="s">
        <v>42</v>
      </c>
      <c r="B1" s="18" t="s">
        <v>3</v>
      </c>
      <c r="C1" s="69" t="s">
        <v>0</v>
      </c>
      <c r="D1" s="69"/>
      <c r="E1" s="69" t="s">
        <v>2</v>
      </c>
      <c r="F1" s="69"/>
      <c r="G1" s="18" t="s">
        <v>34</v>
      </c>
      <c r="K1" s="18" t="s">
        <v>38</v>
      </c>
      <c r="L1" s="18" t="s">
        <v>10</v>
      </c>
    </row>
    <row r="2" spans="1:12" x14ac:dyDescent="0.3">
      <c r="A2" s="78"/>
      <c r="B2" s="2" t="s">
        <v>130</v>
      </c>
      <c r="C2" s="71" t="s">
        <v>128</v>
      </c>
      <c r="D2" s="71"/>
      <c r="E2" s="71" t="s">
        <v>129</v>
      </c>
      <c r="F2" s="71"/>
      <c r="G2" s="1" t="s">
        <v>217</v>
      </c>
      <c r="K2" s="4" t="s">
        <v>9</v>
      </c>
      <c r="L2" s="4">
        <v>22</v>
      </c>
    </row>
    <row r="3" spans="1:12" x14ac:dyDescent="0.3">
      <c r="A3" s="18" t="s">
        <v>1</v>
      </c>
      <c r="B3" s="79" t="s">
        <v>4</v>
      </c>
      <c r="C3" s="80"/>
      <c r="D3" s="81"/>
      <c r="E3" s="79" t="s">
        <v>49</v>
      </c>
      <c r="F3" s="81"/>
      <c r="G3" s="18" t="s">
        <v>5</v>
      </c>
      <c r="K3" s="1" t="s">
        <v>11</v>
      </c>
      <c r="L3" s="1">
        <v>13.5</v>
      </c>
    </row>
    <row r="4" spans="1:12" x14ac:dyDescent="0.3">
      <c r="A4" s="1" t="s">
        <v>39</v>
      </c>
      <c r="B4" s="76">
        <v>9999999999</v>
      </c>
      <c r="C4" s="76"/>
      <c r="D4" s="76"/>
      <c r="E4" s="71"/>
      <c r="F4" s="71"/>
      <c r="G4" s="1" t="s">
        <v>69</v>
      </c>
      <c r="K4" s="4" t="s">
        <v>12</v>
      </c>
      <c r="L4" s="4">
        <v>32</v>
      </c>
    </row>
    <row r="5" spans="1:12" x14ac:dyDescent="0.3">
      <c r="A5" s="18" t="s">
        <v>6</v>
      </c>
      <c r="B5" s="69" t="s">
        <v>7</v>
      </c>
      <c r="C5" s="69"/>
      <c r="D5" s="69"/>
      <c r="E5" s="18" t="s">
        <v>8</v>
      </c>
      <c r="F5" s="18" t="s">
        <v>35</v>
      </c>
      <c r="G5" s="18" t="s">
        <v>36</v>
      </c>
      <c r="K5" s="1" t="s">
        <v>13</v>
      </c>
      <c r="L5" s="1">
        <v>26.5</v>
      </c>
    </row>
    <row r="6" spans="1:12" x14ac:dyDescent="0.3">
      <c r="A6" s="3" t="s">
        <v>151</v>
      </c>
      <c r="B6" s="70" t="s">
        <v>18</v>
      </c>
      <c r="C6" s="70"/>
      <c r="D6" s="70"/>
      <c r="E6" s="53">
        <v>6432</v>
      </c>
      <c r="F6" s="4">
        <v>1</v>
      </c>
      <c r="G6" s="23" t="s">
        <v>77</v>
      </c>
      <c r="H6" s="26" t="str">
        <f>HYPERLINK("#G6",CHAR(128))</f>
        <v>€</v>
      </c>
      <c r="K6" s="4" t="s">
        <v>14</v>
      </c>
      <c r="L6" s="4">
        <v>31</v>
      </c>
    </row>
    <row r="7" spans="1:12" x14ac:dyDescent="0.3">
      <c r="A7" s="2" t="s">
        <v>152</v>
      </c>
      <c r="B7" s="71" t="s">
        <v>21</v>
      </c>
      <c r="C7" s="71"/>
      <c r="D7" s="71"/>
      <c r="E7" s="54">
        <v>13</v>
      </c>
      <c r="F7" s="14">
        <v>1</v>
      </c>
      <c r="G7" s="23" t="s">
        <v>64</v>
      </c>
      <c r="H7" s="26" t="str">
        <f>HYPERLINK("#G7",CHAR(128))</f>
        <v>€</v>
      </c>
      <c r="K7" s="1" t="s">
        <v>15</v>
      </c>
      <c r="L7" s="1">
        <v>63</v>
      </c>
    </row>
    <row r="8" spans="1:12" x14ac:dyDescent="0.3">
      <c r="A8" s="3" t="s">
        <v>179</v>
      </c>
      <c r="B8" s="70" t="s">
        <v>19</v>
      </c>
      <c r="C8" s="70"/>
      <c r="D8" s="70"/>
      <c r="E8" s="53" t="s">
        <v>120</v>
      </c>
      <c r="F8" s="4">
        <v>1</v>
      </c>
      <c r="G8" s="23" t="s">
        <v>64</v>
      </c>
      <c r="H8" s="26" t="str">
        <f>HYPERLINK("#G8",CHAR(128))</f>
        <v>€</v>
      </c>
      <c r="K8" s="4" t="s">
        <v>16</v>
      </c>
      <c r="L8" s="4">
        <v>265</v>
      </c>
    </row>
    <row r="9" spans="1:12" x14ac:dyDescent="0.3">
      <c r="A9" s="2" t="s">
        <v>154</v>
      </c>
      <c r="B9" s="71" t="s">
        <v>20</v>
      </c>
      <c r="C9" s="71"/>
      <c r="D9" s="71"/>
      <c r="E9" s="54">
        <v>6427</v>
      </c>
      <c r="F9" s="14">
        <v>1</v>
      </c>
      <c r="G9" s="23" t="s">
        <v>58</v>
      </c>
      <c r="H9" s="26" t="str">
        <f>HYPERLINK("#G9",CHAR(128))</f>
        <v>€</v>
      </c>
      <c r="I9" s="9"/>
      <c r="K9" s="1" t="s">
        <v>17</v>
      </c>
      <c r="L9" s="1">
        <v>95</v>
      </c>
    </row>
    <row r="10" spans="1:12" x14ac:dyDescent="0.3">
      <c r="A10" s="3" t="s">
        <v>174</v>
      </c>
      <c r="B10" s="70" t="s">
        <v>24</v>
      </c>
      <c r="C10" s="70"/>
      <c r="D10" s="70"/>
      <c r="E10" s="53">
        <v>7</v>
      </c>
      <c r="F10" s="4">
        <v>1</v>
      </c>
      <c r="G10" s="23" t="s">
        <v>64</v>
      </c>
      <c r="H10" s="26" t="str">
        <f>HYPERLINK("#G10",CHAR(128))</f>
        <v>€</v>
      </c>
      <c r="K10" s="13" t="s">
        <v>47</v>
      </c>
      <c r="L10" s="13"/>
    </row>
    <row r="11" spans="1:12" x14ac:dyDescent="0.3">
      <c r="A11" s="2" t="s">
        <v>56</v>
      </c>
      <c r="B11" s="71" t="s">
        <v>23</v>
      </c>
      <c r="C11" s="71"/>
      <c r="D11" s="71"/>
      <c r="E11" s="54" t="s">
        <v>180</v>
      </c>
      <c r="F11" s="14">
        <v>1</v>
      </c>
      <c r="G11" s="23" t="s">
        <v>64</v>
      </c>
      <c r="H11" s="26" t="str">
        <f>HYPERLINK("#G11",CHAR(128))</f>
        <v>€</v>
      </c>
    </row>
    <row r="12" spans="1:12" x14ac:dyDescent="0.3">
      <c r="A12" s="5" t="s">
        <v>172</v>
      </c>
      <c r="B12" s="70" t="s">
        <v>25</v>
      </c>
      <c r="C12" s="70"/>
      <c r="D12" s="70"/>
      <c r="E12" s="53" t="s">
        <v>120</v>
      </c>
      <c r="F12" s="4">
        <v>1</v>
      </c>
      <c r="G12" s="23" t="s">
        <v>64</v>
      </c>
      <c r="H12" s="26" t="str">
        <f>HYPERLINK("#G12",CHAR(128))</f>
        <v>€</v>
      </c>
    </row>
    <row r="13" spans="1:12" x14ac:dyDescent="0.3">
      <c r="A13" s="2" t="s">
        <v>155</v>
      </c>
      <c r="B13" s="71" t="s">
        <v>26</v>
      </c>
      <c r="C13" s="71"/>
      <c r="D13" s="71"/>
      <c r="E13" s="54" t="s">
        <v>118</v>
      </c>
      <c r="F13" s="14">
        <v>1</v>
      </c>
      <c r="G13" s="23" t="s">
        <v>64</v>
      </c>
      <c r="H13" s="26" t="str">
        <f>HYPERLINK("#G13",CHAR(128))</f>
        <v>€</v>
      </c>
    </row>
    <row r="14" spans="1:12" x14ac:dyDescent="0.3">
      <c r="A14" s="5" t="s">
        <v>156</v>
      </c>
      <c r="B14" s="70" t="s">
        <v>27</v>
      </c>
      <c r="C14" s="70"/>
      <c r="D14" s="70"/>
      <c r="E14" s="53" t="s">
        <v>121</v>
      </c>
      <c r="F14" s="4">
        <v>1</v>
      </c>
      <c r="G14" s="23" t="s">
        <v>77</v>
      </c>
      <c r="H14" s="26" t="str">
        <f>HYPERLINK("#G14",CHAR(128))</f>
        <v>€</v>
      </c>
    </row>
    <row r="15" spans="1:12" x14ac:dyDescent="0.3">
      <c r="A15" s="2"/>
      <c r="B15" s="72"/>
      <c r="C15" s="72"/>
      <c r="D15" s="72"/>
      <c r="E15" s="54"/>
      <c r="F15" s="14"/>
      <c r="G15" s="14"/>
      <c r="H15" s="12"/>
    </row>
    <row r="16" spans="1:12" x14ac:dyDescent="0.3">
      <c r="A16" s="5" t="s">
        <v>46</v>
      </c>
      <c r="B16" s="70" t="s">
        <v>28</v>
      </c>
      <c r="C16" s="70"/>
      <c r="D16" s="70"/>
      <c r="E16" s="53"/>
      <c r="F16" s="4">
        <v>1</v>
      </c>
      <c r="G16" s="23" t="s">
        <v>45</v>
      </c>
      <c r="H16" s="21" t="str">
        <f>HYPERLINK("#G16",CHAR(128))</f>
        <v>€</v>
      </c>
    </row>
    <row r="17" spans="1:10" x14ac:dyDescent="0.3">
      <c r="A17" s="2" t="s">
        <v>136</v>
      </c>
      <c r="B17" s="71" t="s">
        <v>22</v>
      </c>
      <c r="C17" s="71"/>
      <c r="D17" s="71"/>
      <c r="E17" s="54" t="s">
        <v>118</v>
      </c>
      <c r="F17" s="14">
        <v>1</v>
      </c>
      <c r="G17" s="23" t="s">
        <v>64</v>
      </c>
      <c r="H17" s="21" t="str">
        <f>HYPERLINK("#G17",CHAR(128))</f>
        <v>€</v>
      </c>
    </row>
    <row r="18" spans="1:10" x14ac:dyDescent="0.3">
      <c r="A18" s="5"/>
      <c r="B18" s="70" t="s">
        <v>29</v>
      </c>
      <c r="C18" s="70"/>
      <c r="D18" s="70"/>
      <c r="E18" s="53" t="s">
        <v>118</v>
      </c>
      <c r="F18" s="4">
        <v>1</v>
      </c>
      <c r="G18" s="23" t="s">
        <v>64</v>
      </c>
      <c r="H18" s="21" t="str">
        <f>HYPERLINK("#G18",CHAR(128))</f>
        <v>€</v>
      </c>
    </row>
    <row r="19" spans="1:10" x14ac:dyDescent="0.3">
      <c r="A19" s="2"/>
      <c r="B19" s="71" t="s">
        <v>30</v>
      </c>
      <c r="C19" s="71"/>
      <c r="D19" s="71"/>
      <c r="E19" s="54">
        <v>6436</v>
      </c>
      <c r="F19" s="14">
        <v>1</v>
      </c>
      <c r="G19" s="23" t="s">
        <v>77</v>
      </c>
      <c r="H19" s="21" t="str">
        <f>HYPERLINK("#G19",CHAR(128))</f>
        <v>€</v>
      </c>
    </row>
    <row r="20" spans="1:10" x14ac:dyDescent="0.3">
      <c r="A20" s="5"/>
      <c r="B20" s="73"/>
      <c r="C20" s="74"/>
      <c r="D20" s="75"/>
      <c r="E20" s="53"/>
      <c r="F20" s="4"/>
      <c r="G20" s="4"/>
      <c r="H20" s="12"/>
    </row>
    <row r="21" spans="1:10" x14ac:dyDescent="0.3">
      <c r="A21" s="2" t="s">
        <v>175</v>
      </c>
      <c r="B21" s="71" t="s">
        <v>33</v>
      </c>
      <c r="C21" s="71"/>
      <c r="D21" s="71"/>
      <c r="E21" s="54">
        <v>7</v>
      </c>
      <c r="F21" s="14">
        <v>1</v>
      </c>
      <c r="G21" s="23" t="s">
        <v>45</v>
      </c>
      <c r="H21" s="21" t="str">
        <f>HYPERLINK("#G21",CHAR(128))</f>
        <v>€</v>
      </c>
    </row>
    <row r="22" spans="1:10" x14ac:dyDescent="0.3">
      <c r="A22" s="5" t="s">
        <v>158</v>
      </c>
      <c r="B22" s="70" t="s">
        <v>31</v>
      </c>
      <c r="C22" s="70"/>
      <c r="D22" s="70"/>
      <c r="E22" s="53">
        <v>6432</v>
      </c>
      <c r="F22" s="4">
        <v>1</v>
      </c>
      <c r="G22" s="23" t="s">
        <v>64</v>
      </c>
      <c r="H22" s="21" t="str">
        <f>HYPERLINK("#G22",CHAR(128))</f>
        <v>€</v>
      </c>
    </row>
    <row r="23" spans="1:10" x14ac:dyDescent="0.3">
      <c r="A23" s="2" t="s">
        <v>149</v>
      </c>
      <c r="B23" s="71" t="s">
        <v>48</v>
      </c>
      <c r="C23" s="71"/>
      <c r="D23" s="71"/>
      <c r="E23" s="54">
        <v>6430</v>
      </c>
      <c r="F23" s="14">
        <v>1</v>
      </c>
      <c r="G23" s="23" t="s">
        <v>77</v>
      </c>
      <c r="H23" s="20" t="str">
        <f>HYPERLINK("#G23",CHAR(128))</f>
        <v>€</v>
      </c>
    </row>
    <row r="24" spans="1:10" x14ac:dyDescent="0.3">
      <c r="A24" s="5"/>
      <c r="B24" s="70" t="s">
        <v>32</v>
      </c>
      <c r="C24" s="70"/>
      <c r="D24" s="70"/>
      <c r="E24" s="53"/>
      <c r="F24" s="4">
        <v>1</v>
      </c>
      <c r="G24" s="23" t="s">
        <v>45</v>
      </c>
      <c r="H24" s="20" t="str">
        <f>HYPERLINK("#G24",CHAR(128))</f>
        <v>€</v>
      </c>
    </row>
    <row r="25" spans="1:10" x14ac:dyDescent="0.3">
      <c r="A25" s="2"/>
      <c r="B25" s="71"/>
      <c r="C25" s="71"/>
      <c r="D25" s="71"/>
      <c r="E25" s="1"/>
      <c r="F25" s="14"/>
      <c r="G25" s="14"/>
      <c r="H25" s="12"/>
      <c r="I25" s="10"/>
    </row>
    <row r="26" spans="1:10" x14ac:dyDescent="0.3">
      <c r="A26" s="5"/>
      <c r="B26" s="70" t="s">
        <v>37</v>
      </c>
      <c r="C26" s="70"/>
      <c r="D26" s="70"/>
      <c r="E26" s="4" t="str">
        <f>C2</f>
        <v>Dia</v>
      </c>
      <c r="F26" s="4">
        <v>1</v>
      </c>
      <c r="G26" s="23" t="s">
        <v>45</v>
      </c>
      <c r="H26" s="22" t="str">
        <f>HYPERLINK("#G26",CHAR(128))</f>
        <v>€</v>
      </c>
    </row>
    <row r="28" spans="1:10" x14ac:dyDescent="0.3">
      <c r="J28" s="16"/>
    </row>
    <row r="29" spans="1:10" x14ac:dyDescent="0.3">
      <c r="A29" s="18"/>
      <c r="B29" s="69" t="s">
        <v>50</v>
      </c>
      <c r="C29" s="69"/>
      <c r="D29" s="69"/>
      <c r="E29" s="18" t="s">
        <v>8</v>
      </c>
      <c r="F29" s="18" t="s">
        <v>35</v>
      </c>
      <c r="G29" s="19" t="s">
        <v>36</v>
      </c>
    </row>
    <row r="30" spans="1:10" x14ac:dyDescent="0.3">
      <c r="A30" s="3"/>
      <c r="B30" s="70"/>
      <c r="C30" s="70"/>
      <c r="D30" s="70"/>
      <c r="E30" s="4"/>
      <c r="F30" s="8">
        <v>1</v>
      </c>
      <c r="G30" s="15"/>
      <c r="H30" s="17" t="str">
        <f>HYPERLINK("#G30",CHAR(128))</f>
        <v>€</v>
      </c>
    </row>
    <row r="31" spans="1:10" x14ac:dyDescent="0.3">
      <c r="A31" s="2"/>
      <c r="B31" s="71"/>
      <c r="C31" s="71"/>
      <c r="D31" s="71"/>
      <c r="E31" s="1"/>
      <c r="F31" s="14">
        <v>1</v>
      </c>
      <c r="G31" s="24"/>
      <c r="H31" s="17" t="str">
        <f>HYPERLINK("#G31",CHAR(128))</f>
        <v>€</v>
      </c>
    </row>
    <row r="32" spans="1:10" x14ac:dyDescent="0.3">
      <c r="A32" s="3"/>
      <c r="B32" s="70"/>
      <c r="C32" s="70"/>
      <c r="D32" s="70"/>
      <c r="E32" s="4"/>
      <c r="F32" s="4">
        <v>1</v>
      </c>
      <c r="G32" s="25"/>
      <c r="H32" s="17" t="str">
        <f>HYPERLINK("#G32",CHAR(128))</f>
        <v>€</v>
      </c>
    </row>
    <row r="33" spans="1:8" x14ac:dyDescent="0.3">
      <c r="A33" s="2"/>
      <c r="B33" s="71"/>
      <c r="C33" s="71"/>
      <c r="D33" s="71"/>
      <c r="E33" s="1"/>
      <c r="F33" s="14">
        <v>1</v>
      </c>
      <c r="G33" s="24"/>
      <c r="H33" s="17" t="str">
        <f>HYPERLINK("#G33",CHAR(128))</f>
        <v>€</v>
      </c>
    </row>
    <row r="34" spans="1:8" x14ac:dyDescent="0.3">
      <c r="A34" s="3"/>
      <c r="B34" s="70"/>
      <c r="C34" s="70"/>
      <c r="D34" s="70"/>
      <c r="E34" s="4"/>
      <c r="F34" s="4">
        <v>1</v>
      </c>
      <c r="G34" s="25"/>
      <c r="H34" s="17" t="str">
        <f>HYPERLINK("#G34",CHAR(128))</f>
        <v>€</v>
      </c>
    </row>
    <row r="37" spans="1:8" x14ac:dyDescent="0.3">
      <c r="A37" s="37" t="s">
        <v>40</v>
      </c>
      <c r="B37" s="37" t="s">
        <v>7</v>
      </c>
      <c r="C37" s="37" t="s">
        <v>60</v>
      </c>
      <c r="D37" s="37" t="s">
        <v>61</v>
      </c>
    </row>
    <row r="38" spans="1:8" x14ac:dyDescent="0.3">
      <c r="A38" s="37"/>
      <c r="B38" s="37"/>
      <c r="C38" s="37"/>
      <c r="D38" s="37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53" priority="2" operator="equal">
      <formula>"Returned"</formula>
    </cfRule>
    <cfRule type="cellIs" dxfId="52" priority="5" operator="equal">
      <formula>"Ready To Order"</formula>
    </cfRule>
    <cfRule type="cellIs" dxfId="51" priority="6" operator="equal">
      <formula>"UNP"</formula>
    </cfRule>
    <cfRule type="containsText" dxfId="50" priority="7" operator="containsText" text="Ordered">
      <formula>NOT(ISERROR(SEARCH("Ordered",G6)))</formula>
    </cfRule>
    <cfRule type="containsText" dxfId="49" priority="8" operator="containsText" text="Pick Up">
      <formula>NOT(ISERROR(SEARCH("Pick Up",G6)))</formula>
    </cfRule>
    <cfRule type="containsText" dxfId="48" priority="9" operator="containsText" text="Complete">
      <formula>NOT(ISERROR(SEARCH("Complete",G6)))</formula>
    </cfRule>
  </conditionalFormatting>
  <conditionalFormatting sqref="G30:G33">
    <cfRule type="containsText" dxfId="47" priority="4" operator="containsText" text="Given">
      <formula>NOT(ISERROR(SEARCH("Given",G30)))</formula>
    </cfRule>
  </conditionalFormatting>
  <conditionalFormatting sqref="G30:G34">
    <cfRule type="containsText" dxfId="46" priority="3" operator="containsText" text="Returned">
      <formula>NOT(ISERROR(SEARCH("Returned",G30)))</formula>
    </cfRule>
  </conditionalFormatting>
  <conditionalFormatting sqref="G6:G14 G21:G26 G16:G19">
    <cfRule type="cellIs" dxfId="45" priority="1" operator="equal">
      <formula>"In Stock"</formula>
    </cfRule>
  </conditionalFormatting>
  <dataValidations count="3">
    <dataValidation type="list" allowBlank="1" showInputMessage="1" showErrorMessage="1" sqref="G30:G34" xr:uid="{9D76885D-6FE8-4F79-BD9C-5E373EBE4912}">
      <formula1>"--,Returned, Given"</formula1>
    </dataValidation>
    <dataValidation type="list" allowBlank="1" showInputMessage="1" showErrorMessage="1" sqref="G16:G19 G21:G24 G26 G6:G14" xr:uid="{45EA6998-DB9E-4318-AB7F-644DFABF96BA}">
      <formula1>"UNP, Ready To Order, Ordered, In Stock, Pick Up, Complete, Returned"</formula1>
    </dataValidation>
    <dataValidation type="decimal" allowBlank="1" showInputMessage="1" showErrorMessage="1" sqref="L2" xr:uid="{E064DDE5-B181-4E5B-B250-A8AD60CF9DE4}">
      <formula1>19</formula1>
      <formula2>26</formula2>
    </dataValidation>
  </dataValidations>
  <hyperlinks>
    <hyperlink ref="A1:A2" location="Menu!A1" display="Back to Menu" xr:uid="{091FA1EE-09FC-449E-9454-2050107FDAC8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0689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16625</xdr:colOff>
                    <xdr:row>10</xdr:row>
                    <xdr:rowOff>191193</xdr:rowOff>
                  </from>
                  <to>
                    <xdr:col>12</xdr:col>
                    <xdr:colOff>16625</xdr:colOff>
                    <xdr:row>12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90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216131</xdr:rowOff>
                  </from>
                  <to>
                    <xdr:col>12</xdr:col>
                    <xdr:colOff>33251</xdr:colOff>
                    <xdr:row>21</xdr:row>
                    <xdr:rowOff>157942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91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32</xdr:row>
                    <xdr:rowOff>166255</xdr:rowOff>
                  </from>
                  <to>
                    <xdr:col>12</xdr:col>
                    <xdr:colOff>0</xdr:colOff>
                    <xdr:row>33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92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598516</xdr:colOff>
                    <xdr:row>30</xdr:row>
                    <xdr:rowOff>174567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693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174567</xdr:rowOff>
                  </from>
                  <to>
                    <xdr:col>12</xdr:col>
                    <xdr:colOff>8313</xdr:colOff>
                    <xdr:row>26</xdr:row>
                    <xdr:rowOff>108065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571BC-3636-469A-95C6-68B65C4A633C}">
  <sheetPr codeName="Sheet13"/>
  <dimension ref="A1:L38"/>
  <sheetViews>
    <sheetView workbookViewId="0">
      <selection sqref="A1:A1048576"/>
    </sheetView>
  </sheetViews>
  <sheetFormatPr defaultRowHeight="15.05" x14ac:dyDescent="0.3"/>
  <cols>
    <col min="1" max="1" width="18.6640625" customWidth="1"/>
    <col min="3" max="3" width="9" customWidth="1"/>
    <col min="4" max="4" width="9.8867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77" t="s">
        <v>42</v>
      </c>
      <c r="B1" s="18" t="s">
        <v>3</v>
      </c>
      <c r="C1" s="69" t="s">
        <v>0</v>
      </c>
      <c r="D1" s="69"/>
      <c r="E1" s="69" t="s">
        <v>2</v>
      </c>
      <c r="F1" s="69"/>
      <c r="G1" s="18" t="s">
        <v>34</v>
      </c>
      <c r="K1" s="18" t="s">
        <v>38</v>
      </c>
      <c r="L1" s="18" t="s">
        <v>10</v>
      </c>
    </row>
    <row r="2" spans="1:12" x14ac:dyDescent="0.3">
      <c r="A2" s="78"/>
      <c r="B2" s="2" t="s">
        <v>130</v>
      </c>
      <c r="C2" s="71" t="s">
        <v>128</v>
      </c>
      <c r="D2" s="71"/>
      <c r="E2" s="71" t="s">
        <v>129</v>
      </c>
      <c r="F2" s="71"/>
      <c r="G2" s="1" t="s">
        <v>218</v>
      </c>
      <c r="K2" s="4" t="s">
        <v>9</v>
      </c>
      <c r="L2" s="4">
        <v>22</v>
      </c>
    </row>
    <row r="3" spans="1:12" x14ac:dyDescent="0.3">
      <c r="A3" s="18" t="s">
        <v>1</v>
      </c>
      <c r="B3" s="79" t="s">
        <v>4</v>
      </c>
      <c r="C3" s="80"/>
      <c r="D3" s="81"/>
      <c r="E3" s="79" t="s">
        <v>49</v>
      </c>
      <c r="F3" s="81"/>
      <c r="G3" s="18" t="s">
        <v>5</v>
      </c>
      <c r="K3" s="1" t="s">
        <v>11</v>
      </c>
      <c r="L3" s="1">
        <v>13.5</v>
      </c>
    </row>
    <row r="4" spans="1:12" x14ac:dyDescent="0.3">
      <c r="A4" s="1" t="s">
        <v>39</v>
      </c>
      <c r="B4" s="76">
        <v>9999999999</v>
      </c>
      <c r="C4" s="76"/>
      <c r="D4" s="76"/>
      <c r="E4" s="71"/>
      <c r="F4" s="71"/>
      <c r="G4" s="1" t="s">
        <v>69</v>
      </c>
      <c r="K4" s="4" t="s">
        <v>12</v>
      </c>
      <c r="L4" s="4">
        <v>32</v>
      </c>
    </row>
    <row r="5" spans="1:12" x14ac:dyDescent="0.3">
      <c r="A5" s="18" t="s">
        <v>6</v>
      </c>
      <c r="B5" s="69" t="s">
        <v>7</v>
      </c>
      <c r="C5" s="69"/>
      <c r="D5" s="69"/>
      <c r="E5" s="18" t="s">
        <v>8</v>
      </c>
      <c r="F5" s="18" t="s">
        <v>35</v>
      </c>
      <c r="G5" s="18" t="s">
        <v>36</v>
      </c>
      <c r="K5" s="1" t="s">
        <v>13</v>
      </c>
      <c r="L5" s="1">
        <v>26.5</v>
      </c>
    </row>
    <row r="6" spans="1:12" x14ac:dyDescent="0.3">
      <c r="A6" s="3" t="s">
        <v>151</v>
      </c>
      <c r="B6" s="70" t="s">
        <v>18</v>
      </c>
      <c r="C6" s="70"/>
      <c r="D6" s="70"/>
      <c r="E6" s="53" t="s">
        <v>164</v>
      </c>
      <c r="F6" s="4">
        <v>1</v>
      </c>
      <c r="G6" s="23" t="s">
        <v>45</v>
      </c>
      <c r="H6" s="26" t="str">
        <f>HYPERLINK("#G6",CHAR(128))</f>
        <v>€</v>
      </c>
      <c r="K6" s="4" t="s">
        <v>14</v>
      </c>
      <c r="L6" s="4">
        <v>31</v>
      </c>
    </row>
    <row r="7" spans="1:12" x14ac:dyDescent="0.3">
      <c r="A7" s="2" t="s">
        <v>200</v>
      </c>
      <c r="B7" s="71" t="s">
        <v>21</v>
      </c>
      <c r="C7" s="71"/>
      <c r="D7" s="71"/>
      <c r="E7" s="54" t="s">
        <v>199</v>
      </c>
      <c r="F7" s="14">
        <v>1</v>
      </c>
      <c r="G7" s="23" t="s">
        <v>45</v>
      </c>
      <c r="H7" s="26" t="str">
        <f>HYPERLINK("#G7",CHAR(128))</f>
        <v>€</v>
      </c>
      <c r="K7" s="1" t="s">
        <v>15</v>
      </c>
      <c r="L7" s="1">
        <v>63</v>
      </c>
    </row>
    <row r="8" spans="1:12" x14ac:dyDescent="0.3">
      <c r="A8" s="3" t="s">
        <v>153</v>
      </c>
      <c r="B8" s="70" t="s">
        <v>19</v>
      </c>
      <c r="C8" s="70"/>
      <c r="D8" s="70"/>
      <c r="E8" s="53" t="s">
        <v>120</v>
      </c>
      <c r="F8" s="4">
        <v>1</v>
      </c>
      <c r="G8" s="23" t="s">
        <v>45</v>
      </c>
      <c r="H8" s="26" t="str">
        <f>HYPERLINK("#G8",CHAR(128))</f>
        <v>€</v>
      </c>
      <c r="K8" s="4" t="s">
        <v>16</v>
      </c>
      <c r="L8" s="4">
        <v>265</v>
      </c>
    </row>
    <row r="9" spans="1:12" x14ac:dyDescent="0.3">
      <c r="A9" s="2" t="s">
        <v>202</v>
      </c>
      <c r="B9" s="71" t="s">
        <v>20</v>
      </c>
      <c r="C9" s="71"/>
      <c r="D9" s="71"/>
      <c r="E9" s="54" t="s">
        <v>201</v>
      </c>
      <c r="F9" s="14">
        <v>1</v>
      </c>
      <c r="G9" s="23" t="s">
        <v>45</v>
      </c>
      <c r="H9" s="26" t="str">
        <f>HYPERLINK("#G9",CHAR(128))</f>
        <v>€</v>
      </c>
      <c r="I9" s="9"/>
      <c r="K9" s="1" t="s">
        <v>17</v>
      </c>
      <c r="L9" s="1">
        <v>95</v>
      </c>
    </row>
    <row r="10" spans="1:12" x14ac:dyDescent="0.3">
      <c r="A10" s="3" t="s">
        <v>135</v>
      </c>
      <c r="B10" s="70" t="s">
        <v>24</v>
      </c>
      <c r="C10" s="70"/>
      <c r="D10" s="70"/>
      <c r="E10" s="53" t="s">
        <v>181</v>
      </c>
      <c r="F10" s="4">
        <v>1</v>
      </c>
      <c r="G10" s="23" t="s">
        <v>45</v>
      </c>
      <c r="H10" s="26" t="str">
        <f>HYPERLINK("#G10",CHAR(128))</f>
        <v>€</v>
      </c>
      <c r="K10" s="13" t="s">
        <v>47</v>
      </c>
      <c r="L10" s="13"/>
    </row>
    <row r="11" spans="1:12" x14ac:dyDescent="0.3">
      <c r="A11" s="2" t="s">
        <v>56</v>
      </c>
      <c r="B11" s="71" t="s">
        <v>23</v>
      </c>
      <c r="C11" s="71"/>
      <c r="D11" s="71"/>
      <c r="E11" s="54" t="s">
        <v>55</v>
      </c>
      <c r="F11" s="14">
        <v>1</v>
      </c>
      <c r="G11" s="23" t="s">
        <v>45</v>
      </c>
      <c r="H11" s="26" t="str">
        <f>HYPERLINK("#G11",CHAR(128))</f>
        <v>€</v>
      </c>
    </row>
    <row r="12" spans="1:12" x14ac:dyDescent="0.3">
      <c r="A12" s="5" t="s">
        <v>203</v>
      </c>
      <c r="B12" s="70" t="s">
        <v>25</v>
      </c>
      <c r="C12" s="70"/>
      <c r="D12" s="70"/>
      <c r="E12" s="53" t="s">
        <v>120</v>
      </c>
      <c r="F12" s="4">
        <v>1</v>
      </c>
      <c r="G12" s="23" t="s">
        <v>45</v>
      </c>
      <c r="H12" s="26" t="str">
        <f>HYPERLINK("#G12",CHAR(128))</f>
        <v>€</v>
      </c>
    </row>
    <row r="13" spans="1:12" x14ac:dyDescent="0.3">
      <c r="A13" s="2" t="s">
        <v>177</v>
      </c>
      <c r="B13" s="71" t="s">
        <v>26</v>
      </c>
      <c r="C13" s="71"/>
      <c r="D13" s="71"/>
      <c r="E13" s="54" t="s">
        <v>204</v>
      </c>
      <c r="F13" s="14">
        <v>1</v>
      </c>
      <c r="G13" s="23" t="s">
        <v>45</v>
      </c>
      <c r="H13" s="26" t="str">
        <f>HYPERLINK("#G13",CHAR(128))</f>
        <v>€</v>
      </c>
    </row>
    <row r="14" spans="1:12" x14ac:dyDescent="0.3">
      <c r="A14" s="5" t="s">
        <v>156</v>
      </c>
      <c r="B14" s="70" t="s">
        <v>27</v>
      </c>
      <c r="C14" s="70"/>
      <c r="D14" s="70"/>
      <c r="E14" s="53" t="s">
        <v>121</v>
      </c>
      <c r="F14" s="4">
        <v>1</v>
      </c>
      <c r="G14" s="23" t="s">
        <v>45</v>
      </c>
      <c r="H14" s="26" t="str">
        <f>HYPERLINK("#G14",CHAR(128))</f>
        <v>€</v>
      </c>
    </row>
    <row r="15" spans="1:12" x14ac:dyDescent="0.3">
      <c r="A15" s="2"/>
      <c r="B15" s="72"/>
      <c r="C15" s="72"/>
      <c r="D15" s="72"/>
      <c r="E15" s="54"/>
      <c r="F15" s="14"/>
      <c r="G15" s="14"/>
      <c r="H15" s="12"/>
    </row>
    <row r="16" spans="1:12" x14ac:dyDescent="0.3">
      <c r="A16" s="5" t="s">
        <v>46</v>
      </c>
      <c r="B16" s="70" t="s">
        <v>28</v>
      </c>
      <c r="C16" s="70"/>
      <c r="D16" s="70"/>
      <c r="E16" s="53" t="s">
        <v>51</v>
      </c>
      <c r="F16" s="4">
        <v>1</v>
      </c>
      <c r="G16" s="23" t="s">
        <v>45</v>
      </c>
      <c r="H16" s="21" t="str">
        <f>HYPERLINK("#G16",CHAR(128))</f>
        <v>€</v>
      </c>
    </row>
    <row r="17" spans="1:10" x14ac:dyDescent="0.3">
      <c r="A17" s="2" t="s">
        <v>205</v>
      </c>
      <c r="B17" s="71" t="s">
        <v>22</v>
      </c>
      <c r="C17" s="71"/>
      <c r="D17" s="71"/>
      <c r="E17" s="54" t="s">
        <v>67</v>
      </c>
      <c r="F17" s="14">
        <v>1</v>
      </c>
      <c r="G17" s="23" t="s">
        <v>45</v>
      </c>
      <c r="H17" s="21" t="str">
        <f>HYPERLINK("#G17",CHAR(128))</f>
        <v>€</v>
      </c>
    </row>
    <row r="18" spans="1:10" x14ac:dyDescent="0.3">
      <c r="A18" s="5" t="s">
        <v>157</v>
      </c>
      <c r="B18" s="70" t="s">
        <v>29</v>
      </c>
      <c r="C18" s="70"/>
      <c r="D18" s="70"/>
      <c r="E18" s="53" t="s">
        <v>169</v>
      </c>
      <c r="F18" s="4">
        <v>1</v>
      </c>
      <c r="G18" s="23" t="s">
        <v>45</v>
      </c>
      <c r="H18" s="21" t="str">
        <f>HYPERLINK("#G18",CHAR(128))</f>
        <v>€</v>
      </c>
    </row>
    <row r="19" spans="1:10" x14ac:dyDescent="0.3">
      <c r="A19" s="2" t="s">
        <v>207</v>
      </c>
      <c r="B19" s="71" t="s">
        <v>30</v>
      </c>
      <c r="C19" s="71"/>
      <c r="D19" s="71"/>
      <c r="E19" s="54" t="s">
        <v>206</v>
      </c>
      <c r="F19" s="14">
        <v>1</v>
      </c>
      <c r="G19" s="23" t="s">
        <v>45</v>
      </c>
      <c r="H19" s="21" t="str">
        <f>HYPERLINK("#G19",CHAR(128))</f>
        <v>€</v>
      </c>
    </row>
    <row r="20" spans="1:10" x14ac:dyDescent="0.3">
      <c r="A20" s="5"/>
      <c r="B20" s="73"/>
      <c r="C20" s="74"/>
      <c r="D20" s="75"/>
      <c r="E20" s="53"/>
      <c r="F20" s="4"/>
      <c r="G20" s="4"/>
      <c r="H20" s="12"/>
    </row>
    <row r="21" spans="1:10" x14ac:dyDescent="0.3">
      <c r="A21" s="2" t="s">
        <v>137</v>
      </c>
      <c r="B21" s="71" t="s">
        <v>33</v>
      </c>
      <c r="C21" s="71"/>
      <c r="D21" s="71"/>
      <c r="E21" s="54" t="s">
        <v>181</v>
      </c>
      <c r="F21" s="14">
        <v>1</v>
      </c>
      <c r="G21" s="23" t="s">
        <v>45</v>
      </c>
      <c r="H21" s="21" t="str">
        <f>HYPERLINK("#G21",CHAR(128))</f>
        <v>€</v>
      </c>
    </row>
    <row r="22" spans="1:10" x14ac:dyDescent="0.3">
      <c r="A22" s="5" t="s">
        <v>158</v>
      </c>
      <c r="B22" s="70" t="s">
        <v>31</v>
      </c>
      <c r="C22" s="70"/>
      <c r="D22" s="70"/>
      <c r="E22" s="53" t="s">
        <v>164</v>
      </c>
      <c r="F22" s="4">
        <v>1</v>
      </c>
      <c r="G22" s="23" t="s">
        <v>45</v>
      </c>
      <c r="H22" s="21" t="str">
        <f>HYPERLINK("#G22",CHAR(128))</f>
        <v>€</v>
      </c>
    </row>
    <row r="23" spans="1:10" x14ac:dyDescent="0.3">
      <c r="A23" s="2" t="s">
        <v>171</v>
      </c>
      <c r="B23" s="71" t="s">
        <v>48</v>
      </c>
      <c r="C23" s="71"/>
      <c r="D23" s="71"/>
      <c r="E23" s="54" t="s">
        <v>208</v>
      </c>
      <c r="F23" s="14">
        <v>1</v>
      </c>
      <c r="G23" s="23" t="s">
        <v>45</v>
      </c>
      <c r="H23" s="20" t="str">
        <f>HYPERLINK("#G23",CHAR(128))</f>
        <v>€</v>
      </c>
    </row>
    <row r="24" spans="1:10" x14ac:dyDescent="0.3">
      <c r="A24" s="5" t="s">
        <v>210</v>
      </c>
      <c r="B24" s="70" t="s">
        <v>32</v>
      </c>
      <c r="C24" s="70"/>
      <c r="D24" s="70"/>
      <c r="E24" s="53" t="s">
        <v>209</v>
      </c>
      <c r="F24" s="4">
        <v>1</v>
      </c>
      <c r="G24" s="23" t="s">
        <v>45</v>
      </c>
      <c r="H24" s="20" t="str">
        <f>HYPERLINK("#G24",CHAR(128))</f>
        <v>€</v>
      </c>
    </row>
    <row r="25" spans="1:10" x14ac:dyDescent="0.3">
      <c r="A25" s="2"/>
      <c r="B25" s="71"/>
      <c r="C25" s="71"/>
      <c r="D25" s="71"/>
      <c r="E25" s="1"/>
      <c r="F25" s="14"/>
      <c r="G25" s="14"/>
      <c r="H25" s="12"/>
      <c r="I25" s="10"/>
    </row>
    <row r="26" spans="1:10" x14ac:dyDescent="0.3">
      <c r="A26" s="5"/>
      <c r="B26" s="70" t="s">
        <v>37</v>
      </c>
      <c r="C26" s="70"/>
      <c r="D26" s="70"/>
      <c r="E26" s="4" t="str">
        <f>C2</f>
        <v>Dia</v>
      </c>
      <c r="F26" s="4">
        <v>1</v>
      </c>
      <c r="G26" s="23" t="s">
        <v>45</v>
      </c>
      <c r="H26" s="22" t="str">
        <f>HYPERLINK("#G26",CHAR(128))</f>
        <v>€</v>
      </c>
    </row>
    <row r="28" spans="1:10" x14ac:dyDescent="0.3">
      <c r="J28" s="16"/>
    </row>
    <row r="29" spans="1:10" x14ac:dyDescent="0.3">
      <c r="A29" s="18"/>
      <c r="B29" s="69" t="s">
        <v>50</v>
      </c>
      <c r="C29" s="69"/>
      <c r="D29" s="69"/>
      <c r="E29" s="18" t="s">
        <v>8</v>
      </c>
      <c r="F29" s="18" t="s">
        <v>35</v>
      </c>
      <c r="G29" s="19" t="s">
        <v>36</v>
      </c>
    </row>
    <row r="30" spans="1:10" x14ac:dyDescent="0.3">
      <c r="A30" s="3"/>
      <c r="B30" s="70"/>
      <c r="C30" s="70"/>
      <c r="D30" s="70"/>
      <c r="E30" s="4"/>
      <c r="F30" s="8">
        <v>1</v>
      </c>
      <c r="G30" s="15"/>
      <c r="H30" s="17" t="str">
        <f>HYPERLINK("#G30",CHAR(128))</f>
        <v>€</v>
      </c>
    </row>
    <row r="31" spans="1:10" x14ac:dyDescent="0.3">
      <c r="A31" s="2"/>
      <c r="B31" s="71"/>
      <c r="C31" s="71"/>
      <c r="D31" s="71"/>
      <c r="E31" s="1"/>
      <c r="F31" s="14">
        <v>1</v>
      </c>
      <c r="G31" s="24"/>
      <c r="H31" s="17" t="str">
        <f>HYPERLINK("#G31",CHAR(128))</f>
        <v>€</v>
      </c>
    </row>
    <row r="32" spans="1:10" x14ac:dyDescent="0.3">
      <c r="A32" s="3"/>
      <c r="B32" s="70"/>
      <c r="C32" s="70"/>
      <c r="D32" s="70"/>
      <c r="E32" s="4"/>
      <c r="F32" s="4">
        <v>1</v>
      </c>
      <c r="G32" s="25"/>
      <c r="H32" s="17" t="str">
        <f>HYPERLINK("#G32",CHAR(128))</f>
        <v>€</v>
      </c>
    </row>
    <row r="33" spans="1:8" x14ac:dyDescent="0.3">
      <c r="A33" s="2"/>
      <c r="B33" s="71"/>
      <c r="C33" s="71"/>
      <c r="D33" s="71"/>
      <c r="E33" s="1"/>
      <c r="F33" s="14">
        <v>1</v>
      </c>
      <c r="G33" s="24"/>
      <c r="H33" s="17" t="str">
        <f>HYPERLINK("#G33",CHAR(128))</f>
        <v>€</v>
      </c>
    </row>
    <row r="34" spans="1:8" x14ac:dyDescent="0.3">
      <c r="A34" s="3"/>
      <c r="B34" s="70"/>
      <c r="C34" s="70"/>
      <c r="D34" s="70"/>
      <c r="E34" s="4"/>
      <c r="F34" s="4">
        <v>1</v>
      </c>
      <c r="G34" s="25"/>
      <c r="H34" s="17" t="str">
        <f>HYPERLINK("#G34",CHAR(128))</f>
        <v>€</v>
      </c>
    </row>
    <row r="37" spans="1:8" x14ac:dyDescent="0.3">
      <c r="A37" s="37" t="s">
        <v>40</v>
      </c>
      <c r="B37" s="37" t="s">
        <v>7</v>
      </c>
      <c r="C37" s="37" t="s">
        <v>60</v>
      </c>
      <c r="D37" s="37" t="s">
        <v>61</v>
      </c>
    </row>
    <row r="38" spans="1:8" x14ac:dyDescent="0.3">
      <c r="A38" s="37"/>
      <c r="B38" s="37"/>
      <c r="C38" s="37"/>
      <c r="D38" s="37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38" priority="2" operator="equal">
      <formula>"Returned"</formula>
    </cfRule>
    <cfRule type="cellIs" dxfId="37" priority="5" operator="equal">
      <formula>"Ready To Order"</formula>
    </cfRule>
    <cfRule type="cellIs" dxfId="36" priority="6" operator="equal">
      <formula>"UNP"</formula>
    </cfRule>
    <cfRule type="containsText" dxfId="35" priority="7" operator="containsText" text="Ordered">
      <formula>NOT(ISERROR(SEARCH("Ordered",G6)))</formula>
    </cfRule>
    <cfRule type="containsText" dxfId="34" priority="8" operator="containsText" text="Pick Up">
      <formula>NOT(ISERROR(SEARCH("Pick Up",G6)))</formula>
    </cfRule>
    <cfRule type="containsText" dxfId="33" priority="9" operator="containsText" text="Complete">
      <formula>NOT(ISERROR(SEARCH("Complete",G6)))</formula>
    </cfRule>
  </conditionalFormatting>
  <conditionalFormatting sqref="G30:G33">
    <cfRule type="containsText" dxfId="32" priority="4" operator="containsText" text="Given">
      <formula>NOT(ISERROR(SEARCH("Given",G30)))</formula>
    </cfRule>
  </conditionalFormatting>
  <conditionalFormatting sqref="G30:G34">
    <cfRule type="containsText" dxfId="31" priority="3" operator="containsText" text="Returned">
      <formula>NOT(ISERROR(SEARCH("Returned",G30)))</formula>
    </cfRule>
  </conditionalFormatting>
  <conditionalFormatting sqref="G6:G14 G21:G26 G16:G19">
    <cfRule type="cellIs" dxfId="30" priority="1" operator="equal">
      <formula>"In Stock"</formula>
    </cfRule>
  </conditionalFormatting>
  <dataValidations count="3">
    <dataValidation type="list" allowBlank="1" showInputMessage="1" showErrorMessage="1" sqref="G30:G34" xr:uid="{4BEE58AD-3A31-423B-BCEA-F14812EFB814}">
      <formula1>"--,Returned, Given"</formula1>
    </dataValidation>
    <dataValidation type="list" allowBlank="1" showInputMessage="1" showErrorMessage="1" sqref="G16:G19 G21:G24 G26 G6:G14" xr:uid="{68DF221E-7C21-4AC0-B23B-705FF3ACF3DE}">
      <formula1>"UNP, Ready To Order, Ordered, In Stock, Pick Up, Complete, Returned"</formula1>
    </dataValidation>
    <dataValidation type="decimal" allowBlank="1" showInputMessage="1" showErrorMessage="1" sqref="L2" xr:uid="{21580929-03BD-4FCA-8F9A-C21611321FB5}">
      <formula1>19</formula1>
      <formula2>26</formula2>
    </dataValidation>
  </dataValidations>
  <hyperlinks>
    <hyperlink ref="A1:A2" location="Menu!A1" display="Back to Menu" xr:uid="{2A774A8E-7857-4D09-8902-0979326707AC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1713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16625</xdr:colOff>
                    <xdr:row>10</xdr:row>
                    <xdr:rowOff>191193</xdr:rowOff>
                  </from>
                  <to>
                    <xdr:col>12</xdr:col>
                    <xdr:colOff>16625</xdr:colOff>
                    <xdr:row>12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14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216131</xdr:rowOff>
                  </from>
                  <to>
                    <xdr:col>12</xdr:col>
                    <xdr:colOff>33251</xdr:colOff>
                    <xdr:row>21</xdr:row>
                    <xdr:rowOff>157942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15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32</xdr:row>
                    <xdr:rowOff>166255</xdr:rowOff>
                  </from>
                  <to>
                    <xdr:col>12</xdr:col>
                    <xdr:colOff>0</xdr:colOff>
                    <xdr:row>33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16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598516</xdr:colOff>
                    <xdr:row>30</xdr:row>
                    <xdr:rowOff>174567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1717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174567</xdr:rowOff>
                  </from>
                  <to>
                    <xdr:col>12</xdr:col>
                    <xdr:colOff>8313</xdr:colOff>
                    <xdr:row>26</xdr:row>
                    <xdr:rowOff>108065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D8AEA-977B-4DD3-94D5-AAEE0045BEE6}">
  <sheetPr codeName="Sheet14"/>
  <dimension ref="A1:L38"/>
  <sheetViews>
    <sheetView workbookViewId="0">
      <selection sqref="A1:A1048576"/>
    </sheetView>
  </sheetViews>
  <sheetFormatPr defaultRowHeight="15.05" x14ac:dyDescent="0.3"/>
  <cols>
    <col min="1" max="1" width="18.6640625" customWidth="1"/>
    <col min="3" max="3" width="9" customWidth="1"/>
    <col min="4" max="4" width="9.8867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77" t="s">
        <v>42</v>
      </c>
      <c r="B1" s="18" t="s">
        <v>3</v>
      </c>
      <c r="C1" s="69" t="s">
        <v>0</v>
      </c>
      <c r="D1" s="69"/>
      <c r="E1" s="69" t="s">
        <v>2</v>
      </c>
      <c r="F1" s="69"/>
      <c r="G1" s="18" t="s">
        <v>34</v>
      </c>
      <c r="K1" s="18" t="s">
        <v>38</v>
      </c>
      <c r="L1" s="18" t="s">
        <v>10</v>
      </c>
    </row>
    <row r="2" spans="1:12" x14ac:dyDescent="0.3">
      <c r="A2" s="78"/>
      <c r="B2" s="2" t="s">
        <v>130</v>
      </c>
      <c r="C2" s="71" t="s">
        <v>128</v>
      </c>
      <c r="D2" s="71"/>
      <c r="E2" s="71" t="s">
        <v>129</v>
      </c>
      <c r="F2" s="71"/>
      <c r="G2" s="1" t="s">
        <v>219</v>
      </c>
      <c r="K2" s="4" t="s">
        <v>9</v>
      </c>
      <c r="L2" s="4">
        <v>22</v>
      </c>
    </row>
    <row r="3" spans="1:12" x14ac:dyDescent="0.3">
      <c r="A3" s="18" t="s">
        <v>1</v>
      </c>
      <c r="B3" s="79" t="s">
        <v>4</v>
      </c>
      <c r="C3" s="80"/>
      <c r="D3" s="81"/>
      <c r="E3" s="79" t="s">
        <v>49</v>
      </c>
      <c r="F3" s="81"/>
      <c r="G3" s="18" t="s">
        <v>5</v>
      </c>
      <c r="K3" s="1" t="s">
        <v>11</v>
      </c>
      <c r="L3" s="1">
        <v>13.5</v>
      </c>
    </row>
    <row r="4" spans="1:12" x14ac:dyDescent="0.3">
      <c r="A4" s="1" t="s">
        <v>39</v>
      </c>
      <c r="B4" s="76">
        <v>9999999999</v>
      </c>
      <c r="C4" s="76"/>
      <c r="D4" s="76"/>
      <c r="E4" s="71"/>
      <c r="F4" s="71"/>
      <c r="G4" s="1" t="s">
        <v>69</v>
      </c>
      <c r="K4" s="4" t="s">
        <v>12</v>
      </c>
      <c r="L4" s="4">
        <v>32</v>
      </c>
    </row>
    <row r="5" spans="1:12" x14ac:dyDescent="0.3">
      <c r="A5" s="18" t="s">
        <v>6</v>
      </c>
      <c r="B5" s="69" t="s">
        <v>7</v>
      </c>
      <c r="C5" s="69"/>
      <c r="D5" s="69"/>
      <c r="E5" s="18" t="s">
        <v>8</v>
      </c>
      <c r="F5" s="18" t="s">
        <v>35</v>
      </c>
      <c r="G5" s="18" t="s">
        <v>36</v>
      </c>
      <c r="K5" s="1" t="s">
        <v>13</v>
      </c>
      <c r="L5" s="1">
        <v>26.5</v>
      </c>
    </row>
    <row r="6" spans="1:12" x14ac:dyDescent="0.3">
      <c r="A6" s="3" t="s">
        <v>151</v>
      </c>
      <c r="B6" s="70" t="s">
        <v>18</v>
      </c>
      <c r="C6" s="70"/>
      <c r="D6" s="70"/>
      <c r="E6" s="53">
        <v>6432</v>
      </c>
      <c r="F6" s="4">
        <v>1</v>
      </c>
      <c r="G6" s="23" t="s">
        <v>77</v>
      </c>
      <c r="H6" s="26" t="str">
        <f>HYPERLINK("#G6",CHAR(128))</f>
        <v>€</v>
      </c>
      <c r="K6" s="4" t="s">
        <v>14</v>
      </c>
      <c r="L6" s="4">
        <v>31</v>
      </c>
    </row>
    <row r="7" spans="1:12" x14ac:dyDescent="0.3">
      <c r="A7" s="2" t="s">
        <v>152</v>
      </c>
      <c r="B7" s="71" t="s">
        <v>21</v>
      </c>
      <c r="C7" s="71"/>
      <c r="D7" s="71"/>
      <c r="E7" s="54">
        <v>13</v>
      </c>
      <c r="F7" s="14">
        <v>1</v>
      </c>
      <c r="G7" s="23" t="s">
        <v>64</v>
      </c>
      <c r="H7" s="26" t="str">
        <f>HYPERLINK("#G7",CHAR(128))</f>
        <v>€</v>
      </c>
      <c r="K7" s="1" t="s">
        <v>15</v>
      </c>
      <c r="L7" s="1">
        <v>63</v>
      </c>
    </row>
    <row r="8" spans="1:12" x14ac:dyDescent="0.3">
      <c r="A8" s="3" t="s">
        <v>179</v>
      </c>
      <c r="B8" s="70" t="s">
        <v>19</v>
      </c>
      <c r="C8" s="70"/>
      <c r="D8" s="70"/>
      <c r="E8" s="53" t="s">
        <v>120</v>
      </c>
      <c r="F8" s="4">
        <v>1</v>
      </c>
      <c r="G8" s="23" t="s">
        <v>64</v>
      </c>
      <c r="H8" s="26" t="str">
        <f>HYPERLINK("#G8",CHAR(128))</f>
        <v>€</v>
      </c>
      <c r="K8" s="4" t="s">
        <v>16</v>
      </c>
      <c r="L8" s="4">
        <v>265</v>
      </c>
    </row>
    <row r="9" spans="1:12" x14ac:dyDescent="0.3">
      <c r="A9" s="2" t="s">
        <v>154</v>
      </c>
      <c r="B9" s="71" t="s">
        <v>20</v>
      </c>
      <c r="C9" s="71"/>
      <c r="D9" s="71"/>
      <c r="E9" s="54">
        <v>6427</v>
      </c>
      <c r="F9" s="14">
        <v>1</v>
      </c>
      <c r="G9" s="23" t="s">
        <v>58</v>
      </c>
      <c r="H9" s="26" t="str">
        <f>HYPERLINK("#G9",CHAR(128))</f>
        <v>€</v>
      </c>
      <c r="I9" s="9"/>
      <c r="K9" s="1" t="s">
        <v>17</v>
      </c>
      <c r="L9" s="1">
        <v>95</v>
      </c>
    </row>
    <row r="10" spans="1:12" x14ac:dyDescent="0.3">
      <c r="A10" s="3" t="s">
        <v>174</v>
      </c>
      <c r="B10" s="70" t="s">
        <v>24</v>
      </c>
      <c r="C10" s="70"/>
      <c r="D10" s="70"/>
      <c r="E10" s="53">
        <v>7</v>
      </c>
      <c r="F10" s="4">
        <v>1</v>
      </c>
      <c r="G10" s="23" t="s">
        <v>64</v>
      </c>
      <c r="H10" s="26" t="str">
        <f>HYPERLINK("#G10",CHAR(128))</f>
        <v>€</v>
      </c>
      <c r="K10" s="13" t="s">
        <v>47</v>
      </c>
      <c r="L10" s="13"/>
    </row>
    <row r="11" spans="1:12" x14ac:dyDescent="0.3">
      <c r="A11" s="2" t="s">
        <v>56</v>
      </c>
      <c r="B11" s="71" t="s">
        <v>23</v>
      </c>
      <c r="C11" s="71"/>
      <c r="D11" s="71"/>
      <c r="E11" s="54" t="s">
        <v>180</v>
      </c>
      <c r="F11" s="14">
        <v>1</v>
      </c>
      <c r="G11" s="23" t="s">
        <v>64</v>
      </c>
      <c r="H11" s="26" t="str">
        <f>HYPERLINK("#G11",CHAR(128))</f>
        <v>€</v>
      </c>
    </row>
    <row r="12" spans="1:12" x14ac:dyDescent="0.3">
      <c r="A12" s="5" t="s">
        <v>172</v>
      </c>
      <c r="B12" s="70" t="s">
        <v>25</v>
      </c>
      <c r="C12" s="70"/>
      <c r="D12" s="70"/>
      <c r="E12" s="53" t="s">
        <v>120</v>
      </c>
      <c r="F12" s="4">
        <v>1</v>
      </c>
      <c r="G12" s="23" t="s">
        <v>64</v>
      </c>
      <c r="H12" s="26" t="str">
        <f>HYPERLINK("#G12",CHAR(128))</f>
        <v>€</v>
      </c>
    </row>
    <row r="13" spans="1:12" x14ac:dyDescent="0.3">
      <c r="A13" s="2" t="s">
        <v>155</v>
      </c>
      <c r="B13" s="71" t="s">
        <v>26</v>
      </c>
      <c r="C13" s="71"/>
      <c r="D13" s="71"/>
      <c r="E13" s="54" t="s">
        <v>118</v>
      </c>
      <c r="F13" s="14">
        <v>1</v>
      </c>
      <c r="G13" s="23" t="s">
        <v>64</v>
      </c>
      <c r="H13" s="26" t="str">
        <f>HYPERLINK("#G13",CHAR(128))</f>
        <v>€</v>
      </c>
    </row>
    <row r="14" spans="1:12" x14ac:dyDescent="0.3">
      <c r="A14" s="5" t="s">
        <v>156</v>
      </c>
      <c r="B14" s="70" t="s">
        <v>27</v>
      </c>
      <c r="C14" s="70"/>
      <c r="D14" s="70"/>
      <c r="E14" s="53" t="s">
        <v>121</v>
      </c>
      <c r="F14" s="4">
        <v>1</v>
      </c>
      <c r="G14" s="23" t="s">
        <v>77</v>
      </c>
      <c r="H14" s="26" t="str">
        <f>HYPERLINK("#G14",CHAR(128))</f>
        <v>€</v>
      </c>
    </row>
    <row r="15" spans="1:12" x14ac:dyDescent="0.3">
      <c r="A15" s="2"/>
      <c r="B15" s="72"/>
      <c r="C15" s="72"/>
      <c r="D15" s="72"/>
      <c r="E15" s="54"/>
      <c r="F15" s="14"/>
      <c r="G15" s="14"/>
      <c r="H15" s="12"/>
    </row>
    <row r="16" spans="1:12" x14ac:dyDescent="0.3">
      <c r="A16" s="5" t="s">
        <v>46</v>
      </c>
      <c r="B16" s="70" t="s">
        <v>28</v>
      </c>
      <c r="C16" s="70"/>
      <c r="D16" s="70"/>
      <c r="E16" s="53"/>
      <c r="F16" s="4">
        <v>1</v>
      </c>
      <c r="G16" s="23" t="s">
        <v>45</v>
      </c>
      <c r="H16" s="21" t="str">
        <f>HYPERLINK("#G16",CHAR(128))</f>
        <v>€</v>
      </c>
    </row>
    <row r="17" spans="1:10" x14ac:dyDescent="0.3">
      <c r="A17" s="2" t="s">
        <v>136</v>
      </c>
      <c r="B17" s="71" t="s">
        <v>22</v>
      </c>
      <c r="C17" s="71"/>
      <c r="D17" s="71"/>
      <c r="E17" s="54" t="s">
        <v>118</v>
      </c>
      <c r="F17" s="14">
        <v>1</v>
      </c>
      <c r="G17" s="23" t="s">
        <v>64</v>
      </c>
      <c r="H17" s="21" t="str">
        <f>HYPERLINK("#G17",CHAR(128))</f>
        <v>€</v>
      </c>
    </row>
    <row r="18" spans="1:10" x14ac:dyDescent="0.3">
      <c r="A18" s="5"/>
      <c r="B18" s="70" t="s">
        <v>29</v>
      </c>
      <c r="C18" s="70"/>
      <c r="D18" s="70"/>
      <c r="E18" s="53" t="s">
        <v>118</v>
      </c>
      <c r="F18" s="4">
        <v>1</v>
      </c>
      <c r="G18" s="23" t="s">
        <v>64</v>
      </c>
      <c r="H18" s="21" t="str">
        <f>HYPERLINK("#G18",CHAR(128))</f>
        <v>€</v>
      </c>
    </row>
    <row r="19" spans="1:10" x14ac:dyDescent="0.3">
      <c r="A19" s="2"/>
      <c r="B19" s="71" t="s">
        <v>30</v>
      </c>
      <c r="C19" s="71"/>
      <c r="D19" s="71"/>
      <c r="E19" s="54">
        <v>6436</v>
      </c>
      <c r="F19" s="14">
        <v>1</v>
      </c>
      <c r="G19" s="23" t="s">
        <v>77</v>
      </c>
      <c r="H19" s="21" t="str">
        <f>HYPERLINK("#G19",CHAR(128))</f>
        <v>€</v>
      </c>
    </row>
    <row r="20" spans="1:10" x14ac:dyDescent="0.3">
      <c r="A20" s="5"/>
      <c r="B20" s="73"/>
      <c r="C20" s="74"/>
      <c r="D20" s="75"/>
      <c r="E20" s="53"/>
      <c r="F20" s="4"/>
      <c r="G20" s="4"/>
      <c r="H20" s="12"/>
    </row>
    <row r="21" spans="1:10" x14ac:dyDescent="0.3">
      <c r="A21" s="2" t="s">
        <v>175</v>
      </c>
      <c r="B21" s="71" t="s">
        <v>33</v>
      </c>
      <c r="C21" s="71"/>
      <c r="D21" s="71"/>
      <c r="E21" s="54">
        <v>7</v>
      </c>
      <c r="F21" s="14">
        <v>1</v>
      </c>
      <c r="G21" s="23" t="s">
        <v>45</v>
      </c>
      <c r="H21" s="21" t="str">
        <f>HYPERLINK("#G21",CHAR(128))</f>
        <v>€</v>
      </c>
    </row>
    <row r="22" spans="1:10" x14ac:dyDescent="0.3">
      <c r="A22" s="5" t="s">
        <v>158</v>
      </c>
      <c r="B22" s="70" t="s">
        <v>31</v>
      </c>
      <c r="C22" s="70"/>
      <c r="D22" s="70"/>
      <c r="E22" s="53">
        <v>6432</v>
      </c>
      <c r="F22" s="4">
        <v>1</v>
      </c>
      <c r="G22" s="23" t="s">
        <v>64</v>
      </c>
      <c r="H22" s="21" t="str">
        <f>HYPERLINK("#G22",CHAR(128))</f>
        <v>€</v>
      </c>
    </row>
    <row r="23" spans="1:10" x14ac:dyDescent="0.3">
      <c r="A23" s="2" t="s">
        <v>149</v>
      </c>
      <c r="B23" s="71" t="s">
        <v>48</v>
      </c>
      <c r="C23" s="71"/>
      <c r="D23" s="71"/>
      <c r="E23" s="54">
        <v>6430</v>
      </c>
      <c r="F23" s="14">
        <v>1</v>
      </c>
      <c r="G23" s="23" t="s">
        <v>77</v>
      </c>
      <c r="H23" s="20" t="str">
        <f>HYPERLINK("#G23",CHAR(128))</f>
        <v>€</v>
      </c>
    </row>
    <row r="24" spans="1:10" x14ac:dyDescent="0.3">
      <c r="A24" s="5"/>
      <c r="B24" s="70" t="s">
        <v>32</v>
      </c>
      <c r="C24" s="70"/>
      <c r="D24" s="70"/>
      <c r="E24" s="53"/>
      <c r="F24" s="4">
        <v>1</v>
      </c>
      <c r="G24" s="23" t="s">
        <v>45</v>
      </c>
      <c r="H24" s="20" t="str">
        <f>HYPERLINK("#G24",CHAR(128))</f>
        <v>€</v>
      </c>
    </row>
    <row r="25" spans="1:10" x14ac:dyDescent="0.3">
      <c r="A25" s="2"/>
      <c r="B25" s="71"/>
      <c r="C25" s="71"/>
      <c r="D25" s="71"/>
      <c r="E25" s="1"/>
      <c r="F25" s="14"/>
      <c r="G25" s="14"/>
      <c r="H25" s="12"/>
      <c r="I25" s="10"/>
    </row>
    <row r="26" spans="1:10" x14ac:dyDescent="0.3">
      <c r="A26" s="5"/>
      <c r="B26" s="70" t="s">
        <v>37</v>
      </c>
      <c r="C26" s="70"/>
      <c r="D26" s="70"/>
      <c r="E26" s="4" t="str">
        <f>C2</f>
        <v>Dia</v>
      </c>
      <c r="F26" s="4">
        <v>1</v>
      </c>
      <c r="G26" s="23" t="s">
        <v>45</v>
      </c>
      <c r="H26" s="22" t="str">
        <f>HYPERLINK("#G26",CHAR(128))</f>
        <v>€</v>
      </c>
    </row>
    <row r="28" spans="1:10" x14ac:dyDescent="0.3">
      <c r="J28" s="16"/>
    </row>
    <row r="29" spans="1:10" x14ac:dyDescent="0.3">
      <c r="A29" s="18"/>
      <c r="B29" s="69" t="s">
        <v>50</v>
      </c>
      <c r="C29" s="69"/>
      <c r="D29" s="69"/>
      <c r="E29" s="18" t="s">
        <v>8</v>
      </c>
      <c r="F29" s="18" t="s">
        <v>35</v>
      </c>
      <c r="G29" s="19" t="s">
        <v>36</v>
      </c>
    </row>
    <row r="30" spans="1:10" x14ac:dyDescent="0.3">
      <c r="A30" s="3"/>
      <c r="B30" s="70"/>
      <c r="C30" s="70"/>
      <c r="D30" s="70"/>
      <c r="E30" s="4"/>
      <c r="F30" s="8">
        <v>1</v>
      </c>
      <c r="G30" s="15"/>
      <c r="H30" s="17" t="str">
        <f>HYPERLINK("#G30",CHAR(128))</f>
        <v>€</v>
      </c>
    </row>
    <row r="31" spans="1:10" x14ac:dyDescent="0.3">
      <c r="A31" s="2"/>
      <c r="B31" s="71"/>
      <c r="C31" s="71"/>
      <c r="D31" s="71"/>
      <c r="E31" s="1"/>
      <c r="F31" s="14">
        <v>1</v>
      </c>
      <c r="G31" s="24"/>
      <c r="H31" s="17" t="str">
        <f>HYPERLINK("#G31",CHAR(128))</f>
        <v>€</v>
      </c>
    </row>
    <row r="32" spans="1:10" x14ac:dyDescent="0.3">
      <c r="A32" s="3"/>
      <c r="B32" s="70"/>
      <c r="C32" s="70"/>
      <c r="D32" s="70"/>
      <c r="E32" s="4"/>
      <c r="F32" s="4">
        <v>1</v>
      </c>
      <c r="G32" s="25"/>
      <c r="H32" s="17" t="str">
        <f>HYPERLINK("#G32",CHAR(128))</f>
        <v>€</v>
      </c>
    </row>
    <row r="33" spans="1:8" x14ac:dyDescent="0.3">
      <c r="A33" s="2"/>
      <c r="B33" s="71"/>
      <c r="C33" s="71"/>
      <c r="D33" s="71"/>
      <c r="E33" s="1"/>
      <c r="F33" s="14">
        <v>1</v>
      </c>
      <c r="G33" s="24"/>
      <c r="H33" s="17" t="str">
        <f>HYPERLINK("#G33",CHAR(128))</f>
        <v>€</v>
      </c>
    </row>
    <row r="34" spans="1:8" x14ac:dyDescent="0.3">
      <c r="A34" s="3"/>
      <c r="B34" s="70"/>
      <c r="C34" s="70"/>
      <c r="D34" s="70"/>
      <c r="E34" s="4"/>
      <c r="F34" s="4">
        <v>1</v>
      </c>
      <c r="G34" s="25"/>
      <c r="H34" s="17" t="str">
        <f>HYPERLINK("#G34",CHAR(128))</f>
        <v>€</v>
      </c>
    </row>
    <row r="37" spans="1:8" x14ac:dyDescent="0.3">
      <c r="A37" s="37" t="s">
        <v>40</v>
      </c>
      <c r="B37" s="37" t="s">
        <v>7</v>
      </c>
      <c r="C37" s="37" t="s">
        <v>60</v>
      </c>
      <c r="D37" s="37" t="s">
        <v>61</v>
      </c>
    </row>
    <row r="38" spans="1:8" x14ac:dyDescent="0.3">
      <c r="A38" s="37"/>
      <c r="B38" s="37"/>
      <c r="C38" s="37"/>
      <c r="D38" s="37"/>
    </row>
  </sheetData>
  <mergeCells count="37">
    <mergeCell ref="B8:D8"/>
    <mergeCell ref="A1:A2"/>
    <mergeCell ref="C1:D1"/>
    <mergeCell ref="E1:F1"/>
    <mergeCell ref="C2:D2"/>
    <mergeCell ref="E2:F2"/>
    <mergeCell ref="B3:D3"/>
    <mergeCell ref="E3:F3"/>
    <mergeCell ref="B4:D4"/>
    <mergeCell ref="E4:F4"/>
    <mergeCell ref="B5:D5"/>
    <mergeCell ref="B6:D6"/>
    <mergeCell ref="B7:D7"/>
    <mergeCell ref="B20:D20"/>
    <mergeCell ref="B9:D9"/>
    <mergeCell ref="B10:D10"/>
    <mergeCell ref="B11:D11"/>
    <mergeCell ref="B12:D12"/>
    <mergeCell ref="B13:D13"/>
    <mergeCell ref="B14:D14"/>
    <mergeCell ref="B15:D15"/>
    <mergeCell ref="B16:D16"/>
    <mergeCell ref="B17:D17"/>
    <mergeCell ref="B18:D18"/>
    <mergeCell ref="B19:D19"/>
    <mergeCell ref="B34:D34"/>
    <mergeCell ref="B21:D21"/>
    <mergeCell ref="B22:D22"/>
    <mergeCell ref="B23:D23"/>
    <mergeCell ref="B24:D24"/>
    <mergeCell ref="B25:D25"/>
    <mergeCell ref="B26:D26"/>
    <mergeCell ref="B29:D29"/>
    <mergeCell ref="B30:D30"/>
    <mergeCell ref="B31:D31"/>
    <mergeCell ref="B32:D32"/>
    <mergeCell ref="B33:D33"/>
  </mergeCells>
  <conditionalFormatting sqref="G6:G14 G21:G26 G16:G19">
    <cfRule type="cellIs" dxfId="23" priority="2" operator="equal">
      <formula>"Returned"</formula>
    </cfRule>
    <cfRule type="cellIs" dxfId="22" priority="5" operator="equal">
      <formula>"Ready To Order"</formula>
    </cfRule>
    <cfRule type="cellIs" dxfId="21" priority="6" operator="equal">
      <formula>"UNP"</formula>
    </cfRule>
    <cfRule type="containsText" dxfId="20" priority="7" operator="containsText" text="Ordered">
      <formula>NOT(ISERROR(SEARCH("Ordered",G6)))</formula>
    </cfRule>
    <cfRule type="containsText" dxfId="19" priority="8" operator="containsText" text="Pick Up">
      <formula>NOT(ISERROR(SEARCH("Pick Up",G6)))</formula>
    </cfRule>
    <cfRule type="containsText" dxfId="18" priority="9" operator="containsText" text="Complete">
      <formula>NOT(ISERROR(SEARCH("Complete",G6)))</formula>
    </cfRule>
  </conditionalFormatting>
  <conditionalFormatting sqref="G30:G33">
    <cfRule type="containsText" dxfId="17" priority="4" operator="containsText" text="Given">
      <formula>NOT(ISERROR(SEARCH("Given",G30)))</formula>
    </cfRule>
  </conditionalFormatting>
  <conditionalFormatting sqref="G30:G34">
    <cfRule type="containsText" dxfId="16" priority="3" operator="containsText" text="Returned">
      <formula>NOT(ISERROR(SEARCH("Returned",G30)))</formula>
    </cfRule>
  </conditionalFormatting>
  <conditionalFormatting sqref="G6:G14 G21:G26 G16:G19">
    <cfRule type="cellIs" dxfId="15" priority="1" operator="equal">
      <formula>"In Stock"</formula>
    </cfRule>
  </conditionalFormatting>
  <dataValidations count="3">
    <dataValidation type="list" allowBlank="1" showInputMessage="1" showErrorMessage="1" sqref="G30:G34" xr:uid="{4A43B15D-0B2E-442B-AD13-7D002453E612}">
      <formula1>"--,Returned, Given"</formula1>
    </dataValidation>
    <dataValidation type="list" allowBlank="1" showInputMessage="1" showErrorMessage="1" sqref="G16:G19 G21:G24 G26 G6:G14" xr:uid="{E54BDF34-ED08-4953-A892-D83882E8EF3F}">
      <formula1>"UNP, Ready To Order, Ordered, In Stock, Pick Up, Complete, Returned"</formula1>
    </dataValidation>
    <dataValidation type="decimal" allowBlank="1" showInputMessage="1" showErrorMessage="1" sqref="L2" xr:uid="{3A10006A-C784-4554-83C2-560B23AC8A17}">
      <formula1>19</formula1>
      <formula2>26</formula2>
    </dataValidation>
  </dataValidations>
  <hyperlinks>
    <hyperlink ref="A1:A2" location="Menu!A1" display="Back to Menu" xr:uid="{3E3728D3-751F-4DB9-B5EB-8F07BBC72170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2737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16625</xdr:colOff>
                    <xdr:row>10</xdr:row>
                    <xdr:rowOff>191193</xdr:rowOff>
                  </from>
                  <to>
                    <xdr:col>12</xdr:col>
                    <xdr:colOff>16625</xdr:colOff>
                    <xdr:row>12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38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216131</xdr:rowOff>
                  </from>
                  <to>
                    <xdr:col>12</xdr:col>
                    <xdr:colOff>33251</xdr:colOff>
                    <xdr:row>21</xdr:row>
                    <xdr:rowOff>157942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39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32</xdr:row>
                    <xdr:rowOff>166255</xdr:rowOff>
                  </from>
                  <to>
                    <xdr:col>12</xdr:col>
                    <xdr:colOff>0</xdr:colOff>
                    <xdr:row>33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40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598516</xdr:colOff>
                    <xdr:row>30</xdr:row>
                    <xdr:rowOff>174567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2741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174567</xdr:rowOff>
                  </from>
                  <to>
                    <xdr:col>12</xdr:col>
                    <xdr:colOff>8313</xdr:colOff>
                    <xdr:row>26</xdr:row>
                    <xdr:rowOff>108065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21E3-E0E8-4923-A85D-C119C4FF25D4}">
  <sheetPr codeName="Sheet1"/>
  <dimension ref="A1:N38"/>
  <sheetViews>
    <sheetView zoomScaleNormal="100" workbookViewId="0">
      <selection sqref="A1:L38"/>
    </sheetView>
  </sheetViews>
  <sheetFormatPr defaultRowHeight="15.05" x14ac:dyDescent="0.3"/>
  <cols>
    <col min="1" max="1" width="18.5546875" customWidth="1"/>
    <col min="3" max="3" width="9.44140625" customWidth="1"/>
    <col min="4" max="4" width="10.77734375" customWidth="1"/>
    <col min="5" max="5" width="14.33203125" customWidth="1"/>
    <col min="7" max="7" width="16.5546875" customWidth="1"/>
    <col min="8" max="9" width="10.44140625" customWidth="1"/>
    <col min="11" max="11" width="12.109375" customWidth="1"/>
    <col min="12" max="12" width="13.109375" customWidth="1"/>
  </cols>
  <sheetData>
    <row r="1" spans="1:12" ht="17.2" customHeight="1" x14ac:dyDescent="0.3">
      <c r="A1" s="77" t="s">
        <v>42</v>
      </c>
      <c r="B1" s="18" t="s">
        <v>3</v>
      </c>
      <c r="C1" s="69" t="s">
        <v>0</v>
      </c>
      <c r="D1" s="69"/>
      <c r="E1" s="69" t="s">
        <v>2</v>
      </c>
      <c r="F1" s="69"/>
      <c r="G1" s="18" t="s">
        <v>34</v>
      </c>
      <c r="K1" s="18" t="s">
        <v>38</v>
      </c>
      <c r="L1" s="18" t="s">
        <v>10</v>
      </c>
    </row>
    <row r="2" spans="1:12" ht="17.2" customHeight="1" x14ac:dyDescent="0.3">
      <c r="A2" s="78"/>
      <c r="B2" s="2"/>
      <c r="C2" s="71"/>
      <c r="D2" s="71"/>
      <c r="E2" s="71"/>
      <c r="F2" s="71"/>
      <c r="G2" s="1"/>
      <c r="K2" s="4" t="s">
        <v>9</v>
      </c>
      <c r="L2" s="4"/>
    </row>
    <row r="3" spans="1:12" ht="17.2" customHeight="1" x14ac:dyDescent="0.3">
      <c r="A3" s="18" t="s">
        <v>1</v>
      </c>
      <c r="B3" s="79" t="s">
        <v>4</v>
      </c>
      <c r="C3" s="80"/>
      <c r="D3" s="81"/>
      <c r="E3" s="79" t="s">
        <v>49</v>
      </c>
      <c r="F3" s="81"/>
      <c r="G3" s="18" t="s">
        <v>5</v>
      </c>
      <c r="K3" s="1" t="s">
        <v>11</v>
      </c>
      <c r="L3" s="1"/>
    </row>
    <row r="4" spans="1:12" ht="17.2" customHeight="1" x14ac:dyDescent="0.3">
      <c r="A4" s="1" t="s">
        <v>39</v>
      </c>
      <c r="B4" s="76"/>
      <c r="C4" s="76"/>
      <c r="D4" s="76"/>
      <c r="E4" s="71"/>
      <c r="F4" s="71"/>
      <c r="G4" s="1"/>
      <c r="K4" s="4" t="s">
        <v>12</v>
      </c>
      <c r="L4" s="4"/>
    </row>
    <row r="5" spans="1:12" ht="17.2" customHeight="1" x14ac:dyDescent="0.3">
      <c r="A5" s="18" t="s">
        <v>6</v>
      </c>
      <c r="B5" s="69" t="s">
        <v>7</v>
      </c>
      <c r="C5" s="69"/>
      <c r="D5" s="69"/>
      <c r="E5" s="18" t="s">
        <v>8</v>
      </c>
      <c r="F5" s="18" t="s">
        <v>35</v>
      </c>
      <c r="G5" s="18" t="s">
        <v>36</v>
      </c>
      <c r="K5" s="1" t="s">
        <v>13</v>
      </c>
      <c r="L5" s="1"/>
    </row>
    <row r="6" spans="1:12" ht="17.2" customHeight="1" x14ac:dyDescent="0.3">
      <c r="A6" s="3"/>
      <c r="B6" s="70" t="s">
        <v>18</v>
      </c>
      <c r="C6" s="70"/>
      <c r="D6" s="70"/>
      <c r="E6" s="53"/>
      <c r="F6" s="4">
        <v>1</v>
      </c>
      <c r="G6" s="23" t="s">
        <v>45</v>
      </c>
      <c r="H6" s="26" t="str">
        <f>HYPERLINK("#G6",CHAR(128))</f>
        <v>€</v>
      </c>
      <c r="K6" s="4" t="s">
        <v>14</v>
      </c>
      <c r="L6" s="4"/>
    </row>
    <row r="7" spans="1:12" ht="17.2" customHeight="1" x14ac:dyDescent="0.3">
      <c r="A7" s="2"/>
      <c r="B7" s="71" t="s">
        <v>21</v>
      </c>
      <c r="C7" s="71"/>
      <c r="D7" s="71"/>
      <c r="E7" s="54"/>
      <c r="F7" s="14">
        <v>1</v>
      </c>
      <c r="G7" s="23" t="s">
        <v>45</v>
      </c>
      <c r="H7" s="26" t="str">
        <f>HYPERLINK("#G7",CHAR(128))</f>
        <v>€</v>
      </c>
      <c r="K7" s="1" t="s">
        <v>15</v>
      </c>
      <c r="L7" s="1"/>
    </row>
    <row r="8" spans="1:12" ht="17.2" customHeight="1" x14ac:dyDescent="0.3">
      <c r="A8" s="3"/>
      <c r="B8" s="70" t="s">
        <v>19</v>
      </c>
      <c r="C8" s="70"/>
      <c r="D8" s="70"/>
      <c r="E8" s="53"/>
      <c r="F8" s="4">
        <v>1</v>
      </c>
      <c r="G8" s="23" t="s">
        <v>45</v>
      </c>
      <c r="H8" s="26" t="str">
        <f>HYPERLINK("#G8",CHAR(128))</f>
        <v>€</v>
      </c>
      <c r="K8" s="4" t="s">
        <v>16</v>
      </c>
      <c r="L8" s="4"/>
    </row>
    <row r="9" spans="1:12" ht="17.2" customHeight="1" x14ac:dyDescent="0.3">
      <c r="A9" s="2"/>
      <c r="B9" s="71" t="s">
        <v>20</v>
      </c>
      <c r="C9" s="71"/>
      <c r="D9" s="71"/>
      <c r="E9" s="54"/>
      <c r="F9" s="14">
        <v>1</v>
      </c>
      <c r="G9" s="23" t="s">
        <v>45</v>
      </c>
      <c r="H9" s="26" t="str">
        <f>HYPERLINK("#G9",CHAR(128))</f>
        <v>€</v>
      </c>
      <c r="I9" s="9"/>
      <c r="K9" s="1" t="s">
        <v>17</v>
      </c>
      <c r="L9" s="1"/>
    </row>
    <row r="10" spans="1:12" ht="17.2" customHeight="1" x14ac:dyDescent="0.3">
      <c r="A10" s="3"/>
      <c r="B10" s="70" t="s">
        <v>24</v>
      </c>
      <c r="C10" s="70"/>
      <c r="D10" s="70"/>
      <c r="E10" s="53"/>
      <c r="F10" s="4">
        <v>1</v>
      </c>
      <c r="G10" s="23" t="s">
        <v>45</v>
      </c>
      <c r="H10" s="26" t="str">
        <f>HYPERLINK("#G10",CHAR(128))</f>
        <v>€</v>
      </c>
      <c r="K10" s="13" t="s">
        <v>47</v>
      </c>
      <c r="L10" s="13"/>
    </row>
    <row r="11" spans="1:12" ht="17.2" customHeight="1" x14ac:dyDescent="0.3">
      <c r="A11" s="2"/>
      <c r="B11" s="71" t="s">
        <v>23</v>
      </c>
      <c r="C11" s="71"/>
      <c r="D11" s="71"/>
      <c r="E11" s="54"/>
      <c r="F11" s="14">
        <v>1</v>
      </c>
      <c r="G11" s="23" t="s">
        <v>45</v>
      </c>
      <c r="H11" s="26" t="str">
        <f>HYPERLINK("#G11",CHAR(128))</f>
        <v>€</v>
      </c>
    </row>
    <row r="12" spans="1:12" ht="17.2" customHeight="1" x14ac:dyDescent="0.3">
      <c r="A12" s="5"/>
      <c r="B12" s="70" t="s">
        <v>25</v>
      </c>
      <c r="C12" s="70"/>
      <c r="D12" s="70"/>
      <c r="E12" s="53"/>
      <c r="F12" s="4">
        <v>1</v>
      </c>
      <c r="G12" s="23" t="s">
        <v>45</v>
      </c>
      <c r="H12" s="26" t="str">
        <f>HYPERLINK("#G12",CHAR(128))</f>
        <v>€</v>
      </c>
    </row>
    <row r="13" spans="1:12" ht="17.2" customHeight="1" x14ac:dyDescent="0.3">
      <c r="A13" s="2"/>
      <c r="B13" s="71" t="s">
        <v>26</v>
      </c>
      <c r="C13" s="71"/>
      <c r="D13" s="71"/>
      <c r="E13" s="54"/>
      <c r="F13" s="14">
        <v>1</v>
      </c>
      <c r="G13" s="23" t="s">
        <v>45</v>
      </c>
      <c r="H13" s="26" t="str">
        <f>HYPERLINK("#G13",CHAR(128))</f>
        <v>€</v>
      </c>
    </row>
    <row r="14" spans="1:12" ht="17.2" customHeight="1" x14ac:dyDescent="0.3">
      <c r="A14" s="5"/>
      <c r="B14" s="70" t="s">
        <v>27</v>
      </c>
      <c r="C14" s="70"/>
      <c r="D14" s="70"/>
      <c r="E14" s="53"/>
      <c r="F14" s="4">
        <v>1</v>
      </c>
      <c r="G14" s="23" t="s">
        <v>45</v>
      </c>
      <c r="H14" s="26" t="str">
        <f>HYPERLINK("#G14",CHAR(128))</f>
        <v>€</v>
      </c>
    </row>
    <row r="15" spans="1:12" ht="17.2" customHeight="1" x14ac:dyDescent="0.3">
      <c r="A15" s="2"/>
      <c r="B15" s="72"/>
      <c r="C15" s="72"/>
      <c r="D15" s="72"/>
      <c r="E15" s="54"/>
      <c r="F15" s="14"/>
      <c r="G15" s="14"/>
      <c r="H15" s="12"/>
    </row>
    <row r="16" spans="1:12" ht="17.2" customHeight="1" x14ac:dyDescent="0.3">
      <c r="A16" s="5"/>
      <c r="B16" s="70" t="s">
        <v>28</v>
      </c>
      <c r="C16" s="70"/>
      <c r="D16" s="70"/>
      <c r="E16" s="53"/>
      <c r="F16" s="4">
        <v>1</v>
      </c>
      <c r="G16" s="23" t="s">
        <v>45</v>
      </c>
      <c r="H16" s="21" t="str">
        <f>HYPERLINK("#G16",CHAR(128))</f>
        <v>€</v>
      </c>
    </row>
    <row r="17" spans="1:14" ht="17.2" customHeight="1" x14ac:dyDescent="0.3">
      <c r="A17" s="2"/>
      <c r="B17" s="71" t="s">
        <v>22</v>
      </c>
      <c r="C17" s="71"/>
      <c r="D17" s="71"/>
      <c r="E17" s="54"/>
      <c r="F17" s="14">
        <v>1</v>
      </c>
      <c r="G17" s="23" t="s">
        <v>45</v>
      </c>
      <c r="H17" s="21" t="str">
        <f>HYPERLINK("#G17",CHAR(128))</f>
        <v>€</v>
      </c>
    </row>
    <row r="18" spans="1:14" ht="17.2" customHeight="1" x14ac:dyDescent="0.3">
      <c r="A18" s="5"/>
      <c r="B18" s="70" t="s">
        <v>29</v>
      </c>
      <c r="C18" s="70"/>
      <c r="D18" s="70"/>
      <c r="E18" s="53"/>
      <c r="F18" s="4">
        <v>1</v>
      </c>
      <c r="G18" s="23" t="s">
        <v>45</v>
      </c>
      <c r="H18" s="21" t="str">
        <f>HYPERLINK("#G18",CHAR(128))</f>
        <v>€</v>
      </c>
    </row>
    <row r="19" spans="1:14" ht="17.2" customHeight="1" x14ac:dyDescent="0.3">
      <c r="A19" s="2"/>
      <c r="B19" s="71" t="s">
        <v>30</v>
      </c>
      <c r="C19" s="71"/>
      <c r="D19" s="71"/>
      <c r="E19" s="54"/>
      <c r="F19" s="14">
        <v>1</v>
      </c>
      <c r="G19" s="23" t="s">
        <v>45</v>
      </c>
      <c r="H19" s="21" t="str">
        <f>HYPERLINK("#G19",CHAR(128))</f>
        <v>€</v>
      </c>
    </row>
    <row r="20" spans="1:14" ht="17.2" customHeight="1" x14ac:dyDescent="0.3">
      <c r="A20" s="5"/>
      <c r="B20" s="73"/>
      <c r="C20" s="74"/>
      <c r="D20" s="75"/>
      <c r="E20" s="53"/>
      <c r="F20" s="4"/>
      <c r="G20" s="4"/>
      <c r="H20" s="12"/>
    </row>
    <row r="21" spans="1:14" ht="14.4" x14ac:dyDescent="0.3">
      <c r="A21" s="2"/>
      <c r="B21" s="71" t="s">
        <v>33</v>
      </c>
      <c r="C21" s="71"/>
      <c r="D21" s="71"/>
      <c r="E21" s="54"/>
      <c r="F21" s="14">
        <v>1</v>
      </c>
      <c r="G21" s="23" t="s">
        <v>45</v>
      </c>
      <c r="H21" s="21" t="str">
        <f>HYPERLINK("#G21",CHAR(128))</f>
        <v>€</v>
      </c>
    </row>
    <row r="22" spans="1:14" ht="14.4" x14ac:dyDescent="0.3">
      <c r="A22" s="5"/>
      <c r="B22" s="70" t="s">
        <v>31</v>
      </c>
      <c r="C22" s="70"/>
      <c r="D22" s="70"/>
      <c r="E22" s="53"/>
      <c r="F22" s="4">
        <v>1</v>
      </c>
      <c r="G22" s="23" t="s">
        <v>45</v>
      </c>
      <c r="H22" s="21" t="str">
        <f>HYPERLINK("#G22",CHAR(128))</f>
        <v>€</v>
      </c>
      <c r="N22" s="2"/>
    </row>
    <row r="23" spans="1:14" ht="14.4" x14ac:dyDescent="0.3">
      <c r="A23" s="2"/>
      <c r="B23" s="71" t="s">
        <v>48</v>
      </c>
      <c r="C23" s="71"/>
      <c r="D23" s="71"/>
      <c r="E23" s="54"/>
      <c r="F23" s="14">
        <v>1</v>
      </c>
      <c r="G23" s="23" t="s">
        <v>45</v>
      </c>
      <c r="H23" s="20" t="str">
        <f>HYPERLINK("#G23",CHAR(128))</f>
        <v>€</v>
      </c>
    </row>
    <row r="24" spans="1:14" ht="14.4" x14ac:dyDescent="0.3">
      <c r="A24" s="5"/>
      <c r="B24" s="70" t="s">
        <v>32</v>
      </c>
      <c r="C24" s="70"/>
      <c r="D24" s="70"/>
      <c r="E24" s="53"/>
      <c r="F24" s="4">
        <v>1</v>
      </c>
      <c r="G24" s="23" t="s">
        <v>45</v>
      </c>
      <c r="H24" s="20" t="str">
        <f>HYPERLINK("#G24",CHAR(128))</f>
        <v>€</v>
      </c>
    </row>
    <row r="25" spans="1:14" ht="14.4" x14ac:dyDescent="0.3">
      <c r="A25" s="2"/>
      <c r="B25" s="71"/>
      <c r="C25" s="71"/>
      <c r="D25" s="71"/>
      <c r="E25" s="1"/>
      <c r="F25" s="14"/>
      <c r="G25" s="14"/>
      <c r="H25" s="12"/>
      <c r="I25" s="10"/>
    </row>
    <row r="26" spans="1:14" ht="14.4" x14ac:dyDescent="0.3">
      <c r="A26" s="5"/>
      <c r="B26" s="70" t="s">
        <v>37</v>
      </c>
      <c r="C26" s="70"/>
      <c r="D26" s="70"/>
      <c r="E26" s="4">
        <f>C2</f>
        <v>0</v>
      </c>
      <c r="F26" s="4">
        <v>1</v>
      </c>
      <c r="G26" s="23" t="s">
        <v>45</v>
      </c>
      <c r="H26" s="22" t="str">
        <f>HYPERLINK("#G26",CHAR(128))</f>
        <v>€</v>
      </c>
    </row>
    <row r="28" spans="1:14" ht="14.4" x14ac:dyDescent="0.3">
      <c r="J28" s="16"/>
    </row>
    <row r="29" spans="1:14" ht="14.4" x14ac:dyDescent="0.3">
      <c r="A29" s="18"/>
      <c r="B29" s="69" t="s">
        <v>50</v>
      </c>
      <c r="C29" s="69"/>
      <c r="D29" s="69"/>
      <c r="E29" s="18" t="s">
        <v>8</v>
      </c>
      <c r="F29" s="18" t="s">
        <v>35</v>
      </c>
      <c r="G29" s="19" t="s">
        <v>36</v>
      </c>
    </row>
    <row r="30" spans="1:14" ht="14.4" x14ac:dyDescent="0.3">
      <c r="A30" s="3"/>
      <c r="B30" s="70"/>
      <c r="C30" s="70"/>
      <c r="D30" s="70"/>
      <c r="E30" s="4"/>
      <c r="F30" s="8">
        <v>1</v>
      </c>
      <c r="G30" s="15"/>
      <c r="H30" s="17" t="str">
        <f>HYPERLINK("#G30",CHAR(128))</f>
        <v>€</v>
      </c>
    </row>
    <row r="31" spans="1:14" ht="14.4" x14ac:dyDescent="0.3">
      <c r="A31" s="2"/>
      <c r="B31" s="71"/>
      <c r="C31" s="71"/>
      <c r="D31" s="71"/>
      <c r="E31" s="1"/>
      <c r="F31" s="14">
        <v>1</v>
      </c>
      <c r="G31" s="24"/>
      <c r="H31" s="17" t="str">
        <f>HYPERLINK("#G31",CHAR(128))</f>
        <v>€</v>
      </c>
    </row>
    <row r="32" spans="1:14" ht="14.4" x14ac:dyDescent="0.3">
      <c r="A32" s="3"/>
      <c r="B32" s="70"/>
      <c r="C32" s="70"/>
      <c r="D32" s="70"/>
      <c r="E32" s="4"/>
      <c r="F32" s="4">
        <v>1</v>
      </c>
      <c r="G32" s="25"/>
      <c r="H32" s="17" t="str">
        <f>HYPERLINK("#G32",CHAR(128))</f>
        <v>€</v>
      </c>
    </row>
    <row r="33" spans="1:8" ht="14.4" x14ac:dyDescent="0.3">
      <c r="A33" s="2"/>
      <c r="B33" s="71"/>
      <c r="C33" s="71"/>
      <c r="D33" s="71"/>
      <c r="E33" s="1"/>
      <c r="F33" s="14">
        <v>1</v>
      </c>
      <c r="G33" s="24"/>
      <c r="H33" s="17" t="str">
        <f>HYPERLINK("#G33",CHAR(128))</f>
        <v>€</v>
      </c>
    </row>
    <row r="34" spans="1:8" ht="14.4" x14ac:dyDescent="0.3">
      <c r="A34" s="3"/>
      <c r="B34" s="70"/>
      <c r="C34" s="70"/>
      <c r="D34" s="70"/>
      <c r="E34" s="4"/>
      <c r="F34" s="4">
        <v>1</v>
      </c>
      <c r="G34" s="25"/>
      <c r="H34" s="17" t="str">
        <f>HYPERLINK("#G34",CHAR(128))</f>
        <v>€</v>
      </c>
    </row>
    <row r="37" spans="1:8" ht="14.4" x14ac:dyDescent="0.3">
      <c r="A37" s="37" t="s">
        <v>40</v>
      </c>
      <c r="B37" s="37" t="s">
        <v>7</v>
      </c>
      <c r="C37" s="37" t="s">
        <v>60</v>
      </c>
      <c r="D37" s="37" t="s">
        <v>61</v>
      </c>
    </row>
    <row r="38" spans="1:8" ht="14.4" x14ac:dyDescent="0.3">
      <c r="A38" s="37"/>
      <c r="B38" s="37"/>
      <c r="C38" s="37"/>
      <c r="D38" s="37"/>
    </row>
  </sheetData>
  <mergeCells count="37">
    <mergeCell ref="B31:D31"/>
    <mergeCell ref="B32:D32"/>
    <mergeCell ref="B33:D33"/>
    <mergeCell ref="B34:D34"/>
    <mergeCell ref="B23:D23"/>
    <mergeCell ref="B24:D24"/>
    <mergeCell ref="B21:D21"/>
    <mergeCell ref="B15:D15"/>
    <mergeCell ref="B30:D30"/>
    <mergeCell ref="B16:D16"/>
    <mergeCell ref="B17:D17"/>
    <mergeCell ref="B18:D18"/>
    <mergeCell ref="B19:D19"/>
    <mergeCell ref="B22:D22"/>
    <mergeCell ref="B29:D29"/>
    <mergeCell ref="B26:D26"/>
    <mergeCell ref="B25:D25"/>
    <mergeCell ref="B20:D20"/>
    <mergeCell ref="A1:A2"/>
    <mergeCell ref="B14:D14"/>
    <mergeCell ref="B10:D10"/>
    <mergeCell ref="B11:D11"/>
    <mergeCell ref="B12:D12"/>
    <mergeCell ref="B13:D13"/>
    <mergeCell ref="B5:D5"/>
    <mergeCell ref="C1:D1"/>
    <mergeCell ref="B6:D6"/>
    <mergeCell ref="B7:D7"/>
    <mergeCell ref="B8:D8"/>
    <mergeCell ref="B9:D9"/>
    <mergeCell ref="E1:F1"/>
    <mergeCell ref="C2:D2"/>
    <mergeCell ref="E2:F2"/>
    <mergeCell ref="B3:D3"/>
    <mergeCell ref="B4:D4"/>
    <mergeCell ref="E3:F3"/>
    <mergeCell ref="E4:F4"/>
  </mergeCells>
  <conditionalFormatting sqref="G6:G14 G21:G26 G16:G19">
    <cfRule type="cellIs" dxfId="8" priority="2" operator="equal">
      <formula>"Returned"</formula>
    </cfRule>
    <cfRule type="cellIs" dxfId="7" priority="12" operator="equal">
      <formula>"Ready To Order"</formula>
    </cfRule>
    <cfRule type="cellIs" dxfId="6" priority="13" operator="equal">
      <formula>"UNP"</formula>
    </cfRule>
    <cfRule type="containsText" dxfId="5" priority="14" operator="containsText" text="Ordered">
      <formula>NOT(ISERROR(SEARCH("Ordered",G6)))</formula>
    </cfRule>
    <cfRule type="containsText" dxfId="4" priority="15" operator="containsText" text="Pick Up">
      <formula>NOT(ISERROR(SEARCH("Pick Up",G6)))</formula>
    </cfRule>
    <cfRule type="containsText" dxfId="3" priority="16" operator="containsText" text="Complete">
      <formula>NOT(ISERROR(SEARCH("Complete",G6)))</formula>
    </cfRule>
  </conditionalFormatting>
  <conditionalFormatting sqref="G30:G33">
    <cfRule type="containsText" dxfId="2" priority="4" operator="containsText" text="Given">
      <formula>NOT(ISERROR(SEARCH("Given",G30)))</formula>
    </cfRule>
  </conditionalFormatting>
  <conditionalFormatting sqref="G30:G34">
    <cfRule type="containsText" dxfId="1" priority="3" operator="containsText" text="Returned">
      <formula>NOT(ISERROR(SEARCH("Returned",G30)))</formula>
    </cfRule>
  </conditionalFormatting>
  <conditionalFormatting sqref="G6:G14 G21:G26 G16:G19">
    <cfRule type="cellIs" dxfId="0" priority="1" operator="equal">
      <formula>"In Stock"</formula>
    </cfRule>
  </conditionalFormatting>
  <dataValidations count="3">
    <dataValidation type="decimal" allowBlank="1" showInputMessage="1" showErrorMessage="1" sqref="L2" xr:uid="{7527E896-C660-4838-87BF-DF0EE98B7B8A}">
      <formula1>19</formula1>
      <formula2>26</formula2>
    </dataValidation>
    <dataValidation type="list" allowBlank="1" showInputMessage="1" showErrorMessage="1" sqref="G16:G19 G21:G24 G26 G6:G14" xr:uid="{CFD8070B-3CF9-4334-8473-D077F2C3716E}">
      <formula1>"UNP, Ready To Order, Ordered, In Stock, Pick Up, Complete, Returned"</formula1>
    </dataValidation>
    <dataValidation type="list" allowBlank="1" showInputMessage="1" showErrorMessage="1" sqref="G30:G34" xr:uid="{01B9C70D-5AF7-4248-9017-6FBE7D1B9D7E}">
      <formula1>"--,Returned, Given"</formula1>
    </dataValidation>
  </dataValidations>
  <hyperlinks>
    <hyperlink ref="A1:A2" location="Menu!A1" display="Back to Menu" xr:uid="{BA8DDA18-7F61-4A99-B731-833B39AFB87C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22" r:id="rId3" name="Button 6">
              <controlPr defaultSize="0" print="0" autoFill="0" autoPict="0" macro="[0]!ExchangeButton">
                <anchor moveWithCells="1" sizeWithCells="1">
                  <from>
                    <xdr:col>10</xdr:col>
                    <xdr:colOff>16625</xdr:colOff>
                    <xdr:row>10</xdr:row>
                    <xdr:rowOff>191193</xdr:rowOff>
                  </from>
                  <to>
                    <xdr:col>12</xdr:col>
                    <xdr:colOff>16625</xdr:colOff>
                    <xdr:row>12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4" name="Button 8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216131</xdr:rowOff>
                  </from>
                  <to>
                    <xdr:col>12</xdr:col>
                    <xdr:colOff>33251</xdr:colOff>
                    <xdr:row>21</xdr:row>
                    <xdr:rowOff>157942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5" name="Button 11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32</xdr:row>
                    <xdr:rowOff>166255</xdr:rowOff>
                  </from>
                  <to>
                    <xdr:col>12</xdr:col>
                    <xdr:colOff>0</xdr:colOff>
                    <xdr:row>33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6" name="Button 12">
              <controlPr defaultSize="0" print="0" autoFill="0" autoPict="0" macro="[0]!MarkAsSOS">
                <anchor moveWithCells="1" sizeWithCells="1">
                  <from>
                    <xdr:col>9</xdr:col>
                    <xdr:colOff>598516</xdr:colOff>
                    <xdr:row>30</xdr:row>
                    <xdr:rowOff>174567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7" name="Button 13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174567</xdr:rowOff>
                  </from>
                  <to>
                    <xdr:col>12</xdr:col>
                    <xdr:colOff>8313</xdr:colOff>
                    <xdr:row>26</xdr:row>
                    <xdr:rowOff>108065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Menu</vt:lpstr>
      <vt:lpstr>Pickup</vt:lpstr>
      <vt:lpstr>Master</vt:lpstr>
      <vt:lpstr>Import Sheets</vt:lpstr>
      <vt:lpstr>Charlie_Clark_74CD899D</vt:lpstr>
      <vt:lpstr>Isabella_Taylor_D098F288</vt:lpstr>
      <vt:lpstr>Banks_Rob_B4DD32A8</vt:lpstr>
      <vt:lpstr>Rophone_Mike_747A9E83</vt:lpstr>
      <vt:lpstr>Christ_Jesus_87519091</vt:lpstr>
      <vt:lpstr>Rhea_Dia_A5D0E0B7</vt:lpstr>
      <vt:lpstr>Rhea_Dia_4C1C4189</vt:lpstr>
      <vt:lpstr>Rhea_Dia_0CE9F4A1</vt:lpstr>
      <vt:lpstr>Rhea_Dia_84016FA6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Rodger Zheng Lu</dc:creator>
  <cp:lastModifiedBy>luhan ma</cp:lastModifiedBy>
  <cp:lastPrinted>2024-01-13T21:39:03Z</cp:lastPrinted>
  <dcterms:created xsi:type="dcterms:W3CDTF">2023-08-20T19:28:09Z</dcterms:created>
  <dcterms:modified xsi:type="dcterms:W3CDTF">2024-01-15T00:44:47Z</dcterms:modified>
</cp:coreProperties>
</file>