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16C0F975-6FD5-463A-9D9E-4F686A737433}" xr6:coauthVersionLast="47" xr6:coauthVersionMax="47" xr10:uidLastSave="{00000000-0000-0000-0000-000000000000}"/>
  <bookViews>
    <workbookView xWindow="-118" yWindow="-118" windowWidth="33749" windowHeight="18471" tabRatio="856" activeTab="4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Charlie_Clark_74CD899D" sheetId="332" r:id="rId5"/>
    <sheet name="Isabella_Taylor_D098F288" sheetId="333" r:id="rId6"/>
    <sheet name="Banks_Rob_B4DD32A8" sheetId="334" r:id="rId7"/>
    <sheet name="Rophone_Mike_747A9E83" sheetId="335" r:id="rId8"/>
    <sheet name="Christ_Jesus_87519091" sheetId="336" r:id="rId9"/>
    <sheet name="Rhea_Dia_A5D0E0B7" sheetId="337" r:id="rId10"/>
    <sheet name="Rhea_Dia_8BDCFB9F" sheetId="338" r:id="rId11"/>
    <sheet name="Rhea_Dia_D81CFC8E" sheetId="339" r:id="rId12"/>
    <sheet name="Rhea_Dia_BB77129F" sheetId="340" r:id="rId13"/>
    <sheet name="Template" sheetId="1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340" l="1"/>
  <c r="H33" i="340"/>
  <c r="H32" i="340"/>
  <c r="H31" i="340"/>
  <c r="H30" i="340"/>
  <c r="H26" i="340"/>
  <c r="E26" i="340"/>
  <c r="H24" i="340"/>
  <c r="H23" i="340"/>
  <c r="H22" i="340"/>
  <c r="H21" i="340"/>
  <c r="H19" i="340"/>
  <c r="H18" i="340"/>
  <c r="H17" i="340"/>
  <c r="H16" i="340"/>
  <c r="H14" i="340"/>
  <c r="H13" i="340"/>
  <c r="H12" i="340"/>
  <c r="H11" i="340"/>
  <c r="H10" i="340"/>
  <c r="H9" i="340"/>
  <c r="H8" i="340"/>
  <c r="H7" i="340"/>
  <c r="H6" i="340"/>
  <c r="H34" i="339"/>
  <c r="H33" i="339"/>
  <c r="H32" i="339"/>
  <c r="H31" i="339"/>
  <c r="H30" i="339"/>
  <c r="H26" i="339"/>
  <c r="E26" i="339"/>
  <c r="H24" i="339"/>
  <c r="H23" i="339"/>
  <c r="H22" i="339"/>
  <c r="H21" i="339"/>
  <c r="H19" i="339"/>
  <c r="H18" i="339"/>
  <c r="H17" i="339"/>
  <c r="H16" i="339"/>
  <c r="H14" i="339"/>
  <c r="H13" i="339"/>
  <c r="H12" i="339"/>
  <c r="H11" i="339"/>
  <c r="H10" i="339"/>
  <c r="H9" i="339"/>
  <c r="H8" i="339"/>
  <c r="H7" i="339"/>
  <c r="H6" i="339"/>
  <c r="H34" i="338"/>
  <c r="H33" i="338"/>
  <c r="H32" i="338"/>
  <c r="H31" i="338"/>
  <c r="H30" i="338"/>
  <c r="H26" i="338"/>
  <c r="E26" i="338"/>
  <c r="H24" i="338"/>
  <c r="H23" i="338"/>
  <c r="H22" i="338"/>
  <c r="H21" i="338"/>
  <c r="H19" i="338"/>
  <c r="H18" i="338"/>
  <c r="H17" i="338"/>
  <c r="H16" i="338"/>
  <c r="H14" i="338"/>
  <c r="H13" i="338"/>
  <c r="H12" i="338"/>
  <c r="H11" i="338"/>
  <c r="H10" i="338"/>
  <c r="H9" i="338"/>
  <c r="H8" i="338"/>
  <c r="H7" i="338"/>
  <c r="H6" i="338"/>
  <c r="H34" i="337"/>
  <c r="H33" i="337"/>
  <c r="H32" i="337"/>
  <c r="H31" i="337"/>
  <c r="H30" i="337"/>
  <c r="H26" i="337"/>
  <c r="E26" i="337"/>
  <c r="H24" i="337"/>
  <c r="H23" i="337"/>
  <c r="H22" i="337"/>
  <c r="H21" i="337"/>
  <c r="H19" i="337"/>
  <c r="H18" i="337"/>
  <c r="H17" i="337"/>
  <c r="H16" i="337"/>
  <c r="H14" i="337"/>
  <c r="H13" i="337"/>
  <c r="H12" i="337"/>
  <c r="H11" i="337"/>
  <c r="H10" i="337"/>
  <c r="H9" i="337"/>
  <c r="H8" i="337"/>
  <c r="H7" i="337"/>
  <c r="H6" i="337"/>
  <c r="H34" i="336"/>
  <c r="H33" i="336"/>
  <c r="H32" i="336"/>
  <c r="H31" i="336"/>
  <c r="H30" i="336"/>
  <c r="H26" i="336"/>
  <c r="E26" i="336"/>
  <c r="H24" i="336"/>
  <c r="H23" i="336"/>
  <c r="H22" i="336"/>
  <c r="H21" i="336"/>
  <c r="H19" i="336"/>
  <c r="H18" i="336"/>
  <c r="H17" i="336"/>
  <c r="H16" i="336"/>
  <c r="H14" i="336"/>
  <c r="H13" i="336"/>
  <c r="H12" i="336"/>
  <c r="H11" i="336"/>
  <c r="H10" i="336"/>
  <c r="H9" i="336"/>
  <c r="H8" i="336"/>
  <c r="H7" i="336"/>
  <c r="H6" i="336"/>
  <c r="H34" i="335"/>
  <c r="H33" i="335"/>
  <c r="H32" i="335"/>
  <c r="H31" i="335"/>
  <c r="H30" i="335"/>
  <c r="H26" i="335"/>
  <c r="E26" i="335"/>
  <c r="H24" i="335"/>
  <c r="H23" i="335"/>
  <c r="H22" i="335"/>
  <c r="H21" i="335"/>
  <c r="H19" i="335"/>
  <c r="H18" i="335"/>
  <c r="H17" i="335"/>
  <c r="H16" i="335"/>
  <c r="H14" i="335"/>
  <c r="H13" i="335"/>
  <c r="H12" i="335"/>
  <c r="H11" i="335"/>
  <c r="H10" i="335"/>
  <c r="H9" i="335"/>
  <c r="H8" i="335"/>
  <c r="H7" i="335"/>
  <c r="H6" i="335"/>
  <c r="H34" i="334"/>
  <c r="H33" i="334"/>
  <c r="H32" i="334"/>
  <c r="H31" i="334"/>
  <c r="H30" i="334"/>
  <c r="H26" i="334"/>
  <c r="E26" i="334"/>
  <c r="H24" i="334"/>
  <c r="H23" i="334"/>
  <c r="H22" i="334"/>
  <c r="H21" i="334"/>
  <c r="H19" i="334"/>
  <c r="H18" i="334"/>
  <c r="H17" i="334"/>
  <c r="H16" i="334"/>
  <c r="H14" i="334"/>
  <c r="H13" i="334"/>
  <c r="H12" i="334"/>
  <c r="H11" i="334"/>
  <c r="H10" i="334"/>
  <c r="H9" i="334"/>
  <c r="H8" i="334"/>
  <c r="H7" i="334"/>
  <c r="H6" i="334"/>
  <c r="H34" i="333"/>
  <c r="H33" i="333"/>
  <c r="H32" i="333"/>
  <c r="H31" i="333"/>
  <c r="H30" i="333"/>
  <c r="H26" i="333"/>
  <c r="E26" i="333"/>
  <c r="H24" i="333"/>
  <c r="H23" i="333"/>
  <c r="H22" i="333"/>
  <c r="H21" i="333"/>
  <c r="H19" i="333"/>
  <c r="H18" i="333"/>
  <c r="H17" i="333"/>
  <c r="H16" i="333"/>
  <c r="H14" i="333"/>
  <c r="H13" i="333"/>
  <c r="H12" i="333"/>
  <c r="H11" i="333"/>
  <c r="H10" i="333"/>
  <c r="H9" i="333"/>
  <c r="H8" i="333"/>
  <c r="H7" i="333"/>
  <c r="H6" i="333"/>
  <c r="H34" i="332"/>
  <c r="H33" i="332"/>
  <c r="H32" i="332"/>
  <c r="H31" i="332"/>
  <c r="H30" i="332"/>
  <c r="H26" i="332"/>
  <c r="E26" i="332"/>
  <c r="H24" i="332"/>
  <c r="H23" i="332"/>
  <c r="H22" i="332"/>
  <c r="H21" i="332"/>
  <c r="H19" i="332"/>
  <c r="H18" i="332"/>
  <c r="H17" i="332"/>
  <c r="H16" i="332"/>
  <c r="H14" i="332"/>
  <c r="H13" i="332"/>
  <c r="H12" i="332"/>
  <c r="H11" i="332"/>
  <c r="H10" i="332"/>
  <c r="H9" i="332"/>
  <c r="H8" i="332"/>
  <c r="H7" i="332"/>
  <c r="H6" i="33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<sst xmlns="http://schemas.openxmlformats.org/spreadsheetml/2006/main" count="1309" uniqueCount="218">
  <si>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</si>
  <si>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</si>
  <si>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</si>
  <si>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</si>
  <si>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</si>
  <si>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</si>
  <si>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</si>
  <si>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</si>
  <si>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</si>
  <si>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</si>
  <si>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</si>
  <si>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</si>
  <si>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</si>
  <si>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</si>
  <si>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</si>
  <si>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</si>
  <si>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</si>
  <si>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</si>
  <si>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</si>
  <si>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</si>
  <si>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</si>
  <si>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</si>
  <si>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</si>
  <si>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</si>
  <si>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</si>
  <si>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</si>
  <si>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</si>
  <si>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</si>
  <si>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</si>
  <si>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</si>
  <si>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</si>
  <si>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</si>
  <si>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</si>
  <si>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</si>
  <si>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</si>
  <si>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</si>
  <si>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</si>
  <si>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</si>
  <si>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</si>
  <si>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</si>
  <si>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</si>
  <si>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</si>
  <si>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</si>
  <si>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</si>
  <si>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</si>
  <si>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</si>
  <si>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</si>
  <si>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</si>
  <si>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</si>
  <si>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</si>
  <si>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</si>
  <si>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</si>
  <si>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Hip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</si>
  <si>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</si>
  <si>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</si>
  <si>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</si>
  <si>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</si>
  <si>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</si>
  <si>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</si>
  <si>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</si>
  <si>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</si>
  <si>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</si>
  <si>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</si>
  <si>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</si>
  <si>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</si>
  <si>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</si>
  <si>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</si>
  <si>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</si>
  <si>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</si>
  <si>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</si>
  <si>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</si>
  <si>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</si>
  <si>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</si>
  <si>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</si>
  <si>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</si>
  <si>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</si>
  <si>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</si>
  <si>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</si>
  <si>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</si>
  <si>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</si>
  <si>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</si>
  <si>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</si>
  <si>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</si>
  <si>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</si>
  <si>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</si>
  <si>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</si>
  <si>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</si>
  <si>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</si>
  <si>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</si>
  <si>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</si>
  <si>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</si>
  <si>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</si>
  <si>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Charlie</t>
  </si>
  <si>
    <t>Not Done</t>
  </si>
  <si>
    <t>In Progress</t>
  </si>
  <si>
    <t>Done</t>
  </si>
  <si>
    <t>Name Colors: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</si>
  <si>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</si>
  <si>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</si>
  <si>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</si>
  <si>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</si>
  <si>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</si>
  <si>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</si>
  <si>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</si>
  <si>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Isabella</t>
  </si>
  <si>
    <t>D098F288</t>
  </si>
  <si>
    <t>1000-21-059-8040</t>
  </si>
  <si>
    <t>8405-20-004-7500</t>
  </si>
  <si>
    <t>16D</t>
  </si>
  <si>
    <t>8430-20-A0X-9353</t>
  </si>
  <si>
    <t>Taylor, Isabella</t>
  </si>
  <si>
    <t>UNP, In Stock</t>
  </si>
  <si>
    <t>Cadet Last Name</t>
  </si>
  <si>
    <t>Cadet First Name</t>
  </si>
  <si>
    <t>TShirt</t>
  </si>
  <si>
    <t>Pant Belt</t>
  </si>
  <si>
    <t>Boots</t>
  </si>
  <si>
    <t>FTU Shirt</t>
  </si>
  <si>
    <t>M</t>
  </si>
  <si>
    <t>XL</t>
  </si>
  <si>
    <t>S</t>
  </si>
  <si>
    <t>265/96</t>
  </si>
  <si>
    <t>Rob</t>
  </si>
  <si>
    <t>Banks</t>
  </si>
  <si>
    <t>Mike</t>
  </si>
  <si>
    <t>Rophone</t>
  </si>
  <si>
    <t>Jesus</t>
  </si>
  <si>
    <t>Christ</t>
  </si>
  <si>
    <t>Dia</t>
  </si>
  <si>
    <t>Rhea</t>
  </si>
  <si>
    <t>AC</t>
  </si>
  <si>
    <t>B4DD32A8</t>
  </si>
  <si>
    <t>8405-21-905-7822</t>
  </si>
  <si>
    <t>8420-20-001-0730</t>
  </si>
  <si>
    <t>8405-21-909-2448</t>
  </si>
  <si>
    <t>8405-20-003-5842</t>
  </si>
  <si>
    <t>8405-21-920-7277</t>
  </si>
  <si>
    <t>8405-20-013-1472</t>
  </si>
  <si>
    <t>8405-20-004-7486</t>
  </si>
  <si>
    <t>8405-20-004-7510</t>
  </si>
  <si>
    <t>747A9E83</t>
  </si>
  <si>
    <t>1000-21-059-8046</t>
  </si>
  <si>
    <t>8420-20-001-0732</t>
  </si>
  <si>
    <t>8405-21-920-7280</t>
  </si>
  <si>
    <t>8405-20-004-7502</t>
  </si>
  <si>
    <t>8405-20-004-7526</t>
  </si>
  <si>
    <t>8405-20-001-4538</t>
  </si>
  <si>
    <t>8405-21-909-2390</t>
  </si>
  <si>
    <t>8405-20-004-7485</t>
  </si>
  <si>
    <t>8405-20-004-7507</t>
  </si>
  <si>
    <t>A5D0E0B7</t>
  </si>
  <si>
    <t>8405-21-905-7817</t>
  </si>
  <si>
    <t>8405-20-001-4501</t>
  </si>
  <si>
    <t>8420-20-001-0728</t>
  </si>
  <si>
    <t>8405-21-909-2441</t>
  </si>
  <si>
    <t>8440-20-006-6070</t>
  </si>
  <si>
    <t>8430-20-006-2534</t>
  </si>
  <si>
    <t>8405-21-920-7090</t>
  </si>
  <si>
    <t>8405-20-004-7483</t>
  </si>
  <si>
    <t>Dia, Rhea</t>
  </si>
  <si>
    <t>Rob, Banks</t>
  </si>
  <si>
    <t>Mike, Rophone</t>
  </si>
  <si>
    <t>6731</t>
  </si>
  <si>
    <t>13</t>
  </si>
  <si>
    <t>6432</t>
  </si>
  <si>
    <t>Invalid size</t>
  </si>
  <si>
    <t>6 3/8</t>
  </si>
  <si>
    <t>7 1/2</t>
  </si>
  <si>
    <t>8405-20-013-1476</t>
  </si>
  <si>
    <t>8440-20-008-7936</t>
  </si>
  <si>
    <t>6436</t>
  </si>
  <si>
    <t>6427</t>
  </si>
  <si>
    <t>8405-20-004-7506</t>
  </si>
  <si>
    <t>8440-20-008-7934</t>
  </si>
  <si>
    <t>8410-21-912-7786</t>
  </si>
  <si>
    <t>8405-20-003-5841</t>
  </si>
  <si>
    <t>8405-20-013-1471</t>
  </si>
  <si>
    <t>1000-21-198-7644</t>
  </si>
  <si>
    <t>8440-20-006-6069</t>
  </si>
  <si>
    <t>8440-20-006-6072</t>
  </si>
  <si>
    <t>8420-20-001-0711</t>
  </si>
  <si>
    <t>R</t>
  </si>
  <si>
    <t>7</t>
  </si>
  <si>
    <t>8440-20-005-2931</t>
  </si>
  <si>
    <t>1000-21-215-7652</t>
  </si>
  <si>
    <t>Clark, Charlie</t>
  </si>
  <si>
    <t>Jesus, Christ</t>
  </si>
  <si>
    <t>6.125</t>
  </si>
  <si>
    <t>All Status</t>
  </si>
  <si>
    <t>UNP,In Stock,</t>
  </si>
  <si>
    <t>UNP,In Stock,Ordered,</t>
  </si>
  <si>
    <t>UNP,In Stock,Pick Up,Ordered,</t>
  </si>
  <si>
    <t>AE9850BD</t>
  </si>
  <si>
    <t>CB339199</t>
  </si>
  <si>
    <t>Shirt</t>
  </si>
  <si>
    <t>Pants</t>
  </si>
  <si>
    <t>Generate?</t>
  </si>
  <si>
    <t>Y</t>
  </si>
  <si>
    <t>B5B45CA9</t>
  </si>
  <si>
    <t>D1980CB1</t>
  </si>
  <si>
    <t>8L</t>
  </si>
  <si>
    <t>1000-21-165-723</t>
  </si>
  <si>
    <t>6327-1/2 (H38)</t>
  </si>
  <si>
    <t>8410-21-912-3634</t>
  </si>
  <si>
    <t>8440-20-008-7938</t>
  </si>
  <si>
    <t>L/G</t>
  </si>
  <si>
    <t>8405-21-920-7279</t>
  </si>
  <si>
    <t>(2XS / 2TP)</t>
  </si>
  <si>
    <t>1001-21-154-1000</t>
  </si>
  <si>
    <t>6426</t>
  </si>
  <si>
    <t>9D</t>
  </si>
  <si>
    <t>8430-20-A0X-9132</t>
  </si>
  <si>
    <t>13B124BB</t>
  </si>
  <si>
    <t>8BDCFB9F</t>
  </si>
  <si>
    <t>D81CFC8E</t>
  </si>
  <si>
    <t>BB77129F</t>
  </si>
  <si>
    <t>UNP,</t>
  </si>
  <si>
    <t>6.375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</si>
</sst>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0FFB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0" fillId="15" borderId="0" xfId="0" applyFill="1" applyAlignment="1">
      <alignment horizontal="center" vertical="center"/>
    </xf>
    <xf numFmtId="0" fontId="2" fillId="12" borderId="0" xfId="3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Fill="1"/>
    <xf numFmtId="0" fontId="2" fillId="0" borderId="0" xfId="3"/>
    <xf numFmtId="0" fontId="0" fillId="19" borderId="0" xfId="0" applyFill="1" applyAlignment="1">
      <alignment horizontal="center" vertical="center"/>
    </xf>
    <xf numFmtId="49" fontId="0" fillId="20" borderId="0" xfId="0" applyNumberFormat="1" applyFill="1"/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2" fontId="0" fillId="10" borderId="0" xfId="0" applyNumberFormat="1" applyFill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10" borderId="0" xfId="0" applyNumberFormat="1" applyFill="1" applyAlignment="1">
      <alignment horizontal="center" vertical="center"/>
    </xf>
    <xf numFmtId="49" fontId="0" fillId="18" borderId="0" xfId="0" applyNumberFormat="1" applyFill="1" applyAlignment="1">
      <alignment horizontal="center" vertical="center"/>
    </xf>
    <xf numFmtId="49" fontId="0" fillId="19" borderId="0" xfId="0" applyNumberFormat="1" applyFill="1" applyAlignment="1">
      <alignment horizontal="center" vertical="center"/>
    </xf>
    <xf numFmtId="49" fontId="0" fillId="14" borderId="0" xfId="0" applyNumberFormat="1" applyFill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49" fontId="0" fillId="2" borderId="1" xfId="1" applyNumberFormat="1" applyFont="1" applyBorder="1" applyAlignment="1">
      <alignment horizontal="center"/>
    </xf>
    <xf numFmtId="0" fontId="12" fillId="8" borderId="0" xfId="0" applyFont="1" applyFill="1" applyAlignment="1">
      <alignment vertical="center" shrinkToFit="1"/>
    </xf>
    <xf numFmtId="0" fontId="5" fillId="0" borderId="9" xfId="3" applyFont="1" applyFill="1" applyBorder="1" applyAlignment="1">
      <alignment vertical="center" shrinkToFit="1"/>
    </xf>
    <xf numFmtId="0" fontId="0" fillId="0" borderId="0" xfId="0" applyFill="1" applyAlignment="1">
      <alignment vertical="center" shrinkToFit="1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200"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99"/>
      <tableStyleElement type="headerRow" dxfId="198"/>
      <tableStyleElement type="firstRowStripe" dxfId="197"/>
      <tableStyleElement type="secondRowStripe" dxfId="196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172314</xdr:rowOff>
    </xdr:from>
    <xdr:to>
      <xdr:col>7</xdr:col>
      <xdr:colOff>435462</xdr:colOff>
      <xdr:row>4</xdr:row>
      <xdr:rowOff>163729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247202</xdr:colOff>
      <xdr:row>9</xdr:row>
      <xdr:rowOff>84100</xdr:rowOff>
    </xdr:from>
    <xdr:to>
      <xdr:col>7</xdr:col>
      <xdr:colOff>440615</xdr:colOff>
      <xdr:row>11</xdr:row>
      <xdr:rowOff>147855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6</xdr:row>
      <xdr:rowOff>90360</xdr:rowOff>
    </xdr:from>
    <xdr:to>
      <xdr:col>7</xdr:col>
      <xdr:colOff>439831</xdr:colOff>
      <xdr:row>7</xdr:row>
      <xdr:rowOff>171589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149629</xdr:colOff>
          <xdr:row>0</xdr:row>
          <xdr:rowOff>49876</xdr:rowOff>
        </xdr:from>
        <xdr:to>
          <xdr:col>24</xdr:col>
          <xdr:colOff>532015</xdr:colOff>
          <xdr:row>0</xdr:row>
          <xdr:rowOff>440575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2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164155" name="Complete1" hidden="1">
              <a:extLst>
                <a:ext uri="{63B3BB69-23CF-44E3-9099-C40C66FF867C}">
                  <a14:compatExt spid="_x0000_s164155"/>
                </a:ext>
                <a:ext uri="{FF2B5EF4-FFF2-40B4-BE49-F238E27FC236}">
                  <a16:creationId xmlns:a16="http://schemas.microsoft.com/office/drawing/2014/main" id="{929581FA-482B-6D48-3CA9-12441FF53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64156" name="Complete2" hidden="1">
              <a:extLst>
                <a:ext uri="{63B3BB69-23CF-44E3-9099-C40C66FF867C}">
                  <a14:compatExt spid="_x0000_s164156"/>
                </a:ext>
                <a:ext uri="{FF2B5EF4-FFF2-40B4-BE49-F238E27FC236}">
                  <a16:creationId xmlns:a16="http://schemas.microsoft.com/office/drawing/2014/main" id="{6728DA6A-1A28-D43A-EE31-B8B8E553D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164157" name="Complete3" hidden="1">
              <a:extLst>
                <a:ext uri="{63B3BB69-23CF-44E3-9099-C40C66FF867C}">
                  <a14:compatExt spid="_x0000_s164157"/>
                </a:ext>
                <a:ext uri="{FF2B5EF4-FFF2-40B4-BE49-F238E27FC236}">
                  <a16:creationId xmlns:a16="http://schemas.microsoft.com/office/drawing/2014/main" id="{9FCCF611-8846-2A8F-9AF0-EBEE536B8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60218" name="Toggle2" hidden="1">
              <a:extLst>
                <a:ext uri="{63B3BB69-23CF-44E3-9099-C40C66FF867C}">
                  <a14:compatExt spid="_x0000_s260218"/>
                </a:ext>
                <a:ext uri="{FF2B5EF4-FFF2-40B4-BE49-F238E27FC236}">
                  <a16:creationId xmlns:a16="http://schemas.microsoft.com/office/drawing/2014/main" id="{C12A2E29-B869-94CA-80CE-BCFCEA7DA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60219" name="Toggle3" hidden="1">
              <a:extLst>
                <a:ext uri="{63B3BB69-23CF-44E3-9099-C40C66FF867C}">
                  <a14:compatExt spid="_x0000_s260219"/>
                </a:ext>
                <a:ext uri="{FF2B5EF4-FFF2-40B4-BE49-F238E27FC236}">
                  <a16:creationId xmlns:a16="http://schemas.microsoft.com/office/drawing/2014/main" id="{E339D570-9028-E08A-A780-10FE60011A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260220" name="Toggle4" hidden="1">
              <a:extLst>
                <a:ext uri="{63B3BB69-23CF-44E3-9099-C40C66FF867C}">
                  <a14:compatExt spid="_x0000_s260220"/>
                </a:ext>
                <a:ext uri="{FF2B5EF4-FFF2-40B4-BE49-F238E27FC236}">
                  <a16:creationId xmlns:a16="http://schemas.microsoft.com/office/drawing/2014/main" id="{804F1477-B258-867E-7F1F-9DD68ADD7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5</xdr:row>
          <xdr:rowOff>0</xdr:rowOff>
        </xdr:from>
        <xdr:to>
          <xdr:col>23</xdr:col>
          <xdr:colOff>0</xdr:colOff>
          <xdr:row>6</xdr:row>
          <xdr:rowOff>0</xdr:rowOff>
        </xdr:to>
        <xdr:sp macro="" textlink="">
          <xdr:nvSpPr>
            <xdr:cNvPr id="260221" name="Toggle5" hidden="1">
              <a:extLst>
                <a:ext uri="{63B3BB69-23CF-44E3-9099-C40C66FF867C}">
                  <a14:compatExt spid="_x0000_s260221"/>
                </a:ext>
                <a:ext uri="{FF2B5EF4-FFF2-40B4-BE49-F238E27FC236}">
                  <a16:creationId xmlns:a16="http://schemas.microsoft.com/office/drawing/2014/main" id="{EA6DD2AD-5754-EB44-4952-4A08E95C6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60222" name="Toggle6" hidden="1">
              <a:extLst>
                <a:ext uri="{63B3BB69-23CF-44E3-9099-C40C66FF867C}">
                  <a14:compatExt spid="_x0000_s260222"/>
                </a:ext>
                <a:ext uri="{FF2B5EF4-FFF2-40B4-BE49-F238E27FC236}">
                  <a16:creationId xmlns:a16="http://schemas.microsoft.com/office/drawing/2014/main" id="{7F586396-2E3A-B2D0-C42B-15BC4EE6D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7</xdr:row>
          <xdr:rowOff>0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260223" name="Toggle7" hidden="1">
              <a:extLst>
                <a:ext uri="{63B3BB69-23CF-44E3-9099-C40C66FF867C}">
                  <a14:compatExt spid="_x0000_s260223"/>
                </a:ext>
                <a:ext uri="{FF2B5EF4-FFF2-40B4-BE49-F238E27FC236}">
                  <a16:creationId xmlns:a16="http://schemas.microsoft.com/office/drawing/2014/main" id="{FA26881E-A529-F470-4886-2BBCD0A95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</xdr:row>
          <xdr:rowOff>0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260224" name="Toggle8" hidden="1">
              <a:extLst>
                <a:ext uri="{63B3BB69-23CF-44E3-9099-C40C66FF867C}">
                  <a14:compatExt spid="_x0000_s260224"/>
                </a:ext>
                <a:ext uri="{FF2B5EF4-FFF2-40B4-BE49-F238E27FC236}">
                  <a16:creationId xmlns:a16="http://schemas.microsoft.com/office/drawing/2014/main" id="{02681D75-DEB4-6315-7654-3D49607ED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9</xdr:row>
          <xdr:rowOff>0</xdr:rowOff>
        </xdr:from>
        <xdr:to>
          <xdr:col>23</xdr:col>
          <xdr:colOff>0</xdr:colOff>
          <xdr:row>10</xdr:row>
          <xdr:rowOff>0</xdr:rowOff>
        </xdr:to>
        <xdr:sp macro="" textlink="">
          <xdr:nvSpPr>
            <xdr:cNvPr id="260225" name="Toggle9" hidden="1">
              <a:extLst>
                <a:ext uri="{63B3BB69-23CF-44E3-9099-C40C66FF867C}">
                  <a14:compatExt spid="_x0000_s260225"/>
                </a:ext>
                <a:ext uri="{FF2B5EF4-FFF2-40B4-BE49-F238E27FC236}">
                  <a16:creationId xmlns:a16="http://schemas.microsoft.com/office/drawing/2014/main" id="{550CA073-EC47-A866-66C1-F360BF85B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260226" name="Toggle10" hidden="1">
              <a:extLst>
                <a:ext uri="{63B3BB69-23CF-44E3-9099-C40C66FF867C}">
                  <a14:compatExt spid="_x0000_s260226"/>
                </a:ext>
                <a:ext uri="{FF2B5EF4-FFF2-40B4-BE49-F238E27FC236}">
                  <a16:creationId xmlns:a16="http://schemas.microsoft.com/office/drawing/2014/main" id="{3D608D08-1927-B8CA-C5A2-22F9CBC60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E9C342D9-FCCA-459A-898C-9804485CC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54306" name="Button 2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D135A216-6E16-48A0-B2A6-5BB34C7C5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54307" name="Button 3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C2111CFB-89B2-431B-A2A1-49DB07342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54308" name="Button 4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8F6C8CAC-E44E-4524-9AFB-46F69A998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54309" name="Button 5" hidden="1">
              <a:extLst>
                <a:ext uri="{63B3BB69-23CF-44E3-9099-C40C66FF867C}">
                  <a14:compatExt spid="_x0000_s354309"/>
                </a:ext>
                <a:ext uri="{FF2B5EF4-FFF2-40B4-BE49-F238E27FC236}">
                  <a16:creationId xmlns:a16="http://schemas.microsoft.com/office/drawing/2014/main" id="{31AF2AC5-ED7E-4AC6-910A-4F32053B2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55208AFE-03A5-4BEE-B1F6-807294A84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2BAFBFE6-9B15-460A-BBAB-D57934981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55331" name="Button 3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9FCA31D6-10D3-4C18-9594-047824E58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55332" name="Button 4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9328EB01-3B9A-492D-BF08-A47181F38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55333" name="Button 5" hidden="1">
              <a:extLst>
                <a:ext uri="{63B3BB69-23CF-44E3-9099-C40C66FF867C}">
                  <a14:compatExt spid="_x0000_s355333"/>
                </a:ext>
                <a:ext uri="{FF2B5EF4-FFF2-40B4-BE49-F238E27FC236}">
                  <a16:creationId xmlns:a16="http://schemas.microsoft.com/office/drawing/2014/main" id="{12B8F554-6B99-4972-A0B6-AC29A5ED1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56353" name="Button 1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3E219818-91ED-40F8-9B73-0BF0F20F6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56354" name="Button 2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AA09143E-D2DE-42F9-928F-DE745ACC1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56355" name="Button 3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EBF2C5C8-12C9-486C-9713-0E9FBE91E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56356" name="Button 4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9C4A3E7C-A8EC-4F13-9DC7-7472CF851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56357" name="Button 5" hidden="1">
              <a:extLst>
                <a:ext uri="{63B3BB69-23CF-44E3-9099-C40C66FF867C}">
                  <a14:compatExt spid="_x0000_s356357"/>
                </a:ext>
                <a:ext uri="{FF2B5EF4-FFF2-40B4-BE49-F238E27FC236}">
                  <a16:creationId xmlns:a16="http://schemas.microsoft.com/office/drawing/2014/main" id="{9AE03195-CCCC-4EE6-A1D9-8A3275BA1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57377" name="Button 1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70448C3-5D66-425C-98FC-85DB66E06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57378" name="Button 2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8ED292C1-9CBC-4939-A8D5-FD028F749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57379" name="Button 3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FFB254C9-E2E5-4904-9187-E890C8CD1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57380" name="Button 4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45301B79-B375-4B31-B56A-E2285E960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57381" name="Button 5" hidden="1">
              <a:extLst>
                <a:ext uri="{63B3BB69-23CF-44E3-9099-C40C66FF867C}">
                  <a14:compatExt spid="_x0000_s357381"/>
                </a:ext>
                <a:ext uri="{FF2B5EF4-FFF2-40B4-BE49-F238E27FC236}">
                  <a16:creationId xmlns:a16="http://schemas.microsoft.com/office/drawing/2014/main" id="{0E6835FA-E33A-4B0A-A243-8F10D238F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58401" name="Button 1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F12B10F1-C62A-4539-BCCC-68BDA6432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58402" name="Button 2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7FCDF2DA-E69D-469D-8308-A10EBBB14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58403" name="Button 3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3A34B22B-A072-428A-92F0-4843F12FE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58404" name="Button 4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FFCC0E6C-63B7-447F-B696-91F633127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58405" name="Button 5" hidden="1">
              <a:extLst>
                <a:ext uri="{63B3BB69-23CF-44E3-9099-C40C66FF867C}">
                  <a14:compatExt spid="_x0000_s358405"/>
                </a:ext>
                <a:ext uri="{FF2B5EF4-FFF2-40B4-BE49-F238E27FC236}">
                  <a16:creationId xmlns:a16="http://schemas.microsoft.com/office/drawing/2014/main" id="{DB4DCF0E-C470-4E0A-9FCC-EE6B4C800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59425" name="Button 1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24296FFD-E264-49C4-A58D-FB5811324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59426" name="Button 2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BF2552CC-DA0A-41B8-AD8E-4DA86098D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59427" name="Button 3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A3280B01-4EFC-4E84-9C94-D027FE6AD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59428" name="Button 4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7A12667F-F2A1-4136-9F40-64EE4A815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59429" name="Button 5" hidden="1">
              <a:extLst>
                <a:ext uri="{63B3BB69-23CF-44E3-9099-C40C66FF867C}">
                  <a14:compatExt spid="_x0000_s359429"/>
                </a:ext>
                <a:ext uri="{FF2B5EF4-FFF2-40B4-BE49-F238E27FC236}">
                  <a16:creationId xmlns:a16="http://schemas.microsoft.com/office/drawing/2014/main" id="{93347B5D-3A8F-47EF-9856-FCB5AB544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60449" name="Button 1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CFAA2FD-A6C8-4927-802C-613C3A21C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60450" name="Button 2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8CB7B7BF-1381-4DAF-92FF-F38FB2A47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60451" name="Button 3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545F9755-817A-4397-906C-BA07BBA1A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0452" name="Button 4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330A4ABD-C808-4022-9BA1-02C971727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60453" name="Button 5" hidden="1">
              <a:extLst>
                <a:ext uri="{63B3BB69-23CF-44E3-9099-C40C66FF867C}">
                  <a14:compatExt spid="_x0000_s360453"/>
                </a:ext>
                <a:ext uri="{FF2B5EF4-FFF2-40B4-BE49-F238E27FC236}">
                  <a16:creationId xmlns:a16="http://schemas.microsoft.com/office/drawing/2014/main" id="{371E99AD-18E2-45B0-9612-00B800A1B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61473" name="Button 1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8B155510-85EC-41E6-B037-DEC101C20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61474" name="Button 2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137786DE-3064-4A39-95D7-06841E15B0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61475" name="Button 3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AB872C51-79AB-4EB9-8800-54B877925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1476" name="Button 4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980E88FD-BC40-443F-8C77-95A096022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61477" name="Button 5" hidden="1">
              <a:extLst>
                <a:ext uri="{63B3BB69-23CF-44E3-9099-C40C66FF867C}">
                  <a14:compatExt spid="_x0000_s361477"/>
                </a:ext>
                <a:ext uri="{FF2B5EF4-FFF2-40B4-BE49-F238E27FC236}">
                  <a16:creationId xmlns:a16="http://schemas.microsoft.com/office/drawing/2014/main" id="{F740068C-EE59-4B92-9387-90D405425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62497" name="Button 1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5A89FB2F-8154-4507-BAB6-934A16AEF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62498" name="Button 2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8B119352-AC56-49D5-B0F1-B3DED4E55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62499" name="Button 3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4C63A647-92FA-4D40-88EB-9E058E1E6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2500" name="Button 4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3026797-ADF1-40B6-99C9-59C3F7C2A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62501" name="Button 5" hidden="1">
              <a:extLst>
                <a:ext uri="{63B3BB69-23CF-44E3-9099-C40C66FF867C}">
                  <a14:compatExt spid="_x0000_s362501"/>
                </a:ext>
                <a:ext uri="{FF2B5EF4-FFF2-40B4-BE49-F238E27FC236}">
                  <a16:creationId xmlns:a16="http://schemas.microsoft.com/office/drawing/2014/main" id="{706667AB-E7F0-4439-888C-BE1934F92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23" totalsRowShown="0" headerRowDxfId="195" dataDxfId="193" headerRowBorderDxfId="194" tableBorderDxfId="192" totalsRowBorderDxfId="191" headerRowCellStyle="60% - Accent5">
  <autoFilter ref="A1:E23" xr:uid="{7E3155DF-3CB2-4063-8346-D3006162EB2E}"/>
  <sortState xmlns:xlrd2="http://schemas.microsoft.com/office/spreadsheetml/2017/richdata2" ref="A2:E23">
    <sortCondition ref="A1:A23"/>
  </sortState>
  <tableColumns count="5">
    <tableColumn id="1" xr3:uid="{4A3C96D4-74F9-46DA-B54B-0CD347E35136}" name="Surname" dataDxfId="190" dataCellStyle="Hyperlink"/>
    <tableColumn id="2" xr3:uid="{2B90B92F-5F96-4EDA-9BBB-0E797162ECC4}" name="First Name" dataDxfId="189" dataCellStyle="Hyperlink"/>
    <tableColumn id="8" xr3:uid="{CFE0A41F-FE26-4CF3-BAA8-F6CEC7B006D4}" name="Status" dataDxfId="188" dataCellStyle="Hyperlink"/>
    <tableColumn id="3" xr3:uid="{EBBDE5FC-4AD9-4996-A6CE-25D9B52D4D03}" name="Date" dataDxfId="187"/>
    <tableColumn id="4" xr3:uid="{854BBB0E-E50E-4F6C-90CC-6180E0CE5D32}" name="ID" dataDxfId="18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11" totalsRowShown="0" headerRowDxfId="185" dataDxfId="184">
  <autoFilter ref="A2:X11" xr:uid="{BBE43AA0-FEFE-4953-BA96-A0217731DC97}"/>
  <sortState xmlns:xlrd2="http://schemas.microsoft.com/office/spreadsheetml/2017/richdata2" ref="A3:W3">
    <sortCondition ref="A2:A3"/>
  </sortState>
  <tableColumns count="24">
    <tableColumn id="1" xr3:uid="{77C7B428-E99D-49B8-8796-47FEBA3B8CD2}" name="Name" dataDxfId="1" dataCellStyle="Hyperlink"/>
    <tableColumn id="2" xr3:uid="{36FC8A03-C285-4FA4-AEC4-647B7067D01E}" name="Tunic" dataDxfId="2"/>
    <tableColumn id="3" xr3:uid="{E2B75A82-055F-492D-97B2-03C8E9C74CBF}" name="Collar Shirt" dataDxfId="23"/>
    <tableColumn id="4" xr3:uid="{89128C49-0667-4328-9CC8-935C76EB5CFF}" name="T-Shirt" dataDxfId="22"/>
    <tableColumn id="5" xr3:uid="{58E02DDF-FF68-4A85-A160-1478AFFC5301}" name="Dress Pants" dataDxfId="21"/>
    <tableColumn id="6" xr3:uid="{3C885A6D-7C6D-47FE-9D20-7FB555626C24}" name="Wedge" dataDxfId="20"/>
    <tableColumn id="7" xr3:uid="{650E09C5-6A05-4527-A321-E6D98102B309}" name="Tie" dataDxfId="19"/>
    <tableColumn id="8" xr3:uid="{B5F54AB4-5997-4EA8-AF06-4966A756DE93}" name="Belt" dataDxfId="18"/>
    <tableColumn id="9" xr3:uid="{8136261F-5775-4352-A73E-8E659AD02B53}" name="Socks" dataDxfId="17"/>
    <tableColumn id="10" xr3:uid="{9DEA83F4-EB2F-4D7E-9C9C-751F43044531}" name="Leather Boots" dataDxfId="16"/>
    <tableColumn id="11" xr3:uid="{1CEE23EA-B0BC-483E-BE3B-570F93C07C1A}" name="Leave Blank" dataDxfId="15"/>
    <tableColumn id="12" xr3:uid="{1D45495D-88A2-4A94-96C4-B047B6ED62D3}" name="Toque" dataDxfId="14"/>
    <tableColumn id="13" xr3:uid="{5954CB37-ED15-4CF3-A1FD-DCA35E0B036C}" name="Tilly" dataDxfId="13"/>
    <tableColumn id="14" xr3:uid="{4EB0159F-D44E-4237-807C-59C05B43CC3A}" name="Parka" dataDxfId="12"/>
    <tableColumn id="15" xr3:uid="{2D7F5042-3E7C-429C-8AFF-8601B19B8A0F}" name="Gloves" dataDxfId="11"/>
    <tableColumn id="16" xr3:uid="{D45A8E58-834C-42E4-980C-B85C418519A9}" name="Leave Blank2" dataDxfId="10"/>
    <tableColumn id="17" xr3:uid="{433672DD-A406-4334-A746-FB02B994A2E4}" name="Beret" dataDxfId="9"/>
    <tableColumn id="18" xr3:uid="{EE18EFD7-E877-490B-B14E-3FC28D0B1264}" name="FTU Tunic" dataDxfId="8"/>
    <tableColumn id="19" xr3:uid="{29AC551F-F02C-4401-9F86-D5A21F3B8962}" name="FTU Pants" dataDxfId="7"/>
    <tableColumn id="20" xr3:uid="{6DB4DDF9-B627-4BC2-B983-0DA0719B49B1}" name="FTU Boots" dataDxfId="6"/>
    <tableColumn id="27" xr3:uid="{84909A50-96B7-4616-B421-ACD5823BBA6B}" name="Column3" dataDxfId="5"/>
    <tableColumn id="26" xr3:uid="{0EFD58A3-59A1-406F-A3FD-C3E38DB387F2}" name="NameTag" dataDxfId="3"/>
    <tableColumn id="21" xr3:uid="{AEFDE823-D276-4BBA-8AAC-39096CA09601}" name="Toggle Done" dataDxfId="4"/>
    <tableColumn id="22" xr3:uid="{F911E964-47BC-4CDC-AAB6-614C3D5EDB11}" name="All Status" data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C960DCCF-DE82-4C92-B58A-F4880B236195}" name="Charlie_Clark_74CD899DExchangeTable" displayName="Charlie_Clark_74CD899DExchangeTable" ref="A37:D38" insertRow="1" totalsRowShown="0" headerRowDxfId="178" dataDxfId="179">
  <autoFilter ref="A37:D38" xr:uid="{C960DCCF-DE82-4C92-B58A-F4880B236195}"/>
  <tableColumns count="4">
    <tableColumn id="1" xr3:uid="{53139B16-2736-4E0E-B10F-4A99C781915D}" name="Date" dataDxfId="183"/>
    <tableColumn id="2" xr3:uid="{0E4D3F5E-5542-4731-815C-42AD2AAE3ED9}" name="Item" dataDxfId="182"/>
    <tableColumn id="3" xr3:uid="{961215F8-9E90-4810-A633-38586B8ABB51}" name="Old Size" dataDxfId="181"/>
    <tableColumn id="4" xr3:uid="{CBC5C102-2314-41B9-86DE-46E9E35B77D3}" name="New Size" dataDxfId="180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9648D0D0-4377-46E1-9A6C-7DBBB4C4E3E7}" name="Isabella_Taylor_D098F288ExchangeTable" displayName="Isabella_Taylor_D098F288ExchangeTable" ref="A37:D38" insertRow="1" totalsRowShown="0" headerRowDxfId="172" dataDxfId="173">
  <autoFilter ref="A37:D38" xr:uid="{9648D0D0-4377-46E1-9A6C-7DBBB4C4E3E7}"/>
  <tableColumns count="4">
    <tableColumn id="1" xr3:uid="{BDAFF5DE-0E2C-4E69-8871-2D0DD3B6AE76}" name="Date" dataDxfId="177"/>
    <tableColumn id="2" xr3:uid="{E5A294C1-3076-4B6A-AE07-5D6A5B123B97}" name="Item" dataDxfId="176"/>
    <tableColumn id="3" xr3:uid="{FF72D0CE-7AA2-452A-9D06-A64D81EFF380}" name="Old Size" dataDxfId="175"/>
    <tableColumn id="4" xr3:uid="{4FD034B4-531F-4772-A674-163BEB72C965}" name="New Size" dataDxfId="174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683084DE-6B94-40AC-B7C4-0D33950AFC77}" name="Banks_Rob_B4DD32A8ExchangeTable" displayName="Banks_Rob_B4DD32A8ExchangeTable" ref="A37:D38" insertRow="1" totalsRowShown="0" headerRowDxfId="166" dataDxfId="167">
  <autoFilter ref="A37:D38" xr:uid="{683084DE-6B94-40AC-B7C4-0D33950AFC77}"/>
  <tableColumns count="4">
    <tableColumn id="1" xr3:uid="{00445072-17FE-4CB2-A7DF-4D2A76F98E3E}" name="Date" dataDxfId="171"/>
    <tableColumn id="2" xr3:uid="{1BB193CB-0C37-416C-8FA3-557AA34E2D6B}" name="Item" dataDxfId="170"/>
    <tableColumn id="3" xr3:uid="{B52E9E55-20D5-4E22-8003-CB8D2D3F98AC}" name="Old Size" dataDxfId="169"/>
    <tableColumn id="4" xr3:uid="{7E72809A-99F1-4BB8-9A99-3B10B4958934}" name="New Size" dataDxfId="168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FBA011FE-ECC9-436A-9391-8EFC2F9B23CD}" name="Rophone_Mike_747A9E83ExchangeTable" displayName="Rophone_Mike_747A9E83ExchangeTable" ref="A37:D38" insertRow="1" totalsRowShown="0" headerRowDxfId="160" dataDxfId="161">
  <autoFilter ref="A37:D38" xr:uid="{FBA011FE-ECC9-436A-9391-8EFC2F9B23CD}"/>
  <tableColumns count="4">
    <tableColumn id="1" xr3:uid="{586BFC4F-F669-4DE2-8952-FF1C5608A383}" name="Date" dataDxfId="165"/>
    <tableColumn id="2" xr3:uid="{6437C50D-FC62-4606-9104-90C3B81B10A5}" name="Item" dataDxfId="164"/>
    <tableColumn id="3" xr3:uid="{1F5910D6-B744-4CB1-8297-DC64148B8CF0}" name="Old Size" dataDxfId="163"/>
    <tableColumn id="4" xr3:uid="{2C399BC8-51D5-4C91-A518-F38B4B06BB26}" name="New Size" dataDxfId="162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75BE15AF-F787-4FA3-B338-A8F743097D02}" name="Christ_Jesus_87519091ExchangeTable" displayName="Christ_Jesus_87519091ExchangeTable" ref="A37:D38" insertRow="1" totalsRowShown="0" headerRowDxfId="154" dataDxfId="155">
  <autoFilter ref="A37:D38" xr:uid="{75BE15AF-F787-4FA3-B338-A8F743097D02}"/>
  <tableColumns count="4">
    <tableColumn id="1" xr3:uid="{7899C2FD-8E0B-422D-9C16-65A6C700201A}" name="Date" dataDxfId="159"/>
    <tableColumn id="2" xr3:uid="{00704434-8C82-4A37-9A0E-23E068305E47}" name="Item" dataDxfId="158"/>
    <tableColumn id="3" xr3:uid="{1F01317C-86AC-4BC4-8BD6-55A8B3B52F39}" name="Old Size" dataDxfId="157"/>
    <tableColumn id="4" xr3:uid="{BDD05A74-5C0A-41D1-B3FD-559538886A2A}" name="New Size" dataDxfId="156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C97E490B-0A60-4426-ACA5-368BE93528C3}" name="Rhea_Dia_A5D0E0B7ExchangeTable" displayName="Rhea_Dia_A5D0E0B7ExchangeTable" ref="A37:D38" insertRow="1" totalsRowShown="0" headerRowDxfId="148" dataDxfId="149">
  <autoFilter ref="A37:D38" xr:uid="{C97E490B-0A60-4426-ACA5-368BE93528C3}"/>
  <tableColumns count="4">
    <tableColumn id="1" xr3:uid="{BE6F4242-1224-478E-A057-78E66EEADC4B}" name="Date" dataDxfId="153"/>
    <tableColumn id="2" xr3:uid="{D9E8AC92-CC86-4334-8FCA-70FDFC11414C}" name="Item" dataDxfId="152"/>
    <tableColumn id="3" xr3:uid="{8C69A34E-59ED-4BB8-8BE8-79AD71F146EB}" name="Old Size" dataDxfId="151"/>
    <tableColumn id="4" xr3:uid="{B0644C6A-E356-44B1-8F7E-323983F1785C}" name="New Size" dataDxfId="150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49AEBA9B-9168-4F19-80F5-84652A2EB208}" name="Rhea_Dia_8BDCFB9FExchangeTable" displayName="Rhea_Dia_8BDCFB9FExchangeTable" ref="A37:D38" insertRow="1" totalsRowShown="0" headerRowDxfId="142" dataDxfId="143">
  <autoFilter ref="A37:D38" xr:uid="{49AEBA9B-9168-4F19-80F5-84652A2EB208}"/>
  <tableColumns count="4">
    <tableColumn id="1" xr3:uid="{4F631A7E-6A3A-48FF-B681-D08BD6BFF20B}" name="Date" dataDxfId="147"/>
    <tableColumn id="2" xr3:uid="{1F3416CD-1829-4540-B63D-74AE94381789}" name="Item" dataDxfId="146"/>
    <tableColumn id="3" xr3:uid="{1D2BCD6D-26AF-4764-85CA-EFB37350A5F6}" name="Old Size" dataDxfId="145"/>
    <tableColumn id="4" xr3:uid="{CB608159-BA19-49EE-B71A-E525ACA1052A}" name="New Size" dataDxfId="144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F26FE654-F858-4F90-853B-AC0AF73E9CD3}" name="Rhea_Dia_D81CFC8EExchangeTable" displayName="Rhea_Dia_D81CFC8EExchangeTable" ref="A37:D38" insertRow="1" totalsRowShown="0" headerRowDxfId="136" dataDxfId="137">
  <autoFilter ref="A37:D38" xr:uid="{F26FE654-F858-4F90-853B-AC0AF73E9CD3}"/>
  <tableColumns count="4">
    <tableColumn id="1" xr3:uid="{940216D6-0759-4E00-BC51-1A0D43D92087}" name="Date" dataDxfId="141"/>
    <tableColumn id="2" xr3:uid="{9BCDA1D7-5AC5-4B00-8848-5EE890F9F991}" name="Item" dataDxfId="140"/>
    <tableColumn id="3" xr3:uid="{487E614B-CE0B-4893-A39C-F36CD7C7C714}" name="Old Size" dataDxfId="139"/>
    <tableColumn id="4" xr3:uid="{EE56ECAD-B17D-4A84-BC7A-79BD3CBB32E8}" name="New Size" dataDxfId="138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BAD99F33-FA08-4866-B410-4AE3E08E5313}" name="Rhea_Dia_BB77129FExchangeTable" displayName="Rhea_Dia_BB77129FExchangeTable" ref="A37:D38" insertRow="1" totalsRowShown="0" headerRowDxfId="130" dataDxfId="131">
  <autoFilter ref="A37:D38" xr:uid="{BAD99F33-FA08-4866-B410-4AE3E08E5313}"/>
  <tableColumns count="4">
    <tableColumn id="1" xr3:uid="{EFC1B4BB-B078-442B-B267-8780BCF304FF}" name="Date" dataDxfId="135"/>
    <tableColumn id="2" xr3:uid="{5500CD27-30A1-44FE-B4CF-105D8D96B290}" name="Item" dataDxfId="134"/>
    <tableColumn id="3" xr3:uid="{D2287C1A-3132-4505-A39C-C483AB98390A}" name="Old Size" dataDxfId="133"/>
    <tableColumn id="4" xr3:uid="{E35E3DFA-F242-4786-AFF9-5583338AE304}" name="New Size" dataDxfId="132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trlProp" Target="../ctrlProps/ctrlProp54.xml"/><Relationship Id="rId7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23"/>
  <sheetViews>
    <sheetView zoomScale="85" zoomScaleNormal="85" workbookViewId="0">
      <selection activeCell="A2" sqref="A2:E23"/>
    </sheetView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5" customHeight="1" x14ac:dyDescent="0.3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59</v>
      </c>
    </row>
    <row r="2" spans="1:15" x14ac:dyDescent="0.3">
      <c r="A2" s="45" t="s">
        <v>97</v>
      </c>
      <c r="B2" s="28" t="s">
        <v>92</v>
      </c>
      <c r="C2" s="29"/>
      <c r="D2" s="69">
        <v>45304.655416666668</v>
      </c>
      <c r="E2" s="70" t="s">
        <v>98</v>
      </c>
    </row>
    <row r="3" spans="1:15" x14ac:dyDescent="0.3">
      <c r="A3" s="45" t="s">
        <v>97</v>
      </c>
      <c r="B3" s="28" t="s">
        <v>92</v>
      </c>
      <c r="C3" s="29"/>
      <c r="D3" s="69">
        <v>45305.70412037037</v>
      </c>
      <c r="E3" s="70" t="s">
        <v>98</v>
      </c>
    </row>
    <row r="4" spans="1:15" x14ac:dyDescent="0.3">
      <c r="A4" s="45" t="s">
        <v>128</v>
      </c>
      <c r="B4" s="28" t="s">
        <v>129</v>
      </c>
      <c r="C4" s="29"/>
      <c r="D4" s="69">
        <v>45304.655428240738</v>
      </c>
      <c r="E4" s="70" t="s">
        <v>150</v>
      </c>
    </row>
    <row r="5" spans="1:15" x14ac:dyDescent="0.3">
      <c r="A5" s="45" t="s">
        <v>128</v>
      </c>
      <c r="B5" s="28" t="s">
        <v>129</v>
      </c>
      <c r="C5" s="29"/>
      <c r="D5" s="69">
        <v>45304.655428240738</v>
      </c>
      <c r="E5" s="70" t="s">
        <v>192</v>
      </c>
    </row>
    <row r="6" spans="1:15" x14ac:dyDescent="0.3">
      <c r="A6" s="45" t="s">
        <v>128</v>
      </c>
      <c r="B6" s="28" t="s">
        <v>129</v>
      </c>
      <c r="C6" s="29"/>
      <c r="D6" s="69">
        <v>45304.655428240738</v>
      </c>
      <c r="E6" s="70" t="s">
        <v>193</v>
      </c>
    </row>
    <row r="7" spans="1:15" x14ac:dyDescent="0.3">
      <c r="A7" s="45" t="s">
        <v>128</v>
      </c>
      <c r="B7" s="28" t="s">
        <v>129</v>
      </c>
      <c r="C7" s="29"/>
      <c r="D7" s="69">
        <v>45304.673483796294</v>
      </c>
      <c r="E7" s="70" t="s">
        <v>198</v>
      </c>
    </row>
    <row r="8" spans="1:15" x14ac:dyDescent="0.3">
      <c r="A8" s="45" t="s">
        <v>128</v>
      </c>
      <c r="B8" s="28" t="s">
        <v>129</v>
      </c>
      <c r="C8" s="29"/>
      <c r="D8" s="69">
        <v>45304.673622685186</v>
      </c>
      <c r="E8" s="70" t="s">
        <v>199</v>
      </c>
    </row>
    <row r="9" spans="1:15" x14ac:dyDescent="0.3">
      <c r="A9" s="45" t="s">
        <v>128</v>
      </c>
      <c r="B9" s="28" t="s">
        <v>129</v>
      </c>
      <c r="C9" s="29"/>
      <c r="D9" s="69">
        <v>45304.673622685186</v>
      </c>
      <c r="E9" s="70" t="s">
        <v>212</v>
      </c>
    </row>
    <row r="10" spans="1:15" x14ac:dyDescent="0.3">
      <c r="A10" s="45" t="s">
        <v>128</v>
      </c>
      <c r="B10" s="28" t="s">
        <v>129</v>
      </c>
      <c r="C10" s="29"/>
      <c r="D10" s="69">
        <v>45305.704131944447</v>
      </c>
      <c r="E10" s="70" t="s">
        <v>150</v>
      </c>
    </row>
    <row r="11" spans="1:15" x14ac:dyDescent="0.3">
      <c r="A11" s="45" t="s">
        <v>128</v>
      </c>
      <c r="B11" s="28" t="s">
        <v>129</v>
      </c>
      <c r="C11" s="29"/>
      <c r="D11" s="69">
        <v>45305.704131944447</v>
      </c>
      <c r="E11" s="70" t="s">
        <v>213</v>
      </c>
    </row>
    <row r="12" spans="1:15" x14ac:dyDescent="0.3">
      <c r="A12" s="45" t="s">
        <v>128</v>
      </c>
      <c r="B12" s="28" t="s">
        <v>129</v>
      </c>
      <c r="C12" s="29"/>
      <c r="D12" s="69">
        <v>45305.704143518517</v>
      </c>
      <c r="E12" s="70" t="s">
        <v>214</v>
      </c>
    </row>
    <row r="13" spans="1:15" x14ac:dyDescent="0.3">
      <c r="A13" s="45" t="s">
        <v>128</v>
      </c>
      <c r="B13" s="28" t="s">
        <v>129</v>
      </c>
      <c r="C13" s="29"/>
      <c r="D13" s="69">
        <v>45305.704143518517</v>
      </c>
      <c r="E13" s="70" t="s">
        <v>215</v>
      </c>
    </row>
    <row r="14" spans="1:15" x14ac:dyDescent="0.3">
      <c r="A14" s="45" t="s">
        <v>126</v>
      </c>
      <c r="B14" s="28" t="s">
        <v>127</v>
      </c>
      <c r="C14" s="29"/>
      <c r="D14" s="69">
        <v>45304.655428240738</v>
      </c>
      <c r="E14" s="70">
        <v>87519091</v>
      </c>
    </row>
    <row r="15" spans="1:15" x14ac:dyDescent="0.3">
      <c r="A15" s="45" t="s">
        <v>126</v>
      </c>
      <c r="B15" s="28" t="s">
        <v>127</v>
      </c>
      <c r="C15" s="29"/>
      <c r="D15" s="69">
        <v>45305.704131944447</v>
      </c>
      <c r="E15" s="70">
        <v>87519091</v>
      </c>
    </row>
    <row r="16" spans="1:15" x14ac:dyDescent="0.3">
      <c r="A16" s="45" t="s">
        <v>124</v>
      </c>
      <c r="B16" s="28" t="s">
        <v>125</v>
      </c>
      <c r="C16" s="29"/>
      <c r="D16" s="69">
        <v>45304.655428240738</v>
      </c>
      <c r="E16" s="70" t="s">
        <v>140</v>
      </c>
    </row>
    <row r="17" spans="1:5" x14ac:dyDescent="0.3">
      <c r="A17" s="45" t="s">
        <v>124</v>
      </c>
      <c r="B17" s="28" t="s">
        <v>125</v>
      </c>
      <c r="C17" s="29"/>
      <c r="D17" s="69">
        <v>45305.704131944447</v>
      </c>
      <c r="E17" s="70" t="s">
        <v>140</v>
      </c>
    </row>
    <row r="18" spans="1:5" x14ac:dyDescent="0.3">
      <c r="A18" s="45" t="s">
        <v>122</v>
      </c>
      <c r="B18" s="28" t="s">
        <v>123</v>
      </c>
      <c r="C18" s="29"/>
      <c r="D18" s="69">
        <v>45304.655416666668</v>
      </c>
      <c r="E18" s="70" t="s">
        <v>131</v>
      </c>
    </row>
    <row r="19" spans="1:5" x14ac:dyDescent="0.3">
      <c r="A19" s="45" t="s">
        <v>122</v>
      </c>
      <c r="B19" s="28" t="s">
        <v>123</v>
      </c>
      <c r="C19" s="29"/>
      <c r="D19" s="69">
        <v>45305.704131944447</v>
      </c>
      <c r="E19" s="70" t="s">
        <v>131</v>
      </c>
    </row>
    <row r="20" spans="1:5" x14ac:dyDescent="0.3">
      <c r="A20" s="45" t="s">
        <v>81</v>
      </c>
      <c r="B20" s="28" t="s">
        <v>104</v>
      </c>
      <c r="C20" s="29"/>
      <c r="D20" s="69">
        <v>45304.655416666668</v>
      </c>
      <c r="E20" s="70" t="s">
        <v>105</v>
      </c>
    </row>
    <row r="21" spans="1:5" x14ac:dyDescent="0.3">
      <c r="A21" s="45" t="s">
        <v>81</v>
      </c>
      <c r="B21" s="28" t="s">
        <v>104</v>
      </c>
      <c r="C21" s="29"/>
      <c r="D21" s="69">
        <v>45305.70412037037</v>
      </c>
      <c r="E21" s="70" t="s">
        <v>105</v>
      </c>
    </row>
    <row r="22" spans="1:5" x14ac:dyDescent="0.3">
      <c r="A22" s="45"/>
      <c r="B22" s="28"/>
      <c r="C22" s="29"/>
      <c r="D22" s="46"/>
      <c r="E22" s="47"/>
    </row>
    <row r="23" spans="1:5" x14ac:dyDescent="0.3">
      <c r="A23" s="45"/>
      <c r="B23" s="28"/>
      <c r="C23" s="29"/>
      <c r="D23" s="46"/>
      <c r="E23" s="47"/>
    </row>
  </sheetData>
  <conditionalFormatting sqref="C2:C23">
    <cfRule type="cellIs" dxfId="129" priority="1" operator="equal">
      <formula>"S.O.S"</formula>
    </cfRule>
    <cfRule type="containsText" dxfId="128" priority="2" operator="containsText" text="UNP">
      <formula>NOT(ISERROR(SEARCH("UNP",C2)))</formula>
    </cfRule>
    <cfRule type="cellIs" dxfId="127" priority="3" operator="equal">
      <formula>"In Stock"</formula>
    </cfRule>
    <cfRule type="containsText" dxfId="126" priority="4" operator="containsText" text="Pick Up">
      <formula>NOT(ISERROR(SEARCH("Pick Up",C2)))</formula>
    </cfRule>
    <cfRule type="cellIs" dxfId="125" priority="9" operator="equal">
      <formula>"Ready To Order"</formula>
    </cfRule>
    <cfRule type="containsText" dxfId="124" priority="10" operator="containsText" text="Ordered">
      <formula>NOT(ISERROR(SEARCH("Ordered",C2)))</formula>
    </cfRule>
    <cfRule type="containsText" dxfId="123" priority="11" operator="containsText" text="Complete">
      <formula>NOT(ISERROR(SEARCH("Complete",C2)))</formula>
    </cfRule>
    <cfRule type="cellIs" dxfId="122" priority="12" operator="equal">
      <formula>"Returned"</formula>
    </cfRule>
  </conditionalFormatting>
  <hyperlinks>
    <hyperlink ref="A2" location="'Charlie_Clark_74CD899D'!A1" display="Clark" xr:uid="{07F6E89D-C9B5-4D69-ADED-8543A468DCD1}"/>
    <hyperlink ref="A20" location="'Isabella_Taylor_D098F288'!A1" display="Taylor" xr:uid="{876E5B47-C50E-4742-9879-98448D82AC62}"/>
    <hyperlink ref="A18" location="'Banks_Rob_B4DD32A8'!A1" display="Rob" xr:uid="{11E3E867-91EA-4860-A684-308ADF98D945}"/>
    <hyperlink ref="A16" location="'Rophone_Mike_747A9E83'!A1" display="Mike" xr:uid="{57635E25-51B7-4233-95A2-49609C8B5BB9}"/>
    <hyperlink ref="A14" location="'Christ_Jesus_87519091'!A1" display="Jesus" xr:uid="{9A00DF62-974E-47D7-BE4A-5765E85C849C}"/>
    <hyperlink ref="A4" location="'Rhea_Dia_A5D0E0B7'!A1" display="Dia" xr:uid="{F606BE81-1ECE-441E-985D-75FAA335788C}"/>
    <hyperlink ref="A5" location="'Rhea_Dia_AE9850BD'!A1" display="Dia" xr:uid="{9D80EFCE-117A-4657-B2A7-DA29CE9357B8}"/>
    <hyperlink ref="A6" location="'Rhea_Dia_CB339199'!A1" display="Dia" xr:uid="{314BC829-5B5D-4F8C-BF19-379E0A201A48}"/>
    <hyperlink ref="A7" location="'Rhea_Dia_B5B45CA9'!A1" display="Dia" xr:uid="{92127F3A-4F88-4314-90AC-D103D6777AA2}"/>
    <hyperlink ref="A8" location="'Rhea_Dia_D1980CB1'!A1" display="Dia" xr:uid="{9DAC04D9-0066-4FD9-BF5E-C7347AD969CE}"/>
    <hyperlink ref="A9" location="'Rhea_Dia_13B124BB'!A1" display="Dia" xr:uid="{7D870EA8-27C9-4566-820E-A59631CB7D70}"/>
    <hyperlink ref="A3" location="'Charlie_Clark_74CD899D'!A1" display="Clark" xr:uid="{DADEB0A3-B738-4605-A908-7D784C2FE435}"/>
    <hyperlink ref="A21" location="'Isabella_Taylor_D098F288'!A1" display="Taylor" xr:uid="{AF4A85E8-331B-47D4-8700-15D48C6C3C09}"/>
    <hyperlink ref="A19" location="'Banks_Rob_B4DD32A8'!A1" display="Rob" xr:uid="{6E68666D-4385-4E1D-941F-471F1E19BEF1}"/>
    <hyperlink ref="A17" location="'Rophone_Mike_747A9E83'!A1" display="Mike" xr:uid="{286874B8-1D58-421B-A622-63578FCC3B1F}"/>
    <hyperlink ref="A15" location="'Christ_Jesus_87519091'!A1" display="Jesus" xr:uid="{6840CA5F-ABBB-463B-BD9F-23741881441A}"/>
    <hyperlink ref="A10" location="'Rhea_Dia_A5D0E0B7'!A1" display="Dia" xr:uid="{92F24BC3-C0B2-41A6-8FA1-1ED014D55B03}"/>
    <hyperlink ref="A11" location="'Rhea_Dia_8BDCFB9F'!A1" display="Dia" xr:uid="{632D05C5-3499-4710-9F3E-305D16E5A174}"/>
    <hyperlink ref="A12" location="'Rhea_Dia_D81CFC8E'!A1" display="Dia" xr:uid="{660D1A46-0B65-4F8A-8E80-C4D65FB94934}"/>
    <hyperlink ref="A13" location="'Rhea_Dia_BB77129F'!A1" display="Dia" xr:uid="{9CE03BB7-23EE-4EB7-8756-26196BFA9CE5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4"/>
  <sheetViews>
    <sheetView workbookViewId="0">
      <selection activeCell="R12" sqref="R12"/>
    </sheetView>
  </sheetViews>
  <sheetFormatPr defaultRowHeight="15.05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</cols>
  <sheetData>
    <row r="1" spans="1:25" ht="41.75" customHeight="1" x14ac:dyDescent="0.3">
      <c r="A1" s="31" t="s">
        <v>57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48</v>
      </c>
      <c r="T1" s="31" t="s">
        <v>32</v>
      </c>
      <c r="U1" s="31"/>
      <c r="V1" s="31" t="s">
        <v>91</v>
      </c>
      <c r="W1" s="30"/>
      <c r="X1" s="30"/>
      <c r="Y1" s="30"/>
    </row>
    <row r="2" spans="1:25" x14ac:dyDescent="0.3">
      <c r="A2" s="50" t="s">
        <v>159</v>
      </c>
      <c r="C2" s="52" t="s">
        <v>163</v>
      </c>
      <c r="D2" s="52" t="s">
        <v>120</v>
      </c>
      <c r="F2" s="52" t="s">
        <v>182</v>
      </c>
      <c r="G2" s="52" t="s">
        <v>181</v>
      </c>
      <c r="H2" s="52" t="s">
        <v>120</v>
      </c>
      <c r="I2" s="52" t="s">
        <v>118</v>
      </c>
      <c r="M2" s="52" t="s">
        <v>118</v>
      </c>
      <c r="N2" s="52" t="s">
        <v>118</v>
      </c>
      <c r="R2" s="52" t="s">
        <v>164</v>
      </c>
    </row>
    <row r="3" spans="1:25" x14ac:dyDescent="0.3">
      <c r="A3" s="50" t="s">
        <v>159</v>
      </c>
      <c r="C3" s="52" t="s">
        <v>163</v>
      </c>
      <c r="D3" s="52" t="s">
        <v>120</v>
      </c>
      <c r="F3" s="52" t="s">
        <v>182</v>
      </c>
      <c r="G3" s="52" t="s">
        <v>181</v>
      </c>
      <c r="H3" s="52" t="s">
        <v>120</v>
      </c>
      <c r="I3" s="52" t="s">
        <v>118</v>
      </c>
      <c r="M3" s="52" t="s">
        <v>118</v>
      </c>
      <c r="N3" s="52" t="s">
        <v>118</v>
      </c>
      <c r="R3" s="52" t="s">
        <v>164</v>
      </c>
    </row>
    <row r="4" spans="1:25" x14ac:dyDescent="0.3">
      <c r="A4" s="50" t="s">
        <v>159</v>
      </c>
      <c r="C4" s="52" t="s">
        <v>163</v>
      </c>
      <c r="D4" s="52" t="s">
        <v>120</v>
      </c>
      <c r="F4" s="52" t="s">
        <v>182</v>
      </c>
      <c r="G4" s="52" t="s">
        <v>181</v>
      </c>
      <c r="H4" s="52" t="s">
        <v>120</v>
      </c>
      <c r="I4" s="52" t="s">
        <v>118</v>
      </c>
      <c r="M4" s="52" t="s">
        <v>118</v>
      </c>
      <c r="N4" s="52" t="s">
        <v>118</v>
      </c>
      <c r="R4" s="52" t="s">
        <v>164</v>
      </c>
    </row>
  </sheetData>
  <hyperlinks>
    <hyperlink ref="A2" location="Rhea_Dia_A5D0E0B7!A1" display="Dia, Rhea" xr:uid="{43DD1415-CAA1-4AFC-89BC-3051DD57599F}"/>
    <hyperlink ref="A3" location="Rhea_Dia_AE9850BD!A1" display="Dia, Rhea" xr:uid="{480B5D18-FEC1-4FF3-AA45-2A6F8DCFEBF4}"/>
    <hyperlink ref="A4" location="Rhea_Dia_CB339199!A1" display="Dia, Rhea" xr:uid="{5EEBB351-FA43-4301-A687-09434047B53D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149629</xdr:colOff>
                    <xdr:row>0</xdr:row>
                    <xdr:rowOff>49876</xdr:rowOff>
                  </from>
                  <to>
                    <xdr:col>24</xdr:col>
                    <xdr:colOff>532015</xdr:colOff>
                    <xdr:row>0</xdr:row>
                    <xdr:rowOff>440575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5" r:id="rId5" name="Complete1">
              <controlPr defaultSize="0" print="0" autoFill="0" autoPict="0" macro="[0]!'markPickUpAsComplete &quot;Rhea_Dia_A5D0E0B7&quot;, 1'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6" r:id="rId6" name="Complete2">
              <controlPr defaultSize="0" print="0" autoFill="0" autoPict="0" macro="[0]!'markPickUpAsComplete &quot;Rhea_Dia_AE9850BD&quot;, 2'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7" r:id="rId7" name="Complete3">
              <controlPr defaultSize="0" print="0" autoFill="0" autoPict="0" macro="[0]!'markPickUpAsComplete &quot;Rhea_Dia_CB339199&quot;, 3'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11"/>
  <sheetViews>
    <sheetView zoomScale="85" zoomScaleNormal="85" workbookViewId="0">
      <selection activeCell="A4" sqref="A4"/>
    </sheetView>
  </sheetViews>
  <sheetFormatPr defaultRowHeight="15.05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65" customHeight="1" x14ac:dyDescent="0.3">
      <c r="A1" s="36" t="s">
        <v>42</v>
      </c>
      <c r="B1" s="32" t="s">
        <v>45</v>
      </c>
      <c r="C1" s="33" t="s">
        <v>75</v>
      </c>
      <c r="D1" s="55" t="s">
        <v>76</v>
      </c>
      <c r="E1" s="55"/>
      <c r="F1" s="39" t="s">
        <v>77</v>
      </c>
      <c r="G1" s="41" t="s">
        <v>64</v>
      </c>
      <c r="H1" s="34" t="s">
        <v>73</v>
      </c>
      <c r="I1" s="35" t="s">
        <v>78</v>
      </c>
      <c r="L1" s="37" t="s">
        <v>96</v>
      </c>
      <c r="M1" s="44" t="s">
        <v>93</v>
      </c>
      <c r="N1" s="43" t="s">
        <v>94</v>
      </c>
      <c r="O1" s="42" t="s">
        <v>95</v>
      </c>
    </row>
    <row r="2" spans="1:24" ht="37.35" customHeight="1" x14ac:dyDescent="0.3">
      <c r="A2" s="31" t="s">
        <v>57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79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80</v>
      </c>
      <c r="Q2" s="31" t="s">
        <v>33</v>
      </c>
      <c r="R2" s="31" t="s">
        <v>31</v>
      </c>
      <c r="S2" s="31" t="s">
        <v>48</v>
      </c>
      <c r="T2" s="31" t="s">
        <v>32</v>
      </c>
      <c r="U2" s="31" t="s">
        <v>90</v>
      </c>
      <c r="V2" s="31" t="s">
        <v>91</v>
      </c>
      <c r="W2" s="31" t="s">
        <v>74</v>
      </c>
      <c r="X2" s="83" t="s">
        <v>188</v>
      </c>
    </row>
    <row r="3" spans="1:24" x14ac:dyDescent="0.3">
      <c r="A3" s="40" t="s">
        <v>185</v>
      </c>
      <c r="B3" s="33">
        <v>7046</v>
      </c>
      <c r="C3" s="33" t="s">
        <v>100</v>
      </c>
      <c r="D3" s="33" t="s">
        <v>53</v>
      </c>
      <c r="E3" s="33">
        <v>7058</v>
      </c>
      <c r="F3" s="32"/>
      <c r="G3" s="33" t="s">
        <v>55</v>
      </c>
      <c r="H3" s="33" t="s">
        <v>86</v>
      </c>
      <c r="I3" s="32" t="s">
        <v>65</v>
      </c>
      <c r="J3" s="33" t="s">
        <v>83</v>
      </c>
      <c r="K3" s="48"/>
      <c r="L3" s="33" t="s">
        <v>51</v>
      </c>
      <c r="M3" s="33" t="s">
        <v>62</v>
      </c>
      <c r="N3" s="33" t="s">
        <v>62</v>
      </c>
      <c r="O3" s="33">
        <v>7656</v>
      </c>
      <c r="P3" s="48"/>
      <c r="Q3" s="32"/>
      <c r="R3" s="33">
        <v>6748</v>
      </c>
      <c r="S3" s="32"/>
      <c r="T3" s="32"/>
      <c r="U3" s="49"/>
      <c r="V3" s="38" t="s">
        <v>97</v>
      </c>
      <c r="W3" s="37"/>
      <c r="X3" s="84" t="s">
        <v>189</v>
      </c>
    </row>
    <row r="4" spans="1:24" x14ac:dyDescent="0.3">
      <c r="A4" s="40" t="s">
        <v>110</v>
      </c>
      <c r="B4" s="33">
        <v>8040</v>
      </c>
      <c r="C4" s="33" t="s">
        <v>70</v>
      </c>
      <c r="D4" s="33" t="s">
        <v>67</v>
      </c>
      <c r="E4" s="32"/>
      <c r="F4" s="33">
        <v>6.375</v>
      </c>
      <c r="G4" s="32" t="s">
        <v>88</v>
      </c>
      <c r="H4" s="32"/>
      <c r="I4" s="32" t="s">
        <v>65</v>
      </c>
      <c r="J4" s="33" t="s">
        <v>83</v>
      </c>
      <c r="K4" s="48"/>
      <c r="L4" s="33" t="s">
        <v>51</v>
      </c>
      <c r="M4" s="33" t="s">
        <v>72</v>
      </c>
      <c r="N4" s="33" t="s">
        <v>72</v>
      </c>
      <c r="O4" s="33">
        <v>7644</v>
      </c>
      <c r="P4" s="48"/>
      <c r="Q4" s="32">
        <v>6.125</v>
      </c>
      <c r="R4" s="33">
        <v>7640</v>
      </c>
      <c r="S4" s="32"/>
      <c r="T4" s="33" t="s">
        <v>108</v>
      </c>
      <c r="U4" s="49"/>
      <c r="V4" s="38" t="s">
        <v>81</v>
      </c>
      <c r="W4" s="81"/>
      <c r="X4" s="85" t="s">
        <v>189</v>
      </c>
    </row>
    <row r="5" spans="1:24" x14ac:dyDescent="0.3">
      <c r="A5" s="40" t="s">
        <v>160</v>
      </c>
      <c r="B5" s="51">
        <v>6736</v>
      </c>
      <c r="C5" s="33">
        <v>16</v>
      </c>
      <c r="D5" s="33" t="s">
        <v>118</v>
      </c>
      <c r="E5" s="33">
        <v>6731</v>
      </c>
      <c r="F5" s="33">
        <v>7</v>
      </c>
      <c r="G5" s="51" t="s">
        <v>181</v>
      </c>
      <c r="H5" s="51" t="s">
        <v>181</v>
      </c>
      <c r="I5" s="32"/>
      <c r="J5" s="32"/>
      <c r="K5" s="48"/>
      <c r="L5" s="32"/>
      <c r="M5" s="51" t="s">
        <v>118</v>
      </c>
      <c r="N5" s="51" t="s">
        <v>118</v>
      </c>
      <c r="O5" s="33">
        <v>7040</v>
      </c>
      <c r="P5" s="48"/>
      <c r="Q5" s="32">
        <v>7</v>
      </c>
      <c r="R5" s="51">
        <v>6736</v>
      </c>
      <c r="S5" s="51">
        <v>6734</v>
      </c>
      <c r="T5" s="32"/>
      <c r="U5" s="49"/>
      <c r="V5" s="38" t="s">
        <v>122</v>
      </c>
      <c r="W5" s="81"/>
      <c r="X5" s="85" t="s">
        <v>190</v>
      </c>
    </row>
    <row r="6" spans="1:24" x14ac:dyDescent="0.3">
      <c r="A6" s="40" t="s">
        <v>161</v>
      </c>
      <c r="B6" s="51">
        <v>8046</v>
      </c>
      <c r="C6" s="33">
        <v>17.5</v>
      </c>
      <c r="D6" s="33" t="s">
        <v>119</v>
      </c>
      <c r="E6" s="33">
        <v>7644</v>
      </c>
      <c r="F6" s="33">
        <v>7.5</v>
      </c>
      <c r="G6" s="33" t="s">
        <v>119</v>
      </c>
      <c r="H6" s="33" t="s">
        <v>119</v>
      </c>
      <c r="I6" s="51" t="s">
        <v>67</v>
      </c>
      <c r="J6" s="32"/>
      <c r="K6" s="48"/>
      <c r="L6" s="32"/>
      <c r="M6" s="33" t="s">
        <v>119</v>
      </c>
      <c r="N6" s="33" t="s">
        <v>119</v>
      </c>
      <c r="O6" s="33">
        <v>7648</v>
      </c>
      <c r="P6" s="48"/>
      <c r="Q6" s="71">
        <v>7.5</v>
      </c>
      <c r="R6" s="33">
        <v>7648</v>
      </c>
      <c r="S6" s="33">
        <v>7646</v>
      </c>
      <c r="T6" s="32"/>
      <c r="U6" s="49"/>
      <c r="V6" s="38" t="s">
        <v>124</v>
      </c>
      <c r="W6" s="81"/>
      <c r="X6" s="85" t="s">
        <v>190</v>
      </c>
    </row>
    <row r="7" spans="1:24" x14ac:dyDescent="0.3">
      <c r="A7" s="40" t="s">
        <v>186</v>
      </c>
      <c r="B7" s="51">
        <v>6440</v>
      </c>
      <c r="C7" s="33">
        <v>16.5</v>
      </c>
      <c r="D7" s="33" t="s">
        <v>67</v>
      </c>
      <c r="E7" s="33">
        <v>6430</v>
      </c>
      <c r="F7" s="51">
        <v>7</v>
      </c>
      <c r="G7" s="51" t="s">
        <v>181</v>
      </c>
      <c r="H7" s="51" t="s">
        <v>181</v>
      </c>
      <c r="I7" s="51" t="s">
        <v>120</v>
      </c>
      <c r="J7" s="32"/>
      <c r="K7" s="48"/>
      <c r="L7" s="32"/>
      <c r="M7" s="51" t="s">
        <v>118</v>
      </c>
      <c r="N7" s="51" t="s">
        <v>118</v>
      </c>
      <c r="O7" s="51">
        <v>6444</v>
      </c>
      <c r="P7" s="48"/>
      <c r="Q7" s="32">
        <v>7</v>
      </c>
      <c r="R7" s="33">
        <v>6440</v>
      </c>
      <c r="S7" s="51">
        <v>6430</v>
      </c>
      <c r="T7" s="32"/>
      <c r="U7" s="49"/>
      <c r="V7" s="38" t="s">
        <v>126</v>
      </c>
      <c r="W7" s="81"/>
      <c r="X7" s="85" t="s">
        <v>190</v>
      </c>
    </row>
    <row r="8" spans="1:24" x14ac:dyDescent="0.3">
      <c r="A8" s="40" t="s">
        <v>159</v>
      </c>
      <c r="B8" s="51">
        <v>6432</v>
      </c>
      <c r="C8" s="41">
        <v>13</v>
      </c>
      <c r="D8" s="41" t="s">
        <v>120</v>
      </c>
      <c r="E8" s="33">
        <v>6427</v>
      </c>
      <c r="F8" s="41">
        <v>7</v>
      </c>
      <c r="G8" s="41" t="s">
        <v>181</v>
      </c>
      <c r="H8" s="41" t="s">
        <v>120</v>
      </c>
      <c r="I8" s="41" t="s">
        <v>118</v>
      </c>
      <c r="J8" s="51" t="s">
        <v>121</v>
      </c>
      <c r="K8" s="48"/>
      <c r="L8" s="32"/>
      <c r="M8" s="41" t="s">
        <v>118</v>
      </c>
      <c r="N8" s="41" t="s">
        <v>118</v>
      </c>
      <c r="O8" s="51">
        <v>6436</v>
      </c>
      <c r="P8" s="48"/>
      <c r="Q8" s="32">
        <v>7</v>
      </c>
      <c r="R8" s="41">
        <v>6432</v>
      </c>
      <c r="S8" s="51">
        <v>6430</v>
      </c>
      <c r="T8" s="32"/>
      <c r="U8" s="49"/>
      <c r="V8" s="38" t="s">
        <v>128</v>
      </c>
      <c r="W8" s="81"/>
      <c r="X8" s="85" t="s">
        <v>191</v>
      </c>
    </row>
    <row r="9" spans="1:24" x14ac:dyDescent="0.3">
      <c r="A9" s="40" t="s">
        <v>159</v>
      </c>
      <c r="B9" s="51">
        <v>6432</v>
      </c>
      <c r="C9" s="41">
        <v>13</v>
      </c>
      <c r="D9" s="41" t="s">
        <v>120</v>
      </c>
      <c r="E9" s="33">
        <v>6427</v>
      </c>
      <c r="F9" s="41">
        <v>7</v>
      </c>
      <c r="G9" s="41" t="s">
        <v>181</v>
      </c>
      <c r="H9" s="41" t="s">
        <v>120</v>
      </c>
      <c r="I9" s="41" t="s">
        <v>118</v>
      </c>
      <c r="J9" s="51" t="s">
        <v>121</v>
      </c>
      <c r="K9" s="48"/>
      <c r="L9" s="32"/>
      <c r="M9" s="41" t="s">
        <v>118</v>
      </c>
      <c r="N9" s="41" t="s">
        <v>118</v>
      </c>
      <c r="O9" s="51">
        <v>6436</v>
      </c>
      <c r="P9" s="48"/>
      <c r="Q9" s="32">
        <v>7</v>
      </c>
      <c r="R9" s="41">
        <v>6432</v>
      </c>
      <c r="S9" s="51">
        <v>6430</v>
      </c>
      <c r="T9" s="32"/>
      <c r="U9" s="49"/>
      <c r="V9" s="38" t="s">
        <v>128</v>
      </c>
      <c r="W9" s="81"/>
      <c r="X9" s="85" t="s">
        <v>191</v>
      </c>
    </row>
    <row r="10" spans="1:24" x14ac:dyDescent="0.3">
      <c r="A10" s="40" t="s">
        <v>159</v>
      </c>
      <c r="B10" s="32">
        <v>6432</v>
      </c>
      <c r="C10" s="32" t="s">
        <v>200</v>
      </c>
      <c r="D10" s="32" t="s">
        <v>120</v>
      </c>
      <c r="E10" s="32" t="s">
        <v>202</v>
      </c>
      <c r="F10" s="32">
        <v>7</v>
      </c>
      <c r="G10" s="32" t="s">
        <v>55</v>
      </c>
      <c r="H10" s="32" t="s">
        <v>120</v>
      </c>
      <c r="I10" s="32" t="s">
        <v>205</v>
      </c>
      <c r="J10" s="32" t="s">
        <v>121</v>
      </c>
      <c r="K10" s="48"/>
      <c r="L10" s="32" t="s">
        <v>51</v>
      </c>
      <c r="M10" s="32" t="s">
        <v>67</v>
      </c>
      <c r="N10" s="32">
        <v>6436</v>
      </c>
      <c r="O10" s="32" t="s">
        <v>207</v>
      </c>
      <c r="P10" s="48"/>
      <c r="Q10" s="32">
        <v>7</v>
      </c>
      <c r="R10" s="32">
        <v>6432</v>
      </c>
      <c r="S10" s="32">
        <v>6426</v>
      </c>
      <c r="T10" s="32" t="s">
        <v>210</v>
      </c>
      <c r="U10" s="49"/>
      <c r="V10" s="38" t="s">
        <v>128</v>
      </c>
      <c r="W10" s="81"/>
      <c r="X10" s="85" t="s">
        <v>216</v>
      </c>
    </row>
    <row r="11" spans="1:24" x14ac:dyDescent="0.3">
      <c r="A11" s="40" t="s">
        <v>159</v>
      </c>
      <c r="B11" s="51">
        <v>6432</v>
      </c>
      <c r="C11" s="41">
        <v>13</v>
      </c>
      <c r="D11" s="41" t="s">
        <v>120</v>
      </c>
      <c r="E11" s="33">
        <v>6427</v>
      </c>
      <c r="F11" s="41">
        <v>7</v>
      </c>
      <c r="G11" s="41" t="s">
        <v>181</v>
      </c>
      <c r="H11" s="41" t="s">
        <v>120</v>
      </c>
      <c r="I11" s="41" t="s">
        <v>118</v>
      </c>
      <c r="J11" s="51" t="s">
        <v>121</v>
      </c>
      <c r="K11" s="48"/>
      <c r="L11" s="32"/>
      <c r="M11" s="41" t="s">
        <v>118</v>
      </c>
      <c r="N11" s="41" t="s">
        <v>118</v>
      </c>
      <c r="O11" s="51">
        <v>6436</v>
      </c>
      <c r="P11" s="48"/>
      <c r="Q11" s="32">
        <v>7</v>
      </c>
      <c r="R11" s="41">
        <v>6432</v>
      </c>
      <c r="S11" s="51">
        <v>6430</v>
      </c>
      <c r="T11" s="32"/>
      <c r="U11" s="49"/>
      <c r="V11" s="38" t="s">
        <v>128</v>
      </c>
      <c r="W11" s="81"/>
      <c r="X11" s="85" t="s">
        <v>191</v>
      </c>
    </row>
  </sheetData>
  <mergeCells count="1">
    <mergeCell ref="D1:E1"/>
  </mergeCells>
  <phoneticPr fontId="14" type="noConversion"/>
  <conditionalFormatting sqref="X3:X11">
    <cfRule type="cellIs" dxfId="121" priority="1" operator="equal">
      <formula>"S.O.S"</formula>
    </cfRule>
    <cfRule type="containsText" dxfId="120" priority="2" operator="containsText" text="UNP">
      <formula>NOT(ISERROR(SEARCH("UNP",X3)))</formula>
    </cfRule>
    <cfRule type="cellIs" dxfId="119" priority="3" operator="equal">
      <formula>"In Stock"</formula>
    </cfRule>
    <cfRule type="containsText" dxfId="118" priority="4" operator="containsText" text="Pick Up">
      <formula>NOT(ISERROR(SEARCH("Pick Up",X3)))</formula>
    </cfRule>
    <cfRule type="cellIs" dxfId="117" priority="5" operator="equal">
      <formula>"Ready To Order"</formula>
    </cfRule>
    <cfRule type="containsText" dxfId="116" priority="6" operator="containsText" text="Ordered">
      <formula>NOT(ISERROR(SEARCH("Ordered",X3)))</formula>
    </cfRule>
    <cfRule type="containsText" dxfId="115" priority="7" operator="containsText" text="Complete">
      <formula>NOT(ISERROR(SEARCH("Complete",X3)))</formula>
    </cfRule>
    <cfRule type="cellIs" dxfId="114" priority="8" operator="equal">
      <formula>"Returned"</formula>
    </cfRule>
  </conditionalFormatting>
  <hyperlinks>
    <hyperlink ref="A1" location="Menu!A1" display="Back to Menu" xr:uid="{2F36453C-1B65-4911-A569-6D05EA005156}"/>
    <hyperlink ref="A3" location="Charlie_Clark_74CD899D!A1" display="Clark, Charlie" xr:uid="{FD6EEFAF-BDAD-40E0-AA9E-38A2EC5C1618}"/>
    <hyperlink ref="A4" location="Isabella_Taylor_D098F288!A1" display="Taylor, Isabella" xr:uid="{BF34B67A-30A2-4516-A3A7-9A6CA0D6F22F}"/>
    <hyperlink ref="A5" location="Banks_Rob_B4DD32A8!A1" display="Rob, Banks" xr:uid="{AB31F19D-C817-49DA-BA57-CA910252F751}"/>
    <hyperlink ref="A6" location="Rophone_Mike_747A9E83!A1" display="Mike, Rophone" xr:uid="{BE66F7E0-6774-41EB-BF7D-45E1C766FF46}"/>
    <hyperlink ref="A7" location="Christ_Jesus_87519091!A1" display="Jesus, Christ" xr:uid="{2817846A-CEDF-48FF-BEC3-B61EC5B4E02C}"/>
    <hyperlink ref="A8" location="Rhea_Dia_A5D0E0B7!A1" display="Dia, Rhea" xr:uid="{CB0A3BD2-CE77-4177-BC9D-CC79E4686DB8}"/>
    <hyperlink ref="A9" location="Rhea_Dia_8BDCFB9F!A1" display="Dia, Rhea" xr:uid="{BE683C1E-ECB9-449A-9EF7-C48AD65F1D28}"/>
    <hyperlink ref="A10" location="Rhea_Dia_D81CFC8E!A1" display="Dia, Rhea" xr:uid="{4E6D2087-92F1-4B28-8FC8-AA8E00ADB34D}"/>
    <hyperlink ref="A11" location="Rhea_Dia_BB77129F!A1" display="Dia, Rhea" xr:uid="{E57572C2-ED96-4F81-9323-69AE4896A0A5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218" r:id="rId4" name="Toggle2">
              <controlPr defaultSize="0" print="0" autoFill="0" autoPict="0" macro="[0]!'togglePersonAsComplete 3'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19" r:id="rId5" name="Toggle3">
              <controlPr defaultSize="0" print="0" autoFill="0" autoPict="0" macro="[0]!'togglePersonAsComplete 4'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0" r:id="rId6" name="Toggle4">
              <controlPr defaultSize="0" print="0" autoFill="0" autoPict="0" macro="[0]!'togglePersonAsComplete 5'">
                <anchor moveWithCells="1" siz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1" r:id="rId7" name="Toggle5">
              <controlPr defaultSize="0" print="0" autoFill="0" autoPict="0" macro="[0]!'togglePersonAsComplete 6'">
                <anchor moveWithCells="1" sizeWithCells="1">
                  <from>
                    <xdr:col>22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2" r:id="rId8" name="Toggle6">
              <controlPr defaultSize="0" print="0" autoFill="0" autoPict="0" macro="[0]!'togglePersonAsComplete 7'">
                <anchor moveWithCells="1" sizeWithCells="1">
                  <from>
                    <xdr:col>22</xdr:col>
                    <xdr:colOff>0</xdr:colOff>
                    <xdr:row>6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3" r:id="rId9" name="Toggle7">
              <controlPr defaultSize="0" print="0" autoFill="0" autoPict="0" macro="[0]!'togglePersonAsComplete 8'">
                <anchor moveWithCells="1" sizeWithCells="1">
                  <from>
                    <xdr:col>22</xdr:col>
                    <xdr:colOff>0</xdr:colOff>
                    <xdr:row>7</xdr:row>
                    <xdr:rowOff>0</xdr:rowOff>
                  </from>
                  <to>
                    <xdr:col>23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4" r:id="rId10" name="Toggle8">
              <controlPr defaultSize="0" print="0" autoFill="0" autoPict="0" macro="[0]!'togglePersonAsComplete 9'">
                <anchor moveWithCells="1" siz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5" r:id="rId11" name="Toggle9">
              <controlPr defaultSize="0" print="0" autoFill="0" autoPict="0" macro="[0]!'togglePersonAsComplete 10'">
                <anchor moveWithCells="1" sizeWithCells="1">
                  <from>
                    <xdr:col>22</xdr:col>
                    <xdr:colOff>0</xdr:colOff>
                    <xdr:row>9</xdr:row>
                    <xdr:rowOff>0</xdr:rowOff>
                  </from>
                  <to>
                    <xdr:col>23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6" r:id="rId12" name="Toggle10">
              <controlPr defaultSize="0" print="0" autoFill="0" autoPict="0" macro="[0]!'togglePersonAsComplete 11'">
                <anchor moveWithCells="1" sizeWithCells="1">
                  <from>
                    <xdr:col>22</xdr:col>
                    <xdr:colOff>0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F10"/>
  <sheetViews>
    <sheetView workbookViewId="0">
      <selection activeCell="P26" sqref="P26"/>
    </sheetView>
  </sheetViews>
  <sheetFormatPr defaultRowHeight="15.05" x14ac:dyDescent="0.3"/>
  <cols>
    <col min="1" max="28" width="8.88671875" style="37"/>
    <col min="29" max="29" width="10.109375" style="37" customWidth="1"/>
    <col min="30" max="16384" width="8.88671875" style="37"/>
  </cols>
  <sheetData>
    <row r="1" spans="1:32" ht="20.95" x14ac:dyDescent="0.3">
      <c r="A1" s="72" t="s">
        <v>112</v>
      </c>
      <c r="B1" s="72" t="s">
        <v>113</v>
      </c>
      <c r="C1" s="73" t="s">
        <v>111</v>
      </c>
      <c r="D1" s="72" t="s">
        <v>9</v>
      </c>
      <c r="E1" s="73" t="s">
        <v>11</v>
      </c>
      <c r="F1" s="73" t="s">
        <v>12</v>
      </c>
      <c r="G1" s="73" t="s">
        <v>13</v>
      </c>
      <c r="H1" s="73" t="s">
        <v>52</v>
      </c>
      <c r="I1" s="73" t="s">
        <v>15</v>
      </c>
      <c r="J1" s="73" t="s">
        <v>16</v>
      </c>
      <c r="K1" s="73" t="s">
        <v>17</v>
      </c>
      <c r="L1" s="73" t="s">
        <v>18</v>
      </c>
      <c r="M1" s="73" t="s">
        <v>195</v>
      </c>
      <c r="N1" s="73" t="s">
        <v>194</v>
      </c>
      <c r="O1" s="73" t="s">
        <v>114</v>
      </c>
      <c r="P1" s="73" t="s">
        <v>24</v>
      </c>
      <c r="Q1" s="73" t="s">
        <v>23</v>
      </c>
      <c r="R1" s="73" t="s">
        <v>115</v>
      </c>
      <c r="S1" s="73" t="s">
        <v>26</v>
      </c>
      <c r="T1" s="73" t="s">
        <v>116</v>
      </c>
      <c r="U1" s="73" t="s">
        <v>117</v>
      </c>
      <c r="V1" s="73" t="s">
        <v>48</v>
      </c>
      <c r="W1" s="73" t="s">
        <v>32</v>
      </c>
      <c r="X1" s="73" t="s">
        <v>33</v>
      </c>
      <c r="Y1" s="73" t="s">
        <v>29</v>
      </c>
      <c r="Z1" s="73" t="s">
        <v>30</v>
      </c>
      <c r="AA1" s="73" t="s">
        <v>28</v>
      </c>
      <c r="AB1" s="73" t="s">
        <v>22</v>
      </c>
      <c r="AC1" s="73" t="s">
        <v>41</v>
      </c>
      <c r="AD1" s="73" t="s">
        <v>3</v>
      </c>
      <c r="AE1" s="73" t="s">
        <v>54</v>
      </c>
      <c r="AF1" s="73" t="s">
        <v>196</v>
      </c>
    </row>
    <row r="2" spans="1:32" x14ac:dyDescent="0.3">
      <c r="A2" s="74" t="s">
        <v>97</v>
      </c>
      <c r="B2" s="74" t="s">
        <v>92</v>
      </c>
      <c r="C2" s="74" t="s">
        <v>44</v>
      </c>
      <c r="D2" s="74">
        <v>25.4</v>
      </c>
      <c r="E2" s="74">
        <v>13.3</v>
      </c>
      <c r="F2" s="74">
        <v>46</v>
      </c>
      <c r="G2" s="74">
        <v>56.7</v>
      </c>
      <c r="H2" s="74">
        <v>56.8</v>
      </c>
      <c r="I2" s="74">
        <v>66.8</v>
      </c>
      <c r="J2" s="74">
        <v>293.89999999999998</v>
      </c>
      <c r="K2" s="74">
        <v>126</v>
      </c>
      <c r="L2" s="75">
        <v>7046</v>
      </c>
      <c r="M2" s="75">
        <v>7058</v>
      </c>
      <c r="N2" s="75" t="s">
        <v>100</v>
      </c>
      <c r="O2" s="75" t="s">
        <v>53</v>
      </c>
      <c r="P2" s="76"/>
      <c r="Q2" s="75" t="s">
        <v>55</v>
      </c>
      <c r="R2" s="75" t="s">
        <v>86</v>
      </c>
      <c r="S2" s="77" t="s">
        <v>65</v>
      </c>
      <c r="T2" s="75" t="s">
        <v>83</v>
      </c>
      <c r="U2" s="75">
        <v>6748</v>
      </c>
      <c r="V2" s="76"/>
      <c r="W2" s="76"/>
      <c r="X2" s="76"/>
      <c r="Y2" s="75" t="s">
        <v>62</v>
      </c>
      <c r="Z2" s="75">
        <v>7656</v>
      </c>
      <c r="AA2" s="75" t="s">
        <v>51</v>
      </c>
      <c r="AB2" s="75" t="s">
        <v>62</v>
      </c>
      <c r="AC2" s="78" t="s">
        <v>98</v>
      </c>
      <c r="AD2" s="78" t="s">
        <v>43</v>
      </c>
      <c r="AE2" s="74">
        <v>7.8</v>
      </c>
    </row>
    <row r="3" spans="1:32" x14ac:dyDescent="0.3">
      <c r="A3" s="74" t="s">
        <v>81</v>
      </c>
      <c r="B3" s="74" t="s">
        <v>104</v>
      </c>
      <c r="C3" s="74" t="s">
        <v>69</v>
      </c>
      <c r="D3" s="74">
        <v>19</v>
      </c>
      <c r="E3" s="74">
        <v>13</v>
      </c>
      <c r="F3" s="74">
        <v>38.1</v>
      </c>
      <c r="G3" s="74">
        <v>61.3</v>
      </c>
      <c r="H3" s="74">
        <v>44.2</v>
      </c>
      <c r="I3" s="74">
        <v>70</v>
      </c>
      <c r="J3" s="74">
        <v>317.10000000000002</v>
      </c>
      <c r="K3" s="74">
        <v>100.2</v>
      </c>
      <c r="L3" s="75">
        <v>8040</v>
      </c>
      <c r="M3" s="74"/>
      <c r="N3" s="75" t="s">
        <v>70</v>
      </c>
      <c r="O3" s="75" t="s">
        <v>67</v>
      </c>
      <c r="P3" s="75" t="s">
        <v>166</v>
      </c>
      <c r="Q3" s="77" t="s">
        <v>88</v>
      </c>
      <c r="R3" s="76"/>
      <c r="S3" s="77" t="s">
        <v>65</v>
      </c>
      <c r="T3" s="75" t="s">
        <v>83</v>
      </c>
      <c r="U3" s="75">
        <v>7640</v>
      </c>
      <c r="V3" s="76"/>
      <c r="W3" s="75" t="s">
        <v>108</v>
      </c>
      <c r="X3" s="77" t="s">
        <v>187</v>
      </c>
      <c r="Y3" s="75" t="s">
        <v>72</v>
      </c>
      <c r="Z3" s="75">
        <v>7644</v>
      </c>
      <c r="AA3" s="75" t="s">
        <v>51</v>
      </c>
      <c r="AB3" s="75" t="s">
        <v>72</v>
      </c>
      <c r="AC3" s="78" t="s">
        <v>105</v>
      </c>
      <c r="AD3" s="78" t="s">
        <v>43</v>
      </c>
      <c r="AE3" s="74">
        <v>7.4</v>
      </c>
    </row>
    <row r="4" spans="1:32" x14ac:dyDescent="0.3">
      <c r="A4" s="74" t="s">
        <v>122</v>
      </c>
      <c r="B4" s="74" t="s">
        <v>123</v>
      </c>
      <c r="C4" s="74" t="s">
        <v>69</v>
      </c>
      <c r="D4" s="74">
        <v>22</v>
      </c>
      <c r="E4" s="74">
        <v>16</v>
      </c>
      <c r="F4" s="74">
        <v>35</v>
      </c>
      <c r="G4" s="74">
        <v>31</v>
      </c>
      <c r="H4" s="74">
        <v>37</v>
      </c>
      <c r="I4" s="74">
        <v>66</v>
      </c>
      <c r="J4" s="74">
        <v>39</v>
      </c>
      <c r="K4" s="74">
        <v>13</v>
      </c>
      <c r="L4" s="79">
        <v>6736</v>
      </c>
      <c r="M4" s="75" t="s">
        <v>162</v>
      </c>
      <c r="N4" s="75">
        <v>16</v>
      </c>
      <c r="O4" s="75" t="s">
        <v>118</v>
      </c>
      <c r="P4" s="75">
        <v>7</v>
      </c>
      <c r="Q4" s="79" t="s">
        <v>181</v>
      </c>
      <c r="R4" s="79" t="s">
        <v>181</v>
      </c>
      <c r="S4" s="76"/>
      <c r="T4" s="76"/>
      <c r="U4" s="79">
        <v>6736</v>
      </c>
      <c r="V4" s="79">
        <v>6734</v>
      </c>
      <c r="W4" s="76"/>
      <c r="X4" s="77" t="s">
        <v>182</v>
      </c>
      <c r="Y4" s="79" t="s">
        <v>118</v>
      </c>
      <c r="Z4" s="75">
        <v>7040</v>
      </c>
      <c r="AA4" s="76"/>
      <c r="AB4" s="79" t="s">
        <v>118</v>
      </c>
      <c r="AC4" s="78" t="s">
        <v>131</v>
      </c>
      <c r="AD4" s="78" t="s">
        <v>130</v>
      </c>
      <c r="AE4" s="74"/>
    </row>
    <row r="5" spans="1:32" x14ac:dyDescent="0.3">
      <c r="A5" s="74" t="s">
        <v>124</v>
      </c>
      <c r="B5" s="74" t="s">
        <v>125</v>
      </c>
      <c r="C5" s="74" t="s">
        <v>69</v>
      </c>
      <c r="D5" s="74">
        <v>23.5</v>
      </c>
      <c r="E5" s="74">
        <v>17</v>
      </c>
      <c r="F5" s="74">
        <v>45</v>
      </c>
      <c r="G5" s="74">
        <v>43</v>
      </c>
      <c r="H5" s="74">
        <v>43</v>
      </c>
      <c r="I5" s="74">
        <v>75</v>
      </c>
      <c r="J5" s="74">
        <v>304.8</v>
      </c>
      <c r="K5" s="74">
        <v>101.6</v>
      </c>
      <c r="L5" s="79">
        <v>8046</v>
      </c>
      <c r="M5" s="75">
        <v>7644</v>
      </c>
      <c r="N5" s="75">
        <v>17.5</v>
      </c>
      <c r="O5" s="75" t="s">
        <v>119</v>
      </c>
      <c r="P5" s="75">
        <v>7.5</v>
      </c>
      <c r="Q5" s="75" t="s">
        <v>119</v>
      </c>
      <c r="R5" s="75" t="s">
        <v>119</v>
      </c>
      <c r="S5" s="79" t="s">
        <v>67</v>
      </c>
      <c r="T5" s="76"/>
      <c r="U5" s="75">
        <v>7648</v>
      </c>
      <c r="V5" s="75">
        <v>7646</v>
      </c>
      <c r="W5" s="76"/>
      <c r="X5" s="77" t="s">
        <v>167</v>
      </c>
      <c r="Y5" s="75" t="s">
        <v>119</v>
      </c>
      <c r="Z5" s="75">
        <v>7648</v>
      </c>
      <c r="AA5" s="76"/>
      <c r="AB5" s="75" t="s">
        <v>119</v>
      </c>
      <c r="AC5" s="78" t="s">
        <v>140</v>
      </c>
      <c r="AD5" s="78" t="s">
        <v>130</v>
      </c>
      <c r="AE5" s="74"/>
    </row>
    <row r="6" spans="1:32" x14ac:dyDescent="0.3">
      <c r="A6" s="74" t="s">
        <v>126</v>
      </c>
      <c r="B6" s="74" t="s">
        <v>127</v>
      </c>
      <c r="C6" s="74" t="s">
        <v>69</v>
      </c>
      <c r="D6" s="74">
        <v>22</v>
      </c>
      <c r="E6" s="74">
        <v>16.5</v>
      </c>
      <c r="F6" s="74">
        <v>40</v>
      </c>
      <c r="G6" s="74">
        <v>30</v>
      </c>
      <c r="H6" s="74">
        <v>38</v>
      </c>
      <c r="I6" s="74">
        <v>62</v>
      </c>
      <c r="J6" s="74">
        <v>240</v>
      </c>
      <c r="K6" s="74">
        <v>130</v>
      </c>
      <c r="L6" s="79">
        <v>6440</v>
      </c>
      <c r="M6" s="75">
        <v>6430</v>
      </c>
      <c r="N6" s="75">
        <v>16.5</v>
      </c>
      <c r="O6" s="75" t="s">
        <v>67</v>
      </c>
      <c r="P6" s="79">
        <v>7</v>
      </c>
      <c r="Q6" s="79" t="s">
        <v>181</v>
      </c>
      <c r="R6" s="79" t="s">
        <v>181</v>
      </c>
      <c r="S6" s="79" t="s">
        <v>120</v>
      </c>
      <c r="T6" s="76"/>
      <c r="U6" s="75">
        <v>6440</v>
      </c>
      <c r="V6" s="79">
        <v>6430</v>
      </c>
      <c r="W6" s="76"/>
      <c r="X6" s="77">
        <v>7</v>
      </c>
      <c r="Y6" s="79" t="s">
        <v>118</v>
      </c>
      <c r="Z6" s="79">
        <v>6444</v>
      </c>
      <c r="AA6" s="76"/>
      <c r="AB6" s="79" t="s">
        <v>118</v>
      </c>
      <c r="AC6" s="78">
        <v>87519091</v>
      </c>
      <c r="AD6" s="78" t="s">
        <v>130</v>
      </c>
      <c r="AE6" s="74"/>
    </row>
    <row r="7" spans="1:32" x14ac:dyDescent="0.3">
      <c r="A7" s="74" t="s">
        <v>128</v>
      </c>
      <c r="B7" s="74" t="s">
        <v>129</v>
      </c>
      <c r="C7" s="74" t="s">
        <v>69</v>
      </c>
      <c r="D7" s="74">
        <v>22</v>
      </c>
      <c r="E7" s="74">
        <v>13.5</v>
      </c>
      <c r="F7" s="74">
        <v>32</v>
      </c>
      <c r="G7" s="74">
        <v>26.5</v>
      </c>
      <c r="H7" s="74">
        <v>31</v>
      </c>
      <c r="I7" s="74">
        <v>63</v>
      </c>
      <c r="J7" s="74">
        <v>265</v>
      </c>
      <c r="K7" s="74">
        <v>95</v>
      </c>
      <c r="L7" s="79">
        <v>6432</v>
      </c>
      <c r="M7" s="75" t="s">
        <v>171</v>
      </c>
      <c r="N7" s="80">
        <v>13</v>
      </c>
      <c r="O7" s="80" t="s">
        <v>120</v>
      </c>
      <c r="P7" s="80">
        <v>7</v>
      </c>
      <c r="Q7" s="80" t="s">
        <v>181</v>
      </c>
      <c r="R7" s="80" t="s">
        <v>120</v>
      </c>
      <c r="S7" s="80" t="s">
        <v>118</v>
      </c>
      <c r="T7" s="79" t="s">
        <v>121</v>
      </c>
      <c r="U7" s="80">
        <v>6432</v>
      </c>
      <c r="V7" s="79">
        <v>6430</v>
      </c>
      <c r="W7" s="76"/>
      <c r="X7" s="77">
        <v>7</v>
      </c>
      <c r="Y7" s="80" t="s">
        <v>118</v>
      </c>
      <c r="Z7" s="79">
        <v>6436</v>
      </c>
      <c r="AA7" s="76"/>
      <c r="AB7" s="80" t="s">
        <v>118</v>
      </c>
      <c r="AC7" s="78" t="s">
        <v>150</v>
      </c>
      <c r="AD7" s="78" t="s">
        <v>130</v>
      </c>
      <c r="AE7" s="74"/>
    </row>
    <row r="8" spans="1:32" x14ac:dyDescent="0.3">
      <c r="A8" s="74" t="s">
        <v>128</v>
      </c>
      <c r="B8" s="74" t="s">
        <v>129</v>
      </c>
      <c r="C8" s="74" t="s">
        <v>69</v>
      </c>
      <c r="D8" s="74">
        <v>22</v>
      </c>
      <c r="E8" s="74">
        <v>13.5</v>
      </c>
      <c r="F8" s="74">
        <v>32</v>
      </c>
      <c r="G8" s="74">
        <v>26.5</v>
      </c>
      <c r="H8" s="74">
        <v>31</v>
      </c>
      <c r="I8" s="74">
        <v>63</v>
      </c>
      <c r="J8" s="74">
        <v>265</v>
      </c>
      <c r="K8" s="74">
        <v>95</v>
      </c>
      <c r="L8" s="79">
        <v>6432</v>
      </c>
      <c r="M8" s="75">
        <v>6427</v>
      </c>
      <c r="N8" s="80">
        <v>13</v>
      </c>
      <c r="O8" s="80" t="s">
        <v>120</v>
      </c>
      <c r="P8" s="80">
        <v>7</v>
      </c>
      <c r="Q8" s="80" t="s">
        <v>181</v>
      </c>
      <c r="R8" s="80" t="s">
        <v>120</v>
      </c>
      <c r="S8" s="80" t="s">
        <v>118</v>
      </c>
      <c r="T8" s="79" t="s">
        <v>121</v>
      </c>
      <c r="U8" s="80">
        <v>6432</v>
      </c>
      <c r="V8" s="79">
        <v>6430</v>
      </c>
      <c r="W8" s="76"/>
      <c r="X8" s="77">
        <v>7</v>
      </c>
      <c r="Y8" s="80" t="s">
        <v>118</v>
      </c>
      <c r="Z8" s="79">
        <v>6436</v>
      </c>
      <c r="AA8" s="76"/>
      <c r="AB8" s="80" t="s">
        <v>118</v>
      </c>
      <c r="AC8" s="78"/>
      <c r="AD8" s="78"/>
      <c r="AE8" s="74"/>
    </row>
    <row r="9" spans="1:32" x14ac:dyDescent="0.3">
      <c r="A9" s="74" t="s">
        <v>128</v>
      </c>
      <c r="B9" s="74" t="s">
        <v>129</v>
      </c>
      <c r="C9" s="74" t="s">
        <v>69</v>
      </c>
      <c r="D9" s="74">
        <v>22</v>
      </c>
      <c r="E9" s="74">
        <v>13.5</v>
      </c>
      <c r="F9" s="74">
        <v>32</v>
      </c>
      <c r="G9" s="74">
        <v>26.5</v>
      </c>
      <c r="H9" s="74">
        <v>31</v>
      </c>
      <c r="I9" s="74">
        <v>63</v>
      </c>
      <c r="J9" s="74">
        <v>265</v>
      </c>
      <c r="K9" s="74">
        <v>95</v>
      </c>
      <c r="AF9" s="37" t="s">
        <v>197</v>
      </c>
    </row>
    <row r="10" spans="1:32" x14ac:dyDescent="0.3">
      <c r="A10" s="74" t="s">
        <v>128</v>
      </c>
      <c r="B10" s="74" t="s">
        <v>129</v>
      </c>
      <c r="C10" s="74" t="s">
        <v>69</v>
      </c>
      <c r="D10" s="74">
        <v>22</v>
      </c>
      <c r="E10" s="74">
        <v>13.5</v>
      </c>
      <c r="F10" s="74">
        <v>32</v>
      </c>
      <c r="G10" s="74">
        <v>26.5</v>
      </c>
      <c r="H10" s="74">
        <v>31</v>
      </c>
      <c r="I10" s="74">
        <v>63</v>
      </c>
      <c r="J10" s="74">
        <v>265</v>
      </c>
      <c r="K10" s="74">
        <v>95</v>
      </c>
      <c r="L10" s="79">
        <v>6432</v>
      </c>
      <c r="M10" s="75">
        <v>6427</v>
      </c>
      <c r="N10" s="80">
        <v>13</v>
      </c>
      <c r="O10" s="80" t="s">
        <v>120</v>
      </c>
      <c r="P10" s="80">
        <v>7</v>
      </c>
      <c r="Q10" s="80" t="s">
        <v>181</v>
      </c>
      <c r="R10" s="80" t="s">
        <v>120</v>
      </c>
      <c r="S10" s="80" t="s">
        <v>118</v>
      </c>
      <c r="T10" s="79" t="s">
        <v>121</v>
      </c>
      <c r="U10" s="80">
        <v>6432</v>
      </c>
      <c r="V10" s="79">
        <v>6430</v>
      </c>
      <c r="W10" s="76"/>
      <c r="X10" s="77">
        <v>7</v>
      </c>
      <c r="Y10" s="80" t="s">
        <v>118</v>
      </c>
      <c r="Z10" s="79">
        <v>6436</v>
      </c>
      <c r="AA10" s="76"/>
      <c r="AB10" s="80" t="s">
        <v>118</v>
      </c>
      <c r="AC10" s="78"/>
      <c r="AD10" s="78"/>
      <c r="AE10" s="7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A0C11-51C6-4B76-AF8E-64D239EDBA3F}">
  <sheetPr codeName="Sheet92"/>
  <dimension ref="A1:L38"/>
  <sheetViews>
    <sheetView tabSelected="1"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58"/>
      <c r="B2" s="2"/>
      <c r="C2" s="60" t="s">
        <v>97</v>
      </c>
      <c r="D2" s="60"/>
      <c r="E2" s="60" t="s">
        <v>92</v>
      </c>
      <c r="F2" s="60"/>
      <c r="G2" s="1" t="s">
        <v>98</v>
      </c>
      <c r="K2" s="4" t="s">
        <v>9</v>
      </c>
      <c r="L2" s="4">
        <v>25.4</v>
      </c>
    </row>
    <row r="3" spans="1:12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>
        <v>13.3</v>
      </c>
    </row>
    <row r="4" spans="1:12" x14ac:dyDescent="0.3">
      <c r="A4" s="1" t="s">
        <v>39</v>
      </c>
      <c r="B4" s="64">
        <v>9999999999</v>
      </c>
      <c r="C4" s="64"/>
      <c r="D4" s="64"/>
      <c r="E4" s="60"/>
      <c r="F4" s="60"/>
      <c r="G4" s="1" t="s">
        <v>44</v>
      </c>
      <c r="K4" s="4" t="s">
        <v>12</v>
      </c>
      <c r="L4" s="4">
        <v>46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56.7</v>
      </c>
    </row>
    <row r="6" spans="1:12" x14ac:dyDescent="0.3">
      <c r="A6" s="3" t="s">
        <v>99</v>
      </c>
      <c r="B6" s="56" t="s">
        <v>18</v>
      </c>
      <c r="C6" s="56"/>
      <c r="D6" s="56"/>
      <c r="E6" s="53">
        <v>7046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56.8</v>
      </c>
    </row>
    <row r="7" spans="1:12" x14ac:dyDescent="0.3">
      <c r="A7" s="2" t="s">
        <v>101</v>
      </c>
      <c r="B7" s="60" t="s">
        <v>21</v>
      </c>
      <c r="C7" s="60"/>
      <c r="D7" s="60"/>
      <c r="E7" s="54" t="s">
        <v>100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66.8</v>
      </c>
    </row>
    <row r="8" spans="1:12" x14ac:dyDescent="0.3">
      <c r="A8" s="3" t="s">
        <v>68</v>
      </c>
      <c r="B8" s="56" t="s">
        <v>19</v>
      </c>
      <c r="C8" s="56"/>
      <c r="D8" s="56"/>
      <c r="E8" s="53" t="s">
        <v>53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293.89999999999998</v>
      </c>
    </row>
    <row r="9" spans="1:12" x14ac:dyDescent="0.3">
      <c r="A9" s="2" t="s">
        <v>102</v>
      </c>
      <c r="B9" s="60" t="s">
        <v>20</v>
      </c>
      <c r="C9" s="60"/>
      <c r="D9" s="60"/>
      <c r="E9" s="54">
        <v>7058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126</v>
      </c>
    </row>
    <row r="10" spans="1:12" x14ac:dyDescent="0.3">
      <c r="A10" s="3"/>
      <c r="B10" s="56" t="s">
        <v>24</v>
      </c>
      <c r="C10" s="56"/>
      <c r="D10" s="56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>
        <v>7.8</v>
      </c>
    </row>
    <row r="11" spans="1:12" x14ac:dyDescent="0.3">
      <c r="A11" s="2" t="s">
        <v>56</v>
      </c>
      <c r="B11" s="60" t="s">
        <v>23</v>
      </c>
      <c r="C11" s="60"/>
      <c r="D11" s="60"/>
      <c r="E11" s="54" t="s">
        <v>55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3">
      <c r="A12" s="5" t="s">
        <v>87</v>
      </c>
      <c r="B12" s="56" t="s">
        <v>25</v>
      </c>
      <c r="C12" s="56"/>
      <c r="D12" s="56"/>
      <c r="E12" s="53" t="s">
        <v>86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3">
      <c r="A13" s="2" t="s">
        <v>66</v>
      </c>
      <c r="B13" s="60" t="s">
        <v>26</v>
      </c>
      <c r="C13" s="60"/>
      <c r="D13" s="60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84</v>
      </c>
      <c r="B14" s="56" t="s">
        <v>27</v>
      </c>
      <c r="C14" s="56"/>
      <c r="D14" s="56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3">
      <c r="A15" s="2"/>
      <c r="B15" s="68"/>
      <c r="C15" s="68"/>
      <c r="D15" s="68"/>
      <c r="E15" s="54"/>
      <c r="F15" s="14"/>
      <c r="G15" s="14"/>
      <c r="H15" s="12"/>
    </row>
    <row r="16" spans="1:12" x14ac:dyDescent="0.3">
      <c r="A16" s="5" t="s">
        <v>46</v>
      </c>
      <c r="B16" s="56" t="s">
        <v>28</v>
      </c>
      <c r="C16" s="56"/>
      <c r="D16" s="56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3">
      <c r="A17" s="2" t="s">
        <v>63</v>
      </c>
      <c r="B17" s="60" t="s">
        <v>22</v>
      </c>
      <c r="C17" s="60"/>
      <c r="D17" s="60"/>
      <c r="E17" s="54" t="s">
        <v>62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53" t="s">
        <v>62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3">
      <c r="A19" s="2"/>
      <c r="B19" s="60" t="s">
        <v>30</v>
      </c>
      <c r="C19" s="60"/>
      <c r="D19" s="60"/>
      <c r="E19" s="54">
        <v>7656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65"/>
      <c r="C20" s="66"/>
      <c r="D20" s="67"/>
      <c r="E20" s="53"/>
      <c r="F20" s="4"/>
      <c r="G20" s="4"/>
      <c r="H20" s="12"/>
    </row>
    <row r="21" spans="1:10" x14ac:dyDescent="0.3">
      <c r="A21" s="2"/>
      <c r="B21" s="60" t="s">
        <v>33</v>
      </c>
      <c r="C21" s="60"/>
      <c r="D21" s="60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103</v>
      </c>
      <c r="B22" s="56" t="s">
        <v>31</v>
      </c>
      <c r="C22" s="56"/>
      <c r="D22" s="56"/>
      <c r="E22" s="53">
        <v>6748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/>
      <c r="B23" s="60" t="s">
        <v>48</v>
      </c>
      <c r="C23" s="60"/>
      <c r="D23" s="60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0" x14ac:dyDescent="0.3">
      <c r="A26" s="5"/>
      <c r="B26" s="56" t="s">
        <v>37</v>
      </c>
      <c r="C26" s="56"/>
      <c r="D26" s="56"/>
      <c r="E26" s="4" t="str">
        <f>C2</f>
        <v>Clark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113" priority="2" operator="equal">
      <formula>"Returned"</formula>
    </cfRule>
    <cfRule type="cellIs" dxfId="112" priority="5" operator="equal">
      <formula>"Ready To Order"</formula>
    </cfRule>
    <cfRule type="cellIs" dxfId="111" priority="6" operator="equal">
      <formula>"UNP"</formula>
    </cfRule>
    <cfRule type="containsText" dxfId="110" priority="7" operator="containsText" text="Ordered">
      <formula>NOT(ISERROR(SEARCH("Ordered",G6)))</formula>
    </cfRule>
    <cfRule type="containsText" dxfId="109" priority="8" operator="containsText" text="Pick Up">
      <formula>NOT(ISERROR(SEARCH("Pick Up",G6)))</formula>
    </cfRule>
    <cfRule type="containsText" dxfId="108" priority="9" operator="containsText" text="Complete">
      <formula>NOT(ISERROR(SEARCH("Complete",G6)))</formula>
    </cfRule>
  </conditionalFormatting>
  <conditionalFormatting sqref="G30:G33">
    <cfRule type="containsText" dxfId="107" priority="4" operator="containsText" text="Given">
      <formula>NOT(ISERROR(SEARCH("Given",G30)))</formula>
    </cfRule>
  </conditionalFormatting>
  <conditionalFormatting sqref="G30:G34">
    <cfRule type="containsText" dxfId="106" priority="3" operator="containsText" text="Returned">
      <formula>NOT(ISERROR(SEARCH("Returned",G30)))</formula>
    </cfRule>
  </conditionalFormatting>
  <conditionalFormatting sqref="G6:G14 G21:G26 G16:G19">
    <cfRule type="cellIs" dxfId="105" priority="1" operator="equal">
      <formula>"In Stock"</formula>
    </cfRule>
  </conditionalFormatting>
  <dataValidations count="3">
    <dataValidation type="list" allowBlank="1" showInputMessage="1" showErrorMessage="1" sqref="G30:G34" xr:uid="{B32CC658-E087-492A-B6EF-2C65B47A43B9}">
      <formula1>"--,Returned, Given"</formula1>
    </dataValidation>
    <dataValidation type="list" allowBlank="1" showInputMessage="1" showErrorMessage="1" sqref="G16:G19 G21:G24 G26 G6:G14" xr:uid="{5D10FE11-9812-460B-B862-E574A7FDEE16}">
      <formula1>"UNP, Ready To Order, Ordered, In Stock, Pick Up, Complete, Returned"</formula1>
    </dataValidation>
    <dataValidation type="decimal" allowBlank="1" showInputMessage="1" showErrorMessage="1" sqref="L2" xr:uid="{0248F1C8-B549-4374-9E5F-24E69349FFCB}">
      <formula1>19</formula1>
      <formula2>26</formula2>
    </dataValidation>
  </dataValidations>
  <hyperlinks>
    <hyperlink ref="A1:A2" location="Menu!A1" display="Back to Menu" xr:uid="{538ABFF2-1640-4EAC-BD17-8590D8D5D1A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6255A-F2F7-40C9-90F9-9F62B87C147D}">
  <sheetPr codeName="Sheet93"/>
  <dimension ref="A1:L38"/>
  <sheetViews>
    <sheetView workbookViewId="0">
      <selection activeCell="E10" sqref="E10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58"/>
      <c r="B2" s="2"/>
      <c r="C2" s="60" t="s">
        <v>81</v>
      </c>
      <c r="D2" s="60"/>
      <c r="E2" s="60" t="s">
        <v>104</v>
      </c>
      <c r="F2" s="60"/>
      <c r="G2" s="1" t="s">
        <v>105</v>
      </c>
      <c r="K2" s="4" t="s">
        <v>9</v>
      </c>
      <c r="L2" s="4">
        <v>19</v>
      </c>
    </row>
    <row r="3" spans="1:12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64">
        <v>9999999999</v>
      </c>
      <c r="C4" s="64"/>
      <c r="D4" s="64"/>
      <c r="E4" s="60"/>
      <c r="F4" s="60"/>
      <c r="G4" s="1" t="s">
        <v>69</v>
      </c>
      <c r="K4" s="4" t="s">
        <v>12</v>
      </c>
      <c r="L4" s="4">
        <v>38.1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61.3</v>
      </c>
    </row>
    <row r="6" spans="1:12" x14ac:dyDescent="0.3">
      <c r="A6" s="3" t="s">
        <v>106</v>
      </c>
      <c r="B6" s="56" t="s">
        <v>18</v>
      </c>
      <c r="C6" s="56"/>
      <c r="D6" s="56"/>
      <c r="E6" s="53">
        <v>8040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44.2</v>
      </c>
    </row>
    <row r="7" spans="1:12" x14ac:dyDescent="0.3">
      <c r="A7" s="2" t="s">
        <v>71</v>
      </c>
      <c r="B7" s="60" t="s">
        <v>21</v>
      </c>
      <c r="C7" s="60"/>
      <c r="D7" s="60"/>
      <c r="E7" s="54" t="s">
        <v>70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70</v>
      </c>
    </row>
    <row r="8" spans="1:12" x14ac:dyDescent="0.3">
      <c r="A8" s="3" t="s">
        <v>82</v>
      </c>
      <c r="B8" s="56" t="s">
        <v>19</v>
      </c>
      <c r="C8" s="56"/>
      <c r="D8" s="56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317.10000000000002</v>
      </c>
    </row>
    <row r="9" spans="1:12" x14ac:dyDescent="0.3">
      <c r="A9" s="2"/>
      <c r="B9" s="60" t="s">
        <v>20</v>
      </c>
      <c r="C9" s="60"/>
      <c r="D9" s="60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100.2</v>
      </c>
    </row>
    <row r="10" spans="1:12" x14ac:dyDescent="0.3">
      <c r="A10" s="3" t="s">
        <v>165</v>
      </c>
      <c r="B10" s="56" t="s">
        <v>24</v>
      </c>
      <c r="C10" s="56"/>
      <c r="D10" s="56"/>
      <c r="E10" s="82" t="s">
        <v>217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>
        <v>7.4</v>
      </c>
    </row>
    <row r="11" spans="1:12" x14ac:dyDescent="0.3">
      <c r="A11" s="2" t="s">
        <v>89</v>
      </c>
      <c r="B11" s="60" t="s">
        <v>23</v>
      </c>
      <c r="C11" s="60"/>
      <c r="D11" s="60"/>
      <c r="E11" s="54" t="s">
        <v>88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3">
      <c r="A12" s="5"/>
      <c r="B12" s="56" t="s">
        <v>25</v>
      </c>
      <c r="C12" s="56"/>
      <c r="D12" s="56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x14ac:dyDescent="0.3">
      <c r="A13" s="2" t="s">
        <v>66</v>
      </c>
      <c r="B13" s="60" t="s">
        <v>26</v>
      </c>
      <c r="C13" s="60"/>
      <c r="D13" s="60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84</v>
      </c>
      <c r="B14" s="56" t="s">
        <v>27</v>
      </c>
      <c r="C14" s="56"/>
      <c r="D14" s="56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3">
      <c r="A15" s="2"/>
      <c r="B15" s="68"/>
      <c r="C15" s="68"/>
      <c r="D15" s="68"/>
      <c r="E15" s="54"/>
      <c r="F15" s="14"/>
      <c r="G15" s="14"/>
      <c r="H15" s="12"/>
    </row>
    <row r="16" spans="1:12" x14ac:dyDescent="0.3">
      <c r="A16" s="5" t="s">
        <v>46</v>
      </c>
      <c r="B16" s="56" t="s">
        <v>28</v>
      </c>
      <c r="C16" s="56"/>
      <c r="D16" s="56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3">
      <c r="A17" s="2" t="s">
        <v>85</v>
      </c>
      <c r="B17" s="60" t="s">
        <v>22</v>
      </c>
      <c r="C17" s="60"/>
      <c r="D17" s="60"/>
      <c r="E17" s="54" t="s">
        <v>72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53" t="s">
        <v>72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3">
      <c r="A19" s="2"/>
      <c r="B19" s="60" t="s">
        <v>30</v>
      </c>
      <c r="C19" s="60"/>
      <c r="D19" s="60"/>
      <c r="E19" s="54">
        <v>7644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65"/>
      <c r="C20" s="66"/>
      <c r="D20" s="67"/>
      <c r="E20" s="53"/>
      <c r="F20" s="4"/>
      <c r="G20" s="4"/>
      <c r="H20" s="12"/>
    </row>
    <row r="21" spans="1:10" x14ac:dyDescent="0.3">
      <c r="A21" s="2"/>
      <c r="B21" s="60" t="s">
        <v>33</v>
      </c>
      <c r="C21" s="60"/>
      <c r="D21" s="60"/>
      <c r="E21" s="54" t="s">
        <v>187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107</v>
      </c>
      <c r="B22" s="56" t="s">
        <v>31</v>
      </c>
      <c r="C22" s="56"/>
      <c r="D22" s="56"/>
      <c r="E22" s="53">
        <v>7640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/>
      <c r="B23" s="60" t="s">
        <v>48</v>
      </c>
      <c r="C23" s="60"/>
      <c r="D23" s="60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3">
      <c r="A24" s="5" t="s">
        <v>109</v>
      </c>
      <c r="B24" s="56" t="s">
        <v>32</v>
      </c>
      <c r="C24" s="56"/>
      <c r="D24" s="56"/>
      <c r="E24" s="53" t="s">
        <v>108</v>
      </c>
      <c r="F24" s="4">
        <v>1</v>
      </c>
      <c r="G24" s="23" t="s">
        <v>58</v>
      </c>
      <c r="H24" s="20" t="str">
        <f>HYPERLINK("#G24",CHAR(128))</f>
        <v>€</v>
      </c>
    </row>
    <row r="25" spans="1:10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0" x14ac:dyDescent="0.3">
      <c r="A26" s="5"/>
      <c r="B26" s="56" t="s">
        <v>37</v>
      </c>
      <c r="C26" s="56"/>
      <c r="D26" s="56"/>
      <c r="E26" s="4" t="str">
        <f>C2</f>
        <v>Taylor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104" priority="2" operator="equal">
      <formula>"Returned"</formula>
    </cfRule>
    <cfRule type="cellIs" dxfId="103" priority="5" operator="equal">
      <formula>"Ready To Order"</formula>
    </cfRule>
    <cfRule type="cellIs" dxfId="102" priority="6" operator="equal">
      <formula>"UNP"</formula>
    </cfRule>
    <cfRule type="containsText" dxfId="101" priority="7" operator="containsText" text="Ordered">
      <formula>NOT(ISERROR(SEARCH("Ordered",G6)))</formula>
    </cfRule>
    <cfRule type="containsText" dxfId="100" priority="8" operator="containsText" text="Pick Up">
      <formula>NOT(ISERROR(SEARCH("Pick Up",G6)))</formula>
    </cfRule>
    <cfRule type="containsText" dxfId="99" priority="9" operator="containsText" text="Complete">
      <formula>NOT(ISERROR(SEARCH("Complete",G6)))</formula>
    </cfRule>
  </conditionalFormatting>
  <conditionalFormatting sqref="G30:G33">
    <cfRule type="containsText" dxfId="98" priority="4" operator="containsText" text="Given">
      <formula>NOT(ISERROR(SEARCH("Given",G30)))</formula>
    </cfRule>
  </conditionalFormatting>
  <conditionalFormatting sqref="G30:G34">
    <cfRule type="containsText" dxfId="97" priority="3" operator="containsText" text="Returned">
      <formula>NOT(ISERROR(SEARCH("Returned",G30)))</formula>
    </cfRule>
  </conditionalFormatting>
  <conditionalFormatting sqref="G6:G14 G21:G26 G16:G19">
    <cfRule type="cellIs" dxfId="96" priority="1" operator="equal">
      <formula>"In Stock"</formula>
    </cfRule>
  </conditionalFormatting>
  <dataValidations count="3">
    <dataValidation type="list" allowBlank="1" showInputMessage="1" showErrorMessage="1" sqref="G30:G34" xr:uid="{E71E2FA6-214E-48C9-A96B-F2FD322DFE58}">
      <formula1>"--,Returned, Given"</formula1>
    </dataValidation>
    <dataValidation type="list" allowBlank="1" showInputMessage="1" showErrorMessage="1" sqref="G16:G19 G21:G24 G26 G6:G14" xr:uid="{42346BD8-1B4E-4BEF-933E-3FB33D16D4A9}">
      <formula1>"UNP, Ready To Order, Ordered, In Stock, Pick Up, Complete, Returned"</formula1>
    </dataValidation>
    <dataValidation type="decimal" allowBlank="1" showInputMessage="1" showErrorMessage="1" sqref="L2" xr:uid="{9BA3797A-6EE0-4DFD-A4D8-F0B168E4A84F}">
      <formula1>19</formula1>
      <formula2>26</formula2>
    </dataValidation>
  </dataValidations>
  <hyperlinks>
    <hyperlink ref="A1:A2" location="Menu!A1" display="Back to Menu" xr:uid="{FE6AE449-A58E-461F-8431-F1A71CCB776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E5D15-E075-4861-8D00-9456FAC770FD}">
  <sheetPr codeName="Sheet94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58"/>
      <c r="B2" s="2"/>
      <c r="C2" s="60" t="s">
        <v>122</v>
      </c>
      <c r="D2" s="60"/>
      <c r="E2" s="60" t="s">
        <v>123</v>
      </c>
      <c r="F2" s="60"/>
      <c r="G2" s="1" t="s">
        <v>131</v>
      </c>
      <c r="K2" s="4" t="s">
        <v>9</v>
      </c>
      <c r="L2" s="4">
        <v>22</v>
      </c>
    </row>
    <row r="3" spans="1:12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>
        <v>16</v>
      </c>
    </row>
    <row r="4" spans="1:12" x14ac:dyDescent="0.3">
      <c r="A4" s="1" t="s">
        <v>39</v>
      </c>
      <c r="B4" s="64">
        <v>9999999999</v>
      </c>
      <c r="C4" s="64"/>
      <c r="D4" s="64"/>
      <c r="E4" s="60"/>
      <c r="F4" s="60"/>
      <c r="G4" s="1" t="s">
        <v>69</v>
      </c>
      <c r="K4" s="4" t="s">
        <v>12</v>
      </c>
      <c r="L4" s="4">
        <v>35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31</v>
      </c>
    </row>
    <row r="6" spans="1:12" x14ac:dyDescent="0.3">
      <c r="A6" s="3" t="s">
        <v>132</v>
      </c>
      <c r="B6" s="56" t="s">
        <v>18</v>
      </c>
      <c r="C6" s="56"/>
      <c r="D6" s="56"/>
      <c r="E6" s="53">
        <v>6736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37</v>
      </c>
    </row>
    <row r="7" spans="1:12" x14ac:dyDescent="0.3">
      <c r="A7" s="2" t="s">
        <v>174</v>
      </c>
      <c r="B7" s="60" t="s">
        <v>21</v>
      </c>
      <c r="C7" s="60"/>
      <c r="D7" s="60"/>
      <c r="E7" s="54">
        <v>16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133</v>
      </c>
      <c r="B8" s="56" t="s">
        <v>19</v>
      </c>
      <c r="C8" s="56"/>
      <c r="D8" s="56"/>
      <c r="E8" s="53" t="s">
        <v>118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39</v>
      </c>
    </row>
    <row r="9" spans="1:12" x14ac:dyDescent="0.3">
      <c r="A9" s="2" t="s">
        <v>134</v>
      </c>
      <c r="B9" s="60" t="s">
        <v>20</v>
      </c>
      <c r="C9" s="60"/>
      <c r="D9" s="60"/>
      <c r="E9" s="54" t="s">
        <v>162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</v>
      </c>
    </row>
    <row r="10" spans="1:12" x14ac:dyDescent="0.3">
      <c r="A10" s="3" t="s">
        <v>175</v>
      </c>
      <c r="B10" s="56" t="s">
        <v>24</v>
      </c>
      <c r="C10" s="56"/>
      <c r="D10" s="56"/>
      <c r="E10" s="53">
        <v>7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0" t="s">
        <v>23</v>
      </c>
      <c r="C11" s="60"/>
      <c r="D11" s="60"/>
      <c r="E11" s="54" t="s">
        <v>181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3">
      <c r="A12" s="5" t="s">
        <v>169</v>
      </c>
      <c r="B12" s="56" t="s">
        <v>25</v>
      </c>
      <c r="C12" s="56"/>
      <c r="D12" s="56"/>
      <c r="E12" s="53" t="s">
        <v>181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3">
      <c r="A13" s="2"/>
      <c r="B13" s="60" t="s">
        <v>26</v>
      </c>
      <c r="C13" s="60"/>
      <c r="D13" s="60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/>
      <c r="B14" s="56" t="s">
        <v>27</v>
      </c>
      <c r="C14" s="56"/>
      <c r="D14" s="56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68"/>
      <c r="C15" s="68"/>
      <c r="D15" s="68"/>
      <c r="E15" s="54"/>
      <c r="F15" s="14"/>
      <c r="G15" s="14"/>
      <c r="H15" s="12"/>
    </row>
    <row r="16" spans="1:12" x14ac:dyDescent="0.3">
      <c r="A16" s="5" t="s">
        <v>46</v>
      </c>
      <c r="B16" s="56" t="s">
        <v>28</v>
      </c>
      <c r="C16" s="56"/>
      <c r="D16" s="5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60" t="s">
        <v>22</v>
      </c>
      <c r="C17" s="60"/>
      <c r="D17" s="60"/>
      <c r="E17" s="54" t="s">
        <v>118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53" t="s">
        <v>118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3">
      <c r="A19" s="2"/>
      <c r="B19" s="60" t="s">
        <v>30</v>
      </c>
      <c r="C19" s="60"/>
      <c r="D19" s="60"/>
      <c r="E19" s="54">
        <v>7040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65"/>
      <c r="C20" s="66"/>
      <c r="D20" s="67"/>
      <c r="E20" s="53"/>
      <c r="F20" s="4"/>
      <c r="G20" s="4"/>
      <c r="H20" s="12"/>
    </row>
    <row r="21" spans="1:10" x14ac:dyDescent="0.3">
      <c r="A21" s="2" t="s">
        <v>176</v>
      </c>
      <c r="B21" s="60" t="s">
        <v>33</v>
      </c>
      <c r="C21" s="60"/>
      <c r="D21" s="60"/>
      <c r="E21" s="54" t="s">
        <v>182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138</v>
      </c>
      <c r="B22" s="56" t="s">
        <v>31</v>
      </c>
      <c r="C22" s="56"/>
      <c r="D22" s="56"/>
      <c r="E22" s="53">
        <v>6736</v>
      </c>
      <c r="F22" s="4">
        <v>1</v>
      </c>
      <c r="G22" s="23" t="s">
        <v>77</v>
      </c>
      <c r="H22" s="21" t="str">
        <f>HYPERLINK("#G22",CHAR(128))</f>
        <v>€</v>
      </c>
    </row>
    <row r="23" spans="1:10" x14ac:dyDescent="0.3">
      <c r="A23" s="2" t="s">
        <v>139</v>
      </c>
      <c r="B23" s="60" t="s">
        <v>48</v>
      </c>
      <c r="C23" s="60"/>
      <c r="D23" s="60"/>
      <c r="E23" s="54">
        <v>6734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0" x14ac:dyDescent="0.3">
      <c r="A26" s="5"/>
      <c r="B26" s="56" t="s">
        <v>37</v>
      </c>
      <c r="C26" s="56"/>
      <c r="D26" s="56"/>
      <c r="E26" s="4" t="str">
        <f>C2</f>
        <v>Rob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95" priority="2" operator="equal">
      <formula>"Returned"</formula>
    </cfRule>
    <cfRule type="cellIs" dxfId="94" priority="5" operator="equal">
      <formula>"Ready To Order"</formula>
    </cfRule>
    <cfRule type="cellIs" dxfId="93" priority="6" operator="equal">
      <formula>"UNP"</formula>
    </cfRule>
    <cfRule type="containsText" dxfId="92" priority="7" operator="containsText" text="Ordered">
      <formula>NOT(ISERROR(SEARCH("Ordered",G6)))</formula>
    </cfRule>
    <cfRule type="containsText" dxfId="91" priority="8" operator="containsText" text="Pick Up">
      <formula>NOT(ISERROR(SEARCH("Pick Up",G6)))</formula>
    </cfRule>
    <cfRule type="containsText" dxfId="90" priority="9" operator="containsText" text="Complete">
      <formula>NOT(ISERROR(SEARCH("Complete",G6)))</formula>
    </cfRule>
  </conditionalFormatting>
  <conditionalFormatting sqref="G30:G33">
    <cfRule type="containsText" dxfId="89" priority="4" operator="containsText" text="Given">
      <formula>NOT(ISERROR(SEARCH("Given",G30)))</formula>
    </cfRule>
  </conditionalFormatting>
  <conditionalFormatting sqref="G30:G34">
    <cfRule type="containsText" dxfId="88" priority="3" operator="containsText" text="Returned">
      <formula>NOT(ISERROR(SEARCH("Returned",G30)))</formula>
    </cfRule>
  </conditionalFormatting>
  <conditionalFormatting sqref="G6:G14 G21:G26 G16:G19">
    <cfRule type="cellIs" dxfId="87" priority="1" operator="equal">
      <formula>"In Stock"</formula>
    </cfRule>
  </conditionalFormatting>
  <dataValidations count="3">
    <dataValidation type="list" allowBlank="1" showInputMessage="1" showErrorMessage="1" sqref="G30:G34" xr:uid="{A0ED7909-BF90-4D5E-B98A-92DD35C86713}">
      <formula1>"--,Returned, Given"</formula1>
    </dataValidation>
    <dataValidation type="list" allowBlank="1" showInputMessage="1" showErrorMessage="1" sqref="G16:G19 G21:G24 G26 G6:G14" xr:uid="{3D0B4C99-DF13-4A4B-AC4E-5D884500ADD6}">
      <formula1>"UNP, Ready To Order, Ordered, In Stock, Pick Up, Complete, Returned"</formula1>
    </dataValidation>
    <dataValidation type="decimal" allowBlank="1" showInputMessage="1" showErrorMessage="1" sqref="L2" xr:uid="{7D436D86-1423-4285-B988-5A800666F7FC}">
      <formula1>19</formula1>
      <formula2>26</formula2>
    </dataValidation>
  </dataValidations>
  <hyperlinks>
    <hyperlink ref="A1:A2" location="Menu!A1" display="Back to Menu" xr:uid="{3DF2C425-8132-43AD-A726-515791D9BB4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635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5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5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5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5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164DF-278B-4D1D-A436-32DAE705BE96}">
  <sheetPr codeName="Sheet95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58"/>
      <c r="B2" s="2"/>
      <c r="C2" s="60" t="s">
        <v>124</v>
      </c>
      <c r="D2" s="60"/>
      <c r="E2" s="60" t="s">
        <v>125</v>
      </c>
      <c r="F2" s="60"/>
      <c r="G2" s="1" t="s">
        <v>140</v>
      </c>
      <c r="K2" s="4" t="s">
        <v>9</v>
      </c>
      <c r="L2" s="4">
        <v>23.5</v>
      </c>
    </row>
    <row r="3" spans="1:12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>
        <v>17</v>
      </c>
    </row>
    <row r="4" spans="1:12" x14ac:dyDescent="0.3">
      <c r="A4" s="1" t="s">
        <v>39</v>
      </c>
      <c r="B4" s="64">
        <v>9999999999</v>
      </c>
      <c r="C4" s="64"/>
      <c r="D4" s="64"/>
      <c r="E4" s="60"/>
      <c r="F4" s="60"/>
      <c r="G4" s="1" t="s">
        <v>69</v>
      </c>
      <c r="K4" s="4" t="s">
        <v>12</v>
      </c>
      <c r="L4" s="4">
        <v>45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43</v>
      </c>
    </row>
    <row r="6" spans="1:12" x14ac:dyDescent="0.3">
      <c r="A6" s="3" t="s">
        <v>141</v>
      </c>
      <c r="B6" s="56" t="s">
        <v>18</v>
      </c>
      <c r="C6" s="56"/>
      <c r="D6" s="56"/>
      <c r="E6" s="53">
        <v>8046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43</v>
      </c>
    </row>
    <row r="7" spans="1:12" x14ac:dyDescent="0.3">
      <c r="A7" s="2"/>
      <c r="B7" s="60" t="s">
        <v>21</v>
      </c>
      <c r="C7" s="60"/>
      <c r="D7" s="60"/>
      <c r="E7" s="54">
        <v>17.5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75</v>
      </c>
    </row>
    <row r="8" spans="1:12" x14ac:dyDescent="0.3">
      <c r="A8" s="3" t="s">
        <v>142</v>
      </c>
      <c r="B8" s="56" t="s">
        <v>19</v>
      </c>
      <c r="C8" s="56"/>
      <c r="D8" s="56"/>
      <c r="E8" s="53" t="s">
        <v>119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304.8</v>
      </c>
    </row>
    <row r="9" spans="1:12" x14ac:dyDescent="0.3">
      <c r="A9" s="2" t="s">
        <v>177</v>
      </c>
      <c r="B9" s="60" t="s">
        <v>20</v>
      </c>
      <c r="C9" s="60"/>
      <c r="D9" s="60"/>
      <c r="E9" s="54">
        <v>7644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101.6</v>
      </c>
    </row>
    <row r="10" spans="1:12" x14ac:dyDescent="0.3">
      <c r="A10" s="3"/>
      <c r="B10" s="56" t="s">
        <v>24</v>
      </c>
      <c r="C10" s="56"/>
      <c r="D10" s="56"/>
      <c r="E10" s="53">
        <v>7.5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183</v>
      </c>
      <c r="B11" s="60" t="s">
        <v>23</v>
      </c>
      <c r="C11" s="60"/>
      <c r="D11" s="60"/>
      <c r="E11" s="54" t="s">
        <v>119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3">
      <c r="A12" s="5" t="s">
        <v>184</v>
      </c>
      <c r="B12" s="56" t="s">
        <v>25</v>
      </c>
      <c r="C12" s="56"/>
      <c r="D12" s="56"/>
      <c r="E12" s="53" t="s">
        <v>119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3">
      <c r="A13" s="2" t="s">
        <v>178</v>
      </c>
      <c r="B13" s="60" t="s">
        <v>26</v>
      </c>
      <c r="C13" s="60"/>
      <c r="D13" s="60"/>
      <c r="E13" s="54" t="s">
        <v>67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3">
      <c r="A14" s="5"/>
      <c r="B14" s="56" t="s">
        <v>27</v>
      </c>
      <c r="C14" s="56"/>
      <c r="D14" s="56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68"/>
      <c r="C15" s="68"/>
      <c r="D15" s="68"/>
      <c r="E15" s="54"/>
      <c r="F15" s="14"/>
      <c r="G15" s="14"/>
      <c r="H15" s="12"/>
    </row>
    <row r="16" spans="1:12" x14ac:dyDescent="0.3">
      <c r="A16" s="5" t="s">
        <v>46</v>
      </c>
      <c r="B16" s="56" t="s">
        <v>28</v>
      </c>
      <c r="C16" s="56"/>
      <c r="D16" s="5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143</v>
      </c>
      <c r="B17" s="60" t="s">
        <v>22</v>
      </c>
      <c r="C17" s="60"/>
      <c r="D17" s="60"/>
      <c r="E17" s="54" t="s">
        <v>119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53" t="s">
        <v>119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3">
      <c r="A19" s="2"/>
      <c r="B19" s="60" t="s">
        <v>30</v>
      </c>
      <c r="C19" s="60"/>
      <c r="D19" s="60"/>
      <c r="E19" s="54">
        <v>7648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65"/>
      <c r="C20" s="66"/>
      <c r="D20" s="67"/>
      <c r="E20" s="53"/>
      <c r="F20" s="4"/>
      <c r="G20" s="4"/>
      <c r="H20" s="12"/>
    </row>
    <row r="21" spans="1:10" x14ac:dyDescent="0.3">
      <c r="A21" s="2" t="s">
        <v>168</v>
      </c>
      <c r="B21" s="60" t="s">
        <v>33</v>
      </c>
      <c r="C21" s="60"/>
      <c r="D21" s="60"/>
      <c r="E21" s="54" t="s">
        <v>167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144</v>
      </c>
      <c r="B22" s="56" t="s">
        <v>31</v>
      </c>
      <c r="C22" s="56"/>
      <c r="D22" s="56"/>
      <c r="E22" s="53">
        <v>7648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 t="s">
        <v>145</v>
      </c>
      <c r="B23" s="60" t="s">
        <v>48</v>
      </c>
      <c r="C23" s="60"/>
      <c r="D23" s="60"/>
      <c r="E23" s="54">
        <v>7646</v>
      </c>
      <c r="F23" s="14">
        <v>1</v>
      </c>
      <c r="G23" s="23" t="s">
        <v>58</v>
      </c>
      <c r="H23" s="20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0" x14ac:dyDescent="0.3">
      <c r="A26" s="5"/>
      <c r="B26" s="56" t="s">
        <v>37</v>
      </c>
      <c r="C26" s="56"/>
      <c r="D26" s="56"/>
      <c r="E26" s="4" t="str">
        <f>C2</f>
        <v>Mike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86" priority="2" operator="equal">
      <formula>"Returned"</formula>
    </cfRule>
    <cfRule type="cellIs" dxfId="85" priority="5" operator="equal">
      <formula>"Ready To Order"</formula>
    </cfRule>
    <cfRule type="cellIs" dxfId="84" priority="6" operator="equal">
      <formula>"UNP"</formula>
    </cfRule>
    <cfRule type="containsText" dxfId="83" priority="7" operator="containsText" text="Ordered">
      <formula>NOT(ISERROR(SEARCH("Ordered",G6)))</formula>
    </cfRule>
    <cfRule type="containsText" dxfId="82" priority="8" operator="containsText" text="Pick Up">
      <formula>NOT(ISERROR(SEARCH("Pick Up",G6)))</formula>
    </cfRule>
    <cfRule type="containsText" dxfId="81" priority="9" operator="containsText" text="Complete">
      <formula>NOT(ISERROR(SEARCH("Complete",G6)))</formula>
    </cfRule>
  </conditionalFormatting>
  <conditionalFormatting sqref="G30:G33">
    <cfRule type="containsText" dxfId="80" priority="4" operator="containsText" text="Given">
      <formula>NOT(ISERROR(SEARCH("Given",G30)))</formula>
    </cfRule>
  </conditionalFormatting>
  <conditionalFormatting sqref="G30:G34">
    <cfRule type="containsText" dxfId="79" priority="3" operator="containsText" text="Returned">
      <formula>NOT(ISERROR(SEARCH("Returned",G30)))</formula>
    </cfRule>
  </conditionalFormatting>
  <conditionalFormatting sqref="G6:G14 G21:G26 G16:G19">
    <cfRule type="cellIs" dxfId="78" priority="1" operator="equal">
      <formula>"In Stock"</formula>
    </cfRule>
  </conditionalFormatting>
  <dataValidations count="3">
    <dataValidation type="list" allowBlank="1" showInputMessage="1" showErrorMessage="1" sqref="G30:G34" xr:uid="{EA525084-07F5-4AD7-BD23-37BBF9E7AC9E}">
      <formula1>"--,Returned, Given"</formula1>
    </dataValidation>
    <dataValidation type="list" allowBlank="1" showInputMessage="1" showErrorMessage="1" sqref="G16:G19 G21:G24 G26 G6:G14" xr:uid="{ACB6381B-E25E-491E-81E3-6C4CD17C8205}">
      <formula1>"UNP, Ready To Order, Ordered, In Stock, Pick Up, Complete, Returned"</formula1>
    </dataValidation>
    <dataValidation type="decimal" allowBlank="1" showInputMessage="1" showErrorMessage="1" sqref="L2" xr:uid="{C0A7C23F-CCDD-479E-85BC-18BA78664609}">
      <formula1>19</formula1>
      <formula2>26</formula2>
    </dataValidation>
  </dataValidations>
  <hyperlinks>
    <hyperlink ref="A1:A2" location="Menu!A1" display="Back to Menu" xr:uid="{262B903D-6ABC-4FDF-9E58-A5A84C3C84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37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7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7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8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8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247F8-F8AA-4BFF-AE55-6457334BBDE9}">
  <sheetPr codeName="Sheet96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58"/>
      <c r="B2" s="2"/>
      <c r="C2" s="60" t="s">
        <v>126</v>
      </c>
      <c r="D2" s="60"/>
      <c r="E2" s="60" t="s">
        <v>127</v>
      </c>
      <c r="F2" s="60"/>
      <c r="G2" s="1">
        <v>87519091</v>
      </c>
      <c r="K2" s="4" t="s">
        <v>9</v>
      </c>
      <c r="L2" s="4">
        <v>22</v>
      </c>
    </row>
    <row r="3" spans="1:12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>
        <v>16.5</v>
      </c>
    </row>
    <row r="4" spans="1:12" x14ac:dyDescent="0.3">
      <c r="A4" s="1" t="s">
        <v>39</v>
      </c>
      <c r="B4" s="64">
        <v>9999999999</v>
      </c>
      <c r="C4" s="64"/>
      <c r="D4" s="64"/>
      <c r="E4" s="60"/>
      <c r="F4" s="60"/>
      <c r="G4" s="1" t="s">
        <v>69</v>
      </c>
      <c r="K4" s="4" t="s">
        <v>12</v>
      </c>
      <c r="L4" s="4">
        <v>40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30</v>
      </c>
    </row>
    <row r="6" spans="1:12" x14ac:dyDescent="0.3">
      <c r="A6" s="3" t="s">
        <v>146</v>
      </c>
      <c r="B6" s="56" t="s">
        <v>18</v>
      </c>
      <c r="C6" s="56"/>
      <c r="D6" s="56"/>
      <c r="E6" s="53">
        <v>6440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38</v>
      </c>
    </row>
    <row r="7" spans="1:12" x14ac:dyDescent="0.3">
      <c r="A7" s="2"/>
      <c r="B7" s="60" t="s">
        <v>21</v>
      </c>
      <c r="C7" s="60"/>
      <c r="D7" s="60"/>
      <c r="E7" s="54">
        <v>16.5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62</v>
      </c>
    </row>
    <row r="8" spans="1:12" x14ac:dyDescent="0.3">
      <c r="A8" s="3" t="s">
        <v>82</v>
      </c>
      <c r="B8" s="56" t="s">
        <v>19</v>
      </c>
      <c r="C8" s="56"/>
      <c r="D8" s="56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240</v>
      </c>
    </row>
    <row r="9" spans="1:12" x14ac:dyDescent="0.3">
      <c r="A9" s="2" t="s">
        <v>147</v>
      </c>
      <c r="B9" s="60" t="s">
        <v>20</v>
      </c>
      <c r="C9" s="60"/>
      <c r="D9" s="60"/>
      <c r="E9" s="54">
        <v>6430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130</v>
      </c>
    </row>
    <row r="10" spans="1:12" x14ac:dyDescent="0.3">
      <c r="A10" s="3" t="s">
        <v>175</v>
      </c>
      <c r="B10" s="56" t="s">
        <v>24</v>
      </c>
      <c r="C10" s="56"/>
      <c r="D10" s="56"/>
      <c r="E10" s="53">
        <v>7</v>
      </c>
      <c r="F10" s="4">
        <v>1</v>
      </c>
      <c r="G10" s="23" t="s">
        <v>77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0" t="s">
        <v>23</v>
      </c>
      <c r="C11" s="60"/>
      <c r="D11" s="60"/>
      <c r="E11" s="54" t="s">
        <v>181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3">
      <c r="A12" s="5" t="s">
        <v>169</v>
      </c>
      <c r="B12" s="56" t="s">
        <v>25</v>
      </c>
      <c r="C12" s="56"/>
      <c r="D12" s="56"/>
      <c r="E12" s="53" t="s">
        <v>181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3">
      <c r="A13" s="2" t="s">
        <v>179</v>
      </c>
      <c r="B13" s="60" t="s">
        <v>26</v>
      </c>
      <c r="C13" s="60"/>
      <c r="D13" s="60"/>
      <c r="E13" s="54" t="s">
        <v>120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3">
      <c r="A14" s="5"/>
      <c r="B14" s="56" t="s">
        <v>27</v>
      </c>
      <c r="C14" s="56"/>
      <c r="D14" s="56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68"/>
      <c r="C15" s="68"/>
      <c r="D15" s="68"/>
      <c r="E15" s="54"/>
      <c r="F15" s="14"/>
      <c r="G15" s="14"/>
      <c r="H15" s="12"/>
    </row>
    <row r="16" spans="1:12" x14ac:dyDescent="0.3">
      <c r="A16" s="5" t="s">
        <v>46</v>
      </c>
      <c r="B16" s="56" t="s">
        <v>28</v>
      </c>
      <c r="C16" s="56"/>
      <c r="D16" s="5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60" t="s">
        <v>22</v>
      </c>
      <c r="C17" s="60"/>
      <c r="D17" s="60"/>
      <c r="E17" s="54" t="s">
        <v>118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53" t="s">
        <v>118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3">
      <c r="A19" s="2"/>
      <c r="B19" s="60" t="s">
        <v>30</v>
      </c>
      <c r="C19" s="60"/>
      <c r="D19" s="60"/>
      <c r="E19" s="54">
        <v>6444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65"/>
      <c r="C20" s="66"/>
      <c r="D20" s="67"/>
      <c r="E20" s="53"/>
      <c r="F20" s="4"/>
      <c r="G20" s="4"/>
      <c r="H20" s="12"/>
    </row>
    <row r="21" spans="1:10" x14ac:dyDescent="0.3">
      <c r="A21" s="2" t="s">
        <v>176</v>
      </c>
      <c r="B21" s="60" t="s">
        <v>33</v>
      </c>
      <c r="C21" s="60"/>
      <c r="D21" s="60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148</v>
      </c>
      <c r="B22" s="56" t="s">
        <v>31</v>
      </c>
      <c r="C22" s="56"/>
      <c r="D22" s="56"/>
      <c r="E22" s="53">
        <v>6440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 t="s">
        <v>149</v>
      </c>
      <c r="B23" s="60" t="s">
        <v>48</v>
      </c>
      <c r="C23" s="60"/>
      <c r="D23" s="60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0" x14ac:dyDescent="0.3">
      <c r="A26" s="5"/>
      <c r="B26" s="56" t="s">
        <v>37</v>
      </c>
      <c r="C26" s="56"/>
      <c r="D26" s="56"/>
      <c r="E26" s="4" t="str">
        <f>C2</f>
        <v>Jesus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77" priority="2" operator="equal">
      <formula>"Returned"</formula>
    </cfRule>
    <cfRule type="cellIs" dxfId="76" priority="5" operator="equal">
      <formula>"Ready To Order"</formula>
    </cfRule>
    <cfRule type="cellIs" dxfId="75" priority="6" operator="equal">
      <formula>"UNP"</formula>
    </cfRule>
    <cfRule type="containsText" dxfId="74" priority="7" operator="containsText" text="Ordered">
      <formula>NOT(ISERROR(SEARCH("Ordered",G6)))</formula>
    </cfRule>
    <cfRule type="containsText" dxfId="73" priority="8" operator="containsText" text="Pick Up">
      <formula>NOT(ISERROR(SEARCH("Pick Up",G6)))</formula>
    </cfRule>
    <cfRule type="containsText" dxfId="72" priority="9" operator="containsText" text="Complete">
      <formula>NOT(ISERROR(SEARCH("Complete",G6)))</formula>
    </cfRule>
  </conditionalFormatting>
  <conditionalFormatting sqref="G30:G33">
    <cfRule type="containsText" dxfId="71" priority="4" operator="containsText" text="Given">
      <formula>NOT(ISERROR(SEARCH("Given",G30)))</formula>
    </cfRule>
  </conditionalFormatting>
  <conditionalFormatting sqref="G30:G34">
    <cfRule type="containsText" dxfId="70" priority="3" operator="containsText" text="Returned">
      <formula>NOT(ISERROR(SEARCH("Returned",G30)))</formula>
    </cfRule>
  </conditionalFormatting>
  <conditionalFormatting sqref="G6:G14 G21:G26 G16:G19">
    <cfRule type="cellIs" dxfId="69" priority="1" operator="equal">
      <formula>"In Stock"</formula>
    </cfRule>
  </conditionalFormatting>
  <dataValidations count="3">
    <dataValidation type="list" allowBlank="1" showInputMessage="1" showErrorMessage="1" sqref="G30:G34" xr:uid="{47F934E0-9FF7-43DB-AA84-EFAC21BAEABB}">
      <formula1>"--,Returned, Given"</formula1>
    </dataValidation>
    <dataValidation type="list" allowBlank="1" showInputMessage="1" showErrorMessage="1" sqref="G16:G19 G21:G24 G26 G6:G14" xr:uid="{2A5817B7-CC81-4FE8-9196-D43A678097D7}">
      <formula1>"UNP, Ready To Order, Ordered, In Stock, Pick Up, Complete, Returned"</formula1>
    </dataValidation>
    <dataValidation type="decimal" allowBlank="1" showInputMessage="1" showErrorMessage="1" sqref="L2" xr:uid="{E4BD1499-2C8E-4F4E-B91D-B8995C78827D}">
      <formula1>19</formula1>
      <formula2>26</formula2>
    </dataValidation>
  </dataValidations>
  <hyperlinks>
    <hyperlink ref="A1:A2" location="Menu!A1" display="Back to Menu" xr:uid="{C4AF2641-D5EE-4A1F-AD9E-C1D9A09ED9D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0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D02F9-B6D3-4BFA-837D-A024E60E9BB9}">
  <sheetPr codeName="Sheet97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58"/>
      <c r="B2" s="2"/>
      <c r="C2" s="60" t="s">
        <v>128</v>
      </c>
      <c r="D2" s="60"/>
      <c r="E2" s="60" t="s">
        <v>129</v>
      </c>
      <c r="F2" s="60"/>
      <c r="G2" s="1" t="s">
        <v>150</v>
      </c>
      <c r="K2" s="4" t="s">
        <v>9</v>
      </c>
      <c r="L2" s="4">
        <v>22</v>
      </c>
    </row>
    <row r="3" spans="1:12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64">
        <v>9999999999</v>
      </c>
      <c r="C4" s="64"/>
      <c r="D4" s="64"/>
      <c r="E4" s="60"/>
      <c r="F4" s="60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151</v>
      </c>
      <c r="B6" s="56" t="s">
        <v>18</v>
      </c>
      <c r="C6" s="56"/>
      <c r="D6" s="56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152</v>
      </c>
      <c r="B7" s="60" t="s">
        <v>21</v>
      </c>
      <c r="C7" s="60"/>
      <c r="D7" s="60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180</v>
      </c>
      <c r="B8" s="56" t="s">
        <v>19</v>
      </c>
      <c r="C8" s="56"/>
      <c r="D8" s="56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154</v>
      </c>
      <c r="B9" s="60" t="s">
        <v>20</v>
      </c>
      <c r="C9" s="60"/>
      <c r="D9" s="60"/>
      <c r="E9" s="54" t="s">
        <v>171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175</v>
      </c>
      <c r="B10" s="56" t="s">
        <v>24</v>
      </c>
      <c r="C10" s="56"/>
      <c r="D10" s="56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0" t="s">
        <v>23</v>
      </c>
      <c r="C11" s="60"/>
      <c r="D11" s="60"/>
      <c r="E11" s="54" t="s">
        <v>181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3">
      <c r="A12" s="5" t="s">
        <v>173</v>
      </c>
      <c r="B12" s="56" t="s">
        <v>25</v>
      </c>
      <c r="C12" s="56"/>
      <c r="D12" s="56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3">
      <c r="A13" s="2" t="s">
        <v>155</v>
      </c>
      <c r="B13" s="60" t="s">
        <v>26</v>
      </c>
      <c r="C13" s="60"/>
      <c r="D13" s="60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3">
      <c r="A14" s="5" t="s">
        <v>156</v>
      </c>
      <c r="B14" s="56" t="s">
        <v>27</v>
      </c>
      <c r="C14" s="56"/>
      <c r="D14" s="56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3">
      <c r="A15" s="2"/>
      <c r="B15" s="68"/>
      <c r="C15" s="68"/>
      <c r="D15" s="68"/>
      <c r="E15" s="54"/>
      <c r="F15" s="14"/>
      <c r="G15" s="14"/>
      <c r="H15" s="12"/>
    </row>
    <row r="16" spans="1:12" x14ac:dyDescent="0.3">
      <c r="A16" s="5" t="s">
        <v>46</v>
      </c>
      <c r="B16" s="56" t="s">
        <v>28</v>
      </c>
      <c r="C16" s="56"/>
      <c r="D16" s="5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60" t="s">
        <v>22</v>
      </c>
      <c r="C17" s="60"/>
      <c r="D17" s="60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3">
      <c r="A19" s="2"/>
      <c r="B19" s="60" t="s">
        <v>30</v>
      </c>
      <c r="C19" s="60"/>
      <c r="D19" s="60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65"/>
      <c r="C20" s="66"/>
      <c r="D20" s="67"/>
      <c r="E20" s="53"/>
      <c r="F20" s="4"/>
      <c r="G20" s="4"/>
      <c r="H20" s="12"/>
    </row>
    <row r="21" spans="1:10" x14ac:dyDescent="0.3">
      <c r="A21" s="2" t="s">
        <v>176</v>
      </c>
      <c r="B21" s="60" t="s">
        <v>33</v>
      </c>
      <c r="C21" s="60"/>
      <c r="D21" s="60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158</v>
      </c>
      <c r="B22" s="56" t="s">
        <v>31</v>
      </c>
      <c r="C22" s="56"/>
      <c r="D22" s="56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3">
      <c r="A23" s="2" t="s">
        <v>149</v>
      </c>
      <c r="B23" s="60" t="s">
        <v>48</v>
      </c>
      <c r="C23" s="60"/>
      <c r="D23" s="60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0" x14ac:dyDescent="0.3">
      <c r="A26" s="5"/>
      <c r="B26" s="56" t="s">
        <v>37</v>
      </c>
      <c r="C26" s="56"/>
      <c r="D26" s="56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68" priority="2" operator="equal">
      <formula>"Returned"</formula>
    </cfRule>
    <cfRule type="cellIs" dxfId="67" priority="5" operator="equal">
      <formula>"Ready To Order"</formula>
    </cfRule>
    <cfRule type="cellIs" dxfId="66" priority="6" operator="equal">
      <formula>"UNP"</formula>
    </cfRule>
    <cfRule type="containsText" dxfId="65" priority="7" operator="containsText" text="Ordered">
      <formula>NOT(ISERROR(SEARCH("Ordered",G6)))</formula>
    </cfRule>
    <cfRule type="containsText" dxfId="64" priority="8" operator="containsText" text="Pick Up">
      <formula>NOT(ISERROR(SEARCH("Pick Up",G6)))</formula>
    </cfRule>
    <cfRule type="containsText" dxfId="63" priority="9" operator="containsText" text="Complete">
      <formula>NOT(ISERROR(SEARCH("Complete",G6)))</formula>
    </cfRule>
  </conditionalFormatting>
  <conditionalFormatting sqref="G30:G33">
    <cfRule type="containsText" dxfId="62" priority="4" operator="containsText" text="Given">
      <formula>NOT(ISERROR(SEARCH("Given",G30)))</formula>
    </cfRule>
  </conditionalFormatting>
  <conditionalFormatting sqref="G30:G34">
    <cfRule type="containsText" dxfId="61" priority="3" operator="containsText" text="Returned">
      <formula>NOT(ISERROR(SEARCH("Returned",G30)))</formula>
    </cfRule>
  </conditionalFormatting>
  <conditionalFormatting sqref="G6:G14 G21:G26 G16:G19">
    <cfRule type="cellIs" dxfId="60" priority="1" operator="equal">
      <formula>"In Stock"</formula>
    </cfRule>
  </conditionalFormatting>
  <dataValidations count="3">
    <dataValidation type="list" allowBlank="1" showInputMessage="1" showErrorMessage="1" sqref="G30:G34" xr:uid="{37E1B9D2-893E-413F-ACFA-227F7C0A58DB}">
      <formula1>"--,Returned, Given"</formula1>
    </dataValidation>
    <dataValidation type="list" allowBlank="1" showInputMessage="1" showErrorMessage="1" sqref="G16:G19 G21:G24 G26 G6:G14" xr:uid="{F5ED6DB0-4FF3-4FFC-A933-BBC5E7F61934}">
      <formula1>"UNP, Ready To Order, Ordered, In Stock, Pick Up, Complete, Returned"</formula1>
    </dataValidation>
    <dataValidation type="decimal" allowBlank="1" showInputMessage="1" showErrorMessage="1" sqref="L2" xr:uid="{B258FDAF-6A67-487F-974A-DA303F274E21}">
      <formula1>19</formula1>
      <formula2>26</formula2>
    </dataValidation>
  </dataValidations>
  <hyperlinks>
    <hyperlink ref="A1:A2" location="Menu!A1" display="Back to Menu" xr:uid="{01CC9E99-8604-4245-A592-A2FBF37117E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42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BFD2-9C44-46A1-A25C-C01474F9FEA2}">
  <sheetPr codeName="Sheet98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58"/>
      <c r="B2" s="2" t="s">
        <v>130</v>
      </c>
      <c r="C2" s="60" t="s">
        <v>128</v>
      </c>
      <c r="D2" s="60"/>
      <c r="E2" s="60" t="s">
        <v>129</v>
      </c>
      <c r="F2" s="60"/>
      <c r="G2" s="1" t="s">
        <v>213</v>
      </c>
      <c r="K2" s="4" t="s">
        <v>9</v>
      </c>
      <c r="L2" s="4">
        <v>22</v>
      </c>
    </row>
    <row r="3" spans="1:12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64">
        <v>9999999999</v>
      </c>
      <c r="C4" s="64"/>
      <c r="D4" s="64"/>
      <c r="E4" s="60"/>
      <c r="F4" s="60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151</v>
      </c>
      <c r="B6" s="56" t="s">
        <v>18</v>
      </c>
      <c r="C6" s="56"/>
      <c r="D6" s="56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152</v>
      </c>
      <c r="B7" s="60" t="s">
        <v>21</v>
      </c>
      <c r="C7" s="60"/>
      <c r="D7" s="60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180</v>
      </c>
      <c r="B8" s="56" t="s">
        <v>19</v>
      </c>
      <c r="C8" s="56"/>
      <c r="D8" s="56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154</v>
      </c>
      <c r="B9" s="60" t="s">
        <v>20</v>
      </c>
      <c r="C9" s="60"/>
      <c r="D9" s="60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175</v>
      </c>
      <c r="B10" s="56" t="s">
        <v>24</v>
      </c>
      <c r="C10" s="56"/>
      <c r="D10" s="56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0" t="s">
        <v>23</v>
      </c>
      <c r="C11" s="60"/>
      <c r="D11" s="60"/>
      <c r="E11" s="54" t="s">
        <v>181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3">
      <c r="A12" s="5" t="s">
        <v>173</v>
      </c>
      <c r="B12" s="56" t="s">
        <v>25</v>
      </c>
      <c r="C12" s="56"/>
      <c r="D12" s="56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3">
      <c r="A13" s="2" t="s">
        <v>155</v>
      </c>
      <c r="B13" s="60" t="s">
        <v>26</v>
      </c>
      <c r="C13" s="60"/>
      <c r="D13" s="60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3">
      <c r="A14" s="5" t="s">
        <v>156</v>
      </c>
      <c r="B14" s="56" t="s">
        <v>27</v>
      </c>
      <c r="C14" s="56"/>
      <c r="D14" s="56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3">
      <c r="A15" s="2"/>
      <c r="B15" s="68"/>
      <c r="C15" s="68"/>
      <c r="D15" s="68"/>
      <c r="E15" s="54"/>
      <c r="F15" s="14"/>
      <c r="G15" s="14"/>
      <c r="H15" s="12"/>
    </row>
    <row r="16" spans="1:12" x14ac:dyDescent="0.3">
      <c r="A16" s="5" t="s">
        <v>46</v>
      </c>
      <c r="B16" s="56" t="s">
        <v>28</v>
      </c>
      <c r="C16" s="56"/>
      <c r="D16" s="5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60" t="s">
        <v>22</v>
      </c>
      <c r="C17" s="60"/>
      <c r="D17" s="60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3">
      <c r="A19" s="2"/>
      <c r="B19" s="60" t="s">
        <v>30</v>
      </c>
      <c r="C19" s="60"/>
      <c r="D19" s="60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65"/>
      <c r="C20" s="66"/>
      <c r="D20" s="67"/>
      <c r="E20" s="53"/>
      <c r="F20" s="4"/>
      <c r="G20" s="4"/>
      <c r="H20" s="12"/>
    </row>
    <row r="21" spans="1:10" x14ac:dyDescent="0.3">
      <c r="A21" s="2" t="s">
        <v>176</v>
      </c>
      <c r="B21" s="60" t="s">
        <v>33</v>
      </c>
      <c r="C21" s="60"/>
      <c r="D21" s="60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158</v>
      </c>
      <c r="B22" s="56" t="s">
        <v>31</v>
      </c>
      <c r="C22" s="56"/>
      <c r="D22" s="56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3">
      <c r="A23" s="2" t="s">
        <v>149</v>
      </c>
      <c r="B23" s="60" t="s">
        <v>48</v>
      </c>
      <c r="C23" s="60"/>
      <c r="D23" s="60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0" x14ac:dyDescent="0.3">
      <c r="A26" s="5"/>
      <c r="B26" s="56" t="s">
        <v>37</v>
      </c>
      <c r="C26" s="56"/>
      <c r="D26" s="56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59" priority="2" operator="equal">
      <formula>"Returned"</formula>
    </cfRule>
    <cfRule type="cellIs" dxfId="58" priority="5" operator="equal">
      <formula>"Ready To Order"</formula>
    </cfRule>
    <cfRule type="cellIs" dxfId="57" priority="6" operator="equal">
      <formula>"UNP"</formula>
    </cfRule>
    <cfRule type="containsText" dxfId="56" priority="7" operator="containsText" text="Ordered">
      <formula>NOT(ISERROR(SEARCH("Ordered",G6)))</formula>
    </cfRule>
    <cfRule type="containsText" dxfId="55" priority="8" operator="containsText" text="Pick Up">
      <formula>NOT(ISERROR(SEARCH("Pick Up",G6)))</formula>
    </cfRule>
    <cfRule type="containsText" dxfId="54" priority="9" operator="containsText" text="Complete">
      <formula>NOT(ISERROR(SEARCH("Complete",G6)))</formula>
    </cfRule>
  </conditionalFormatting>
  <conditionalFormatting sqref="G30:G33">
    <cfRule type="containsText" dxfId="53" priority="4" operator="containsText" text="Given">
      <formula>NOT(ISERROR(SEARCH("Given",G30)))</formula>
    </cfRule>
  </conditionalFormatting>
  <conditionalFormatting sqref="G30:G34">
    <cfRule type="containsText" dxfId="52" priority="3" operator="containsText" text="Returned">
      <formula>NOT(ISERROR(SEARCH("Returned",G30)))</formula>
    </cfRule>
  </conditionalFormatting>
  <conditionalFormatting sqref="G6:G14 G21:G26 G16:G19">
    <cfRule type="cellIs" dxfId="51" priority="1" operator="equal">
      <formula>"In Stock"</formula>
    </cfRule>
  </conditionalFormatting>
  <dataValidations count="3">
    <dataValidation type="list" allowBlank="1" showInputMessage="1" showErrorMessage="1" sqref="G30:G34" xr:uid="{E944F7DD-6936-49AC-933F-FD6E0DFAD884}">
      <formula1>"--,Returned, Given"</formula1>
    </dataValidation>
    <dataValidation type="list" allowBlank="1" showInputMessage="1" showErrorMessage="1" sqref="G16:G19 G21:G24 G26 G6:G14" xr:uid="{EB7976B2-ECED-4BBB-903A-9B610B78ECEB}">
      <formula1>"UNP, Ready To Order, Ordered, In Stock, Pick Up, Complete, Returned"</formula1>
    </dataValidation>
    <dataValidation type="decimal" allowBlank="1" showInputMessage="1" showErrorMessage="1" sqref="L2" xr:uid="{06109CD9-A95C-42FF-A24F-EA10D92CCA3B}">
      <formula1>19</formula1>
      <formula2>26</formula2>
    </dataValidation>
  </dataValidations>
  <hyperlinks>
    <hyperlink ref="A1:A2" location="Menu!A1" display="Back to Menu" xr:uid="{5A2C682B-0150-40BD-8F28-20046FA55FC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044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0DE88-CD30-4B43-A507-56E948D9AD2D}">
  <sheetPr codeName="Sheet99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58"/>
      <c r="B2" s="2" t="s">
        <v>130</v>
      </c>
      <c r="C2" s="60" t="s">
        <v>128</v>
      </c>
      <c r="D2" s="60"/>
      <c r="E2" s="60" t="s">
        <v>129</v>
      </c>
      <c r="F2" s="60"/>
      <c r="G2" s="1" t="s">
        <v>214</v>
      </c>
      <c r="K2" s="4" t="s">
        <v>9</v>
      </c>
      <c r="L2" s="4">
        <v>22</v>
      </c>
    </row>
    <row r="3" spans="1:12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64">
        <v>9999999999</v>
      </c>
      <c r="C4" s="64"/>
      <c r="D4" s="64"/>
      <c r="E4" s="60"/>
      <c r="F4" s="60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151</v>
      </c>
      <c r="B6" s="56" t="s">
        <v>18</v>
      </c>
      <c r="C6" s="56"/>
      <c r="D6" s="56"/>
      <c r="E6" s="53" t="s">
        <v>164</v>
      </c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201</v>
      </c>
      <c r="B7" s="60" t="s">
        <v>21</v>
      </c>
      <c r="C7" s="60"/>
      <c r="D7" s="60"/>
      <c r="E7" s="54" t="s">
        <v>200</v>
      </c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153</v>
      </c>
      <c r="B8" s="56" t="s">
        <v>19</v>
      </c>
      <c r="C8" s="56"/>
      <c r="D8" s="56"/>
      <c r="E8" s="53" t="s">
        <v>120</v>
      </c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203</v>
      </c>
      <c r="B9" s="60" t="s">
        <v>20</v>
      </c>
      <c r="C9" s="60"/>
      <c r="D9" s="60"/>
      <c r="E9" s="54" t="s">
        <v>202</v>
      </c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135</v>
      </c>
      <c r="B10" s="56" t="s">
        <v>24</v>
      </c>
      <c r="C10" s="56"/>
      <c r="D10" s="56"/>
      <c r="E10" s="53" t="s">
        <v>182</v>
      </c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0" t="s">
        <v>23</v>
      </c>
      <c r="C11" s="60"/>
      <c r="D11" s="60"/>
      <c r="E11" s="54" t="s">
        <v>55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3">
      <c r="A12" s="5" t="s">
        <v>204</v>
      </c>
      <c r="B12" s="56" t="s">
        <v>25</v>
      </c>
      <c r="C12" s="56"/>
      <c r="D12" s="56"/>
      <c r="E12" s="53" t="s">
        <v>120</v>
      </c>
      <c r="F12" s="4">
        <v>1</v>
      </c>
      <c r="G12" s="23" t="s">
        <v>45</v>
      </c>
      <c r="H12" s="26" t="str">
        <f>HYPERLINK("#G12",CHAR(128))</f>
        <v>€</v>
      </c>
    </row>
    <row r="13" spans="1:12" x14ac:dyDescent="0.3">
      <c r="A13" s="2" t="s">
        <v>178</v>
      </c>
      <c r="B13" s="60" t="s">
        <v>26</v>
      </c>
      <c r="C13" s="60"/>
      <c r="D13" s="60"/>
      <c r="E13" s="54" t="s">
        <v>205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156</v>
      </c>
      <c r="B14" s="56" t="s">
        <v>27</v>
      </c>
      <c r="C14" s="56"/>
      <c r="D14" s="56"/>
      <c r="E14" s="53" t="s">
        <v>121</v>
      </c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68"/>
      <c r="C15" s="68"/>
      <c r="D15" s="68"/>
      <c r="E15" s="54"/>
      <c r="F15" s="14"/>
      <c r="G15" s="14"/>
      <c r="H15" s="12"/>
    </row>
    <row r="16" spans="1:12" x14ac:dyDescent="0.3">
      <c r="A16" s="5" t="s">
        <v>46</v>
      </c>
      <c r="B16" s="56" t="s">
        <v>28</v>
      </c>
      <c r="C16" s="56"/>
      <c r="D16" s="56"/>
      <c r="E16" s="53" t="s">
        <v>51</v>
      </c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206</v>
      </c>
      <c r="B17" s="60" t="s">
        <v>22</v>
      </c>
      <c r="C17" s="60"/>
      <c r="D17" s="60"/>
      <c r="E17" s="54" t="s">
        <v>67</v>
      </c>
      <c r="F17" s="14">
        <v>1</v>
      </c>
      <c r="G17" s="23" t="s">
        <v>45</v>
      </c>
      <c r="H17" s="21" t="str">
        <f>HYPERLINK("#G17",CHAR(128))</f>
        <v>€</v>
      </c>
    </row>
    <row r="18" spans="1:10" x14ac:dyDescent="0.3">
      <c r="A18" s="5" t="s">
        <v>157</v>
      </c>
      <c r="B18" s="56" t="s">
        <v>29</v>
      </c>
      <c r="C18" s="56"/>
      <c r="D18" s="56"/>
      <c r="E18" s="53" t="s">
        <v>170</v>
      </c>
      <c r="F18" s="4">
        <v>1</v>
      </c>
      <c r="G18" s="23" t="s">
        <v>45</v>
      </c>
      <c r="H18" s="21" t="str">
        <f>HYPERLINK("#G18",CHAR(128))</f>
        <v>€</v>
      </c>
    </row>
    <row r="19" spans="1:10" x14ac:dyDescent="0.3">
      <c r="A19" s="2" t="s">
        <v>208</v>
      </c>
      <c r="B19" s="60" t="s">
        <v>30</v>
      </c>
      <c r="C19" s="60"/>
      <c r="D19" s="60"/>
      <c r="E19" s="54" t="s">
        <v>207</v>
      </c>
      <c r="F19" s="14">
        <v>1</v>
      </c>
      <c r="G19" s="23" t="s">
        <v>45</v>
      </c>
      <c r="H19" s="21" t="str">
        <f>HYPERLINK("#G19",CHAR(128))</f>
        <v>€</v>
      </c>
    </row>
    <row r="20" spans="1:10" x14ac:dyDescent="0.3">
      <c r="A20" s="5"/>
      <c r="B20" s="65"/>
      <c r="C20" s="66"/>
      <c r="D20" s="67"/>
      <c r="E20" s="53"/>
      <c r="F20" s="4"/>
      <c r="G20" s="4"/>
      <c r="H20" s="12"/>
    </row>
    <row r="21" spans="1:10" x14ac:dyDescent="0.3">
      <c r="A21" s="2" t="s">
        <v>137</v>
      </c>
      <c r="B21" s="60" t="s">
        <v>33</v>
      </c>
      <c r="C21" s="60"/>
      <c r="D21" s="60"/>
      <c r="E21" s="54" t="s">
        <v>182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158</v>
      </c>
      <c r="B22" s="56" t="s">
        <v>31</v>
      </c>
      <c r="C22" s="56"/>
      <c r="D22" s="56"/>
      <c r="E22" s="53" t="s">
        <v>164</v>
      </c>
      <c r="F22" s="4">
        <v>1</v>
      </c>
      <c r="G22" s="23" t="s">
        <v>45</v>
      </c>
      <c r="H22" s="21" t="str">
        <f>HYPERLINK("#G22",CHAR(128))</f>
        <v>€</v>
      </c>
    </row>
    <row r="23" spans="1:10" x14ac:dyDescent="0.3">
      <c r="A23" s="2" t="s">
        <v>172</v>
      </c>
      <c r="B23" s="60" t="s">
        <v>48</v>
      </c>
      <c r="C23" s="60"/>
      <c r="D23" s="60"/>
      <c r="E23" s="54" t="s">
        <v>209</v>
      </c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3">
      <c r="A24" s="5" t="s">
        <v>211</v>
      </c>
      <c r="B24" s="56" t="s">
        <v>32</v>
      </c>
      <c r="C24" s="56"/>
      <c r="D24" s="56"/>
      <c r="E24" s="53" t="s">
        <v>210</v>
      </c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0" x14ac:dyDescent="0.3">
      <c r="A26" s="5"/>
      <c r="B26" s="56" t="s">
        <v>37</v>
      </c>
      <c r="C26" s="56"/>
      <c r="D26" s="56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50" priority="2" operator="equal">
      <formula>"Returned"</formula>
    </cfRule>
    <cfRule type="cellIs" dxfId="49" priority="5" operator="equal">
      <formula>"Ready To Order"</formula>
    </cfRule>
    <cfRule type="cellIs" dxfId="48" priority="6" operator="equal">
      <formula>"UNP"</formula>
    </cfRule>
    <cfRule type="containsText" dxfId="47" priority="7" operator="containsText" text="Ordered">
      <formula>NOT(ISERROR(SEARCH("Ordered",G6)))</formula>
    </cfRule>
    <cfRule type="containsText" dxfId="46" priority="8" operator="containsText" text="Pick Up">
      <formula>NOT(ISERROR(SEARCH("Pick Up",G6)))</formula>
    </cfRule>
    <cfRule type="containsText" dxfId="45" priority="9" operator="containsText" text="Complete">
      <formula>NOT(ISERROR(SEARCH("Complete",G6)))</formula>
    </cfRule>
  </conditionalFormatting>
  <conditionalFormatting sqref="G30:G33">
    <cfRule type="containsText" dxfId="44" priority="4" operator="containsText" text="Given">
      <formula>NOT(ISERROR(SEARCH("Given",G30)))</formula>
    </cfRule>
  </conditionalFormatting>
  <conditionalFormatting sqref="G30:G34">
    <cfRule type="containsText" dxfId="43" priority="3" operator="containsText" text="Returned">
      <formula>NOT(ISERROR(SEARCH("Returned",G30)))</formula>
    </cfRule>
  </conditionalFormatting>
  <conditionalFormatting sqref="G6:G14 G21:G26 G16:G19">
    <cfRule type="cellIs" dxfId="42" priority="1" operator="equal">
      <formula>"In Stock"</formula>
    </cfRule>
  </conditionalFormatting>
  <dataValidations count="3">
    <dataValidation type="list" allowBlank="1" showInputMessage="1" showErrorMessage="1" sqref="G30:G34" xr:uid="{29DDAAAA-171C-4B82-BA1A-82939D0F1945}">
      <formula1>"--,Returned, Given"</formula1>
    </dataValidation>
    <dataValidation type="list" allowBlank="1" showInputMessage="1" showErrorMessage="1" sqref="G16:G19 G21:G24 G26 G6:G14" xr:uid="{94EB0E6E-1948-4F00-A2CB-9A69418C10EC}">
      <formula1>"UNP, Ready To Order, Ordered, In Stock, Pick Up, Complete, Returned"</formula1>
    </dataValidation>
    <dataValidation type="decimal" allowBlank="1" showInputMessage="1" showErrorMessage="1" sqref="L2" xr:uid="{4D31CC29-4757-4813-97B4-192D832A63AD}">
      <formula1>19</formula1>
      <formula2>26</formula2>
    </dataValidation>
  </dataValidations>
  <hyperlinks>
    <hyperlink ref="A1:A2" location="Menu!A1" display="Back to Menu" xr:uid="{28DB0EEC-3480-4E3E-A80E-6681EE84BAB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147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7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7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7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7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E7E73-4925-4D55-B031-7BC8BD4666AA}">
  <sheetPr codeName="Sheet100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58"/>
      <c r="B2" s="2" t="s">
        <v>130</v>
      </c>
      <c r="C2" s="60" t="s">
        <v>128</v>
      </c>
      <c r="D2" s="60"/>
      <c r="E2" s="60" t="s">
        <v>129</v>
      </c>
      <c r="F2" s="60"/>
      <c r="G2" s="1" t="s">
        <v>215</v>
      </c>
      <c r="K2" s="4" t="s">
        <v>9</v>
      </c>
      <c r="L2" s="4">
        <v>22</v>
      </c>
    </row>
    <row r="3" spans="1:12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64">
        <v>9999999999</v>
      </c>
      <c r="C4" s="64"/>
      <c r="D4" s="64"/>
      <c r="E4" s="60"/>
      <c r="F4" s="60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151</v>
      </c>
      <c r="B6" s="56" t="s">
        <v>18</v>
      </c>
      <c r="C6" s="56"/>
      <c r="D6" s="56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152</v>
      </c>
      <c r="B7" s="60" t="s">
        <v>21</v>
      </c>
      <c r="C7" s="60"/>
      <c r="D7" s="60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180</v>
      </c>
      <c r="B8" s="56" t="s">
        <v>19</v>
      </c>
      <c r="C8" s="56"/>
      <c r="D8" s="56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154</v>
      </c>
      <c r="B9" s="60" t="s">
        <v>20</v>
      </c>
      <c r="C9" s="60"/>
      <c r="D9" s="60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175</v>
      </c>
      <c r="B10" s="56" t="s">
        <v>24</v>
      </c>
      <c r="C10" s="56"/>
      <c r="D10" s="56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0" t="s">
        <v>23</v>
      </c>
      <c r="C11" s="60"/>
      <c r="D11" s="60"/>
      <c r="E11" s="54" t="s">
        <v>181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3">
      <c r="A12" s="5" t="s">
        <v>173</v>
      </c>
      <c r="B12" s="56" t="s">
        <v>25</v>
      </c>
      <c r="C12" s="56"/>
      <c r="D12" s="56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3">
      <c r="A13" s="2" t="s">
        <v>155</v>
      </c>
      <c r="B13" s="60" t="s">
        <v>26</v>
      </c>
      <c r="C13" s="60"/>
      <c r="D13" s="60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3">
      <c r="A14" s="5" t="s">
        <v>156</v>
      </c>
      <c r="B14" s="56" t="s">
        <v>27</v>
      </c>
      <c r="C14" s="56"/>
      <c r="D14" s="56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3">
      <c r="A15" s="2"/>
      <c r="B15" s="68"/>
      <c r="C15" s="68"/>
      <c r="D15" s="68"/>
      <c r="E15" s="54"/>
      <c r="F15" s="14"/>
      <c r="G15" s="14"/>
      <c r="H15" s="12"/>
    </row>
    <row r="16" spans="1:12" x14ac:dyDescent="0.3">
      <c r="A16" s="5" t="s">
        <v>46</v>
      </c>
      <c r="B16" s="56" t="s">
        <v>28</v>
      </c>
      <c r="C16" s="56"/>
      <c r="D16" s="5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60" t="s">
        <v>22</v>
      </c>
      <c r="C17" s="60"/>
      <c r="D17" s="60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3">
      <c r="A18" s="5"/>
      <c r="B18" s="56" t="s">
        <v>29</v>
      </c>
      <c r="C18" s="56"/>
      <c r="D18" s="56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3">
      <c r="A19" s="2"/>
      <c r="B19" s="60" t="s">
        <v>30</v>
      </c>
      <c r="C19" s="60"/>
      <c r="D19" s="60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65"/>
      <c r="C20" s="66"/>
      <c r="D20" s="67"/>
      <c r="E20" s="53"/>
      <c r="F20" s="4"/>
      <c r="G20" s="4"/>
      <c r="H20" s="12"/>
    </row>
    <row r="21" spans="1:10" x14ac:dyDescent="0.3">
      <c r="A21" s="2" t="s">
        <v>176</v>
      </c>
      <c r="B21" s="60" t="s">
        <v>33</v>
      </c>
      <c r="C21" s="60"/>
      <c r="D21" s="60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158</v>
      </c>
      <c r="B22" s="56" t="s">
        <v>31</v>
      </c>
      <c r="C22" s="56"/>
      <c r="D22" s="56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3">
      <c r="A23" s="2" t="s">
        <v>149</v>
      </c>
      <c r="B23" s="60" t="s">
        <v>48</v>
      </c>
      <c r="C23" s="60"/>
      <c r="D23" s="60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56" t="s">
        <v>32</v>
      </c>
      <c r="C24" s="56"/>
      <c r="D24" s="5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0" x14ac:dyDescent="0.3">
      <c r="A26" s="5"/>
      <c r="B26" s="56" t="s">
        <v>37</v>
      </c>
      <c r="C26" s="56"/>
      <c r="D26" s="56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41" priority="2" operator="equal">
      <formula>"Returned"</formula>
    </cfRule>
    <cfRule type="cellIs" dxfId="40" priority="5" operator="equal">
      <formula>"Ready To Order"</formula>
    </cfRule>
    <cfRule type="cellIs" dxfId="39" priority="6" operator="equal">
      <formula>"UNP"</formula>
    </cfRule>
    <cfRule type="containsText" dxfId="38" priority="7" operator="containsText" text="Ordered">
      <formula>NOT(ISERROR(SEARCH("Ordered",G6)))</formula>
    </cfRule>
    <cfRule type="containsText" dxfId="37" priority="8" operator="containsText" text="Pick Up">
      <formula>NOT(ISERROR(SEARCH("Pick Up",G6)))</formula>
    </cfRule>
    <cfRule type="containsText" dxfId="36" priority="9" operator="containsText" text="Complete">
      <formula>NOT(ISERROR(SEARCH("Complete",G6)))</formula>
    </cfRule>
  </conditionalFormatting>
  <conditionalFormatting sqref="G30:G33">
    <cfRule type="containsText" dxfId="35" priority="4" operator="containsText" text="Given">
      <formula>NOT(ISERROR(SEARCH("Given",G30)))</formula>
    </cfRule>
  </conditionalFormatting>
  <conditionalFormatting sqref="G30:G34">
    <cfRule type="containsText" dxfId="34" priority="3" operator="containsText" text="Returned">
      <formula>NOT(ISERROR(SEARCH("Returned",G30)))</formula>
    </cfRule>
  </conditionalFormatting>
  <conditionalFormatting sqref="G6:G14 G21:G26 G16:G19">
    <cfRule type="cellIs" dxfId="33" priority="1" operator="equal">
      <formula>"In Stock"</formula>
    </cfRule>
  </conditionalFormatting>
  <dataValidations count="3">
    <dataValidation type="list" allowBlank="1" showInputMessage="1" showErrorMessage="1" sqref="G30:G34" xr:uid="{22EEB08C-8D1C-4E2E-8E21-6BC25A5477BC}">
      <formula1>"--,Returned, Given"</formula1>
    </dataValidation>
    <dataValidation type="list" allowBlank="1" showInputMessage="1" showErrorMessage="1" sqref="G16:G19 G21:G24 G26 G6:G14" xr:uid="{890748DE-2048-4E48-8D2A-93364C059460}">
      <formula1>"UNP, Ready To Order, Ordered, In Stock, Pick Up, Complete, Returned"</formula1>
    </dataValidation>
    <dataValidation type="decimal" allowBlank="1" showInputMessage="1" showErrorMessage="1" sqref="L2" xr:uid="{54DA508A-9950-4BE5-A972-93B0B7AA871F}">
      <formula1>19</formula1>
      <formula2>26</formula2>
    </dataValidation>
  </dataValidations>
  <hyperlinks>
    <hyperlink ref="A1:A2" location="Menu!A1" display="Back to Menu" xr:uid="{0B79548E-7EA4-4E2C-A9EE-12D2883B2F5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249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9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9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0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0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5.05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" customHeight="1" x14ac:dyDescent="0.3">
      <c r="A1" s="5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ht="17.2" customHeight="1" x14ac:dyDescent="0.3">
      <c r="A2" s="58"/>
      <c r="B2" s="2"/>
      <c r="C2" s="60"/>
      <c r="D2" s="60"/>
      <c r="E2" s="60"/>
      <c r="F2" s="60"/>
      <c r="G2" s="1"/>
      <c r="K2" s="4" t="s">
        <v>9</v>
      </c>
      <c r="L2" s="4"/>
    </row>
    <row r="3" spans="1:12" ht="17.2" customHeight="1" x14ac:dyDescent="0.3">
      <c r="A3" s="18" t="s">
        <v>1</v>
      </c>
      <c r="B3" s="61" t="s">
        <v>4</v>
      </c>
      <c r="C3" s="62"/>
      <c r="D3" s="63"/>
      <c r="E3" s="61" t="s">
        <v>49</v>
      </c>
      <c r="F3" s="63"/>
      <c r="G3" s="18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64"/>
      <c r="C4" s="64"/>
      <c r="D4" s="64"/>
      <c r="E4" s="60"/>
      <c r="F4" s="60"/>
      <c r="G4" s="1"/>
      <c r="K4" s="4" t="s">
        <v>12</v>
      </c>
      <c r="L4" s="4"/>
    </row>
    <row r="5" spans="1:12" ht="17.2" customHeight="1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" customHeight="1" x14ac:dyDescent="0.3">
      <c r="A6" s="3"/>
      <c r="B6" s="56" t="s">
        <v>18</v>
      </c>
      <c r="C6" s="56"/>
      <c r="D6" s="56"/>
      <c r="E6" s="53"/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60" t="s">
        <v>21</v>
      </c>
      <c r="C7" s="60"/>
      <c r="D7" s="60"/>
      <c r="E7" s="54"/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56" t="s">
        <v>19</v>
      </c>
      <c r="C8" s="56"/>
      <c r="D8" s="56"/>
      <c r="E8" s="53"/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60" t="s">
        <v>20</v>
      </c>
      <c r="C9" s="60"/>
      <c r="D9" s="60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/>
    </row>
    <row r="10" spans="1:12" ht="17.2" customHeight="1" x14ac:dyDescent="0.3">
      <c r="A10" s="3"/>
      <c r="B10" s="56" t="s">
        <v>24</v>
      </c>
      <c r="C10" s="56"/>
      <c r="D10" s="56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ht="17.2" customHeight="1" x14ac:dyDescent="0.3">
      <c r="A11" s="2"/>
      <c r="B11" s="60" t="s">
        <v>23</v>
      </c>
      <c r="C11" s="60"/>
      <c r="D11" s="60"/>
      <c r="E11" s="54"/>
      <c r="F11" s="14">
        <v>1</v>
      </c>
      <c r="G11" s="23" t="s">
        <v>45</v>
      </c>
      <c r="H11" s="26" t="str">
        <f>HYPERLINK("#G11",CHAR(128))</f>
        <v>€</v>
      </c>
    </row>
    <row r="12" spans="1:12" ht="17.2" customHeight="1" x14ac:dyDescent="0.3">
      <c r="A12" s="5"/>
      <c r="B12" s="56" t="s">
        <v>25</v>
      </c>
      <c r="C12" s="56"/>
      <c r="D12" s="56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ht="17.2" customHeight="1" x14ac:dyDescent="0.3">
      <c r="A13" s="2"/>
      <c r="B13" s="60" t="s">
        <v>26</v>
      </c>
      <c r="C13" s="60"/>
      <c r="D13" s="60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ht="17.2" customHeight="1" x14ac:dyDescent="0.3">
      <c r="A14" s="5"/>
      <c r="B14" s="56" t="s">
        <v>27</v>
      </c>
      <c r="C14" s="56"/>
      <c r="D14" s="56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ht="17.2" customHeight="1" x14ac:dyDescent="0.3">
      <c r="A15" s="2"/>
      <c r="B15" s="68"/>
      <c r="C15" s="68"/>
      <c r="D15" s="68"/>
      <c r="E15" s="54"/>
      <c r="F15" s="14"/>
      <c r="G15" s="14"/>
      <c r="H15" s="12"/>
    </row>
    <row r="16" spans="1:12" ht="17.2" customHeight="1" x14ac:dyDescent="0.3">
      <c r="A16" s="5"/>
      <c r="B16" s="56" t="s">
        <v>28</v>
      </c>
      <c r="C16" s="56"/>
      <c r="D16" s="5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4" ht="17.2" customHeight="1" x14ac:dyDescent="0.3">
      <c r="A17" s="2"/>
      <c r="B17" s="60" t="s">
        <v>22</v>
      </c>
      <c r="C17" s="60"/>
      <c r="D17" s="60"/>
      <c r="E17" s="54"/>
      <c r="F17" s="14">
        <v>1</v>
      </c>
      <c r="G17" s="23" t="s">
        <v>45</v>
      </c>
      <c r="H17" s="21" t="str">
        <f>HYPERLINK("#G17",CHAR(128))</f>
        <v>€</v>
      </c>
    </row>
    <row r="18" spans="1:14" ht="17.2" customHeight="1" x14ac:dyDescent="0.3">
      <c r="A18" s="5"/>
      <c r="B18" s="56" t="s">
        <v>29</v>
      </c>
      <c r="C18" s="56"/>
      <c r="D18" s="56"/>
      <c r="E18" s="53"/>
      <c r="F18" s="4">
        <v>1</v>
      </c>
      <c r="G18" s="23" t="s">
        <v>45</v>
      </c>
      <c r="H18" s="21" t="str">
        <f>HYPERLINK("#G18",CHAR(128))</f>
        <v>€</v>
      </c>
    </row>
    <row r="19" spans="1:14" ht="17.2" customHeight="1" x14ac:dyDescent="0.3">
      <c r="A19" s="2"/>
      <c r="B19" s="60" t="s">
        <v>30</v>
      </c>
      <c r="C19" s="60"/>
      <c r="D19" s="60"/>
      <c r="E19" s="54"/>
      <c r="F19" s="14">
        <v>1</v>
      </c>
      <c r="G19" s="23" t="s">
        <v>45</v>
      </c>
      <c r="H19" s="21" t="str">
        <f>HYPERLINK("#G19",CHAR(128))</f>
        <v>€</v>
      </c>
    </row>
    <row r="20" spans="1:14" ht="17.2" customHeight="1" x14ac:dyDescent="0.3">
      <c r="A20" s="5"/>
      <c r="B20" s="65"/>
      <c r="C20" s="66"/>
      <c r="D20" s="67"/>
      <c r="E20" s="53"/>
      <c r="F20" s="4"/>
      <c r="G20" s="4"/>
      <c r="H20" s="12"/>
    </row>
    <row r="21" spans="1:14" ht="14.4" x14ac:dyDescent="0.3">
      <c r="A21" s="2"/>
      <c r="B21" s="60" t="s">
        <v>33</v>
      </c>
      <c r="C21" s="60"/>
      <c r="D21" s="60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4" ht="14.4" x14ac:dyDescent="0.3">
      <c r="A22" s="5"/>
      <c r="B22" s="56" t="s">
        <v>31</v>
      </c>
      <c r="C22" s="56"/>
      <c r="D22" s="56"/>
      <c r="E22" s="53"/>
      <c r="F22" s="4">
        <v>1</v>
      </c>
      <c r="G22" s="23" t="s">
        <v>45</v>
      </c>
      <c r="H22" s="21" t="str">
        <f>HYPERLINK("#G22",CHAR(128))</f>
        <v>€</v>
      </c>
      <c r="N22" s="2"/>
    </row>
    <row r="23" spans="1:14" ht="14.4" x14ac:dyDescent="0.3">
      <c r="A23" s="2"/>
      <c r="B23" s="60" t="s">
        <v>48</v>
      </c>
      <c r="C23" s="60"/>
      <c r="D23" s="60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4" ht="14.4" x14ac:dyDescent="0.3">
      <c r="A24" s="5"/>
      <c r="B24" s="56" t="s">
        <v>32</v>
      </c>
      <c r="C24" s="56"/>
      <c r="D24" s="5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4" ht="14.4" x14ac:dyDescent="0.3">
      <c r="A25" s="2"/>
      <c r="B25" s="60"/>
      <c r="C25" s="60"/>
      <c r="D25" s="60"/>
      <c r="E25" s="1"/>
      <c r="F25" s="14"/>
      <c r="G25" s="14"/>
      <c r="H25" s="12"/>
      <c r="I25" s="10"/>
    </row>
    <row r="26" spans="1:14" ht="14.4" x14ac:dyDescent="0.3">
      <c r="A26" s="5"/>
      <c r="B26" s="56" t="s">
        <v>37</v>
      </c>
      <c r="C26" s="56"/>
      <c r="D26" s="56"/>
      <c r="E26" s="4">
        <f>C2</f>
        <v>0</v>
      </c>
      <c r="F26" s="4">
        <v>1</v>
      </c>
      <c r="G26" s="23" t="s">
        <v>45</v>
      </c>
      <c r="H26" s="22" t="str">
        <f>HYPERLINK("#G26",CHAR(128))</f>
        <v>€</v>
      </c>
    </row>
    <row r="28" spans="1:14" ht="14.4" x14ac:dyDescent="0.3">
      <c r="J28" s="16"/>
    </row>
    <row r="29" spans="1:14" ht="14.4" x14ac:dyDescent="0.3">
      <c r="A29" s="18"/>
      <c r="B29" s="59" t="s">
        <v>50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4" ht="14.4" x14ac:dyDescent="0.3">
      <c r="A30" s="3"/>
      <c r="B30" s="56"/>
      <c r="C30" s="56"/>
      <c r="D30" s="56"/>
      <c r="E30" s="4"/>
      <c r="F30" s="8">
        <v>1</v>
      </c>
      <c r="G30" s="15"/>
      <c r="H30" s="17" t="str">
        <f>HYPERLINK("#G30",CHAR(128))</f>
        <v>€</v>
      </c>
    </row>
    <row r="31" spans="1:14" ht="14.4" x14ac:dyDescent="0.3">
      <c r="A31" s="2"/>
      <c r="B31" s="60"/>
      <c r="C31" s="60"/>
      <c r="D31" s="60"/>
      <c r="E31" s="1"/>
      <c r="F31" s="14">
        <v>1</v>
      </c>
      <c r="G31" s="24"/>
      <c r="H31" s="17" t="str">
        <f>HYPERLINK("#G31",CHAR(128))</f>
        <v>€</v>
      </c>
    </row>
    <row r="32" spans="1:14" ht="14.4" x14ac:dyDescent="0.3">
      <c r="A32" s="3"/>
      <c r="B32" s="56"/>
      <c r="C32" s="56"/>
      <c r="D32" s="56"/>
      <c r="E32" s="4"/>
      <c r="F32" s="4">
        <v>1</v>
      </c>
      <c r="G32" s="25"/>
      <c r="H32" s="17" t="str">
        <f>HYPERLINK("#G32",CHAR(128))</f>
        <v>€</v>
      </c>
    </row>
    <row r="33" spans="1:8" ht="14.4" x14ac:dyDescent="0.3">
      <c r="A33" s="2"/>
      <c r="B33" s="60"/>
      <c r="C33" s="60"/>
      <c r="D33" s="60"/>
      <c r="E33" s="1"/>
      <c r="F33" s="14">
        <v>1</v>
      </c>
      <c r="G33" s="24"/>
      <c r="H33" s="17" t="str">
        <f>HYPERLINK("#G33",CHAR(128))</f>
        <v>€</v>
      </c>
    </row>
    <row r="34" spans="1:8" ht="14.4" x14ac:dyDescent="0.3">
      <c r="A34" s="3"/>
      <c r="B34" s="56"/>
      <c r="C34" s="56"/>
      <c r="D34" s="56"/>
      <c r="E34" s="4"/>
      <c r="F34" s="4">
        <v>1</v>
      </c>
      <c r="G34" s="25"/>
      <c r="H34" s="17" t="str">
        <f>HYPERLINK("#G34",CHAR(128))</f>
        <v>€</v>
      </c>
    </row>
    <row r="37" spans="1:8" ht="14.4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ht="14.4" x14ac:dyDescent="0.3">
      <c r="A38" s="37"/>
      <c r="B38" s="37"/>
      <c r="C38" s="37"/>
      <c r="D38" s="37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32" priority="2" operator="equal">
      <formula>"Returned"</formula>
    </cfRule>
    <cfRule type="cellIs" dxfId="31" priority="12" operator="equal">
      <formula>"Ready To Order"</formula>
    </cfRule>
    <cfRule type="cellIs" dxfId="30" priority="13" operator="equal">
      <formula>"UNP"</formula>
    </cfRule>
    <cfRule type="containsText" dxfId="29" priority="14" operator="containsText" text="Ordered">
      <formula>NOT(ISERROR(SEARCH("Ordered",G6)))</formula>
    </cfRule>
    <cfRule type="containsText" dxfId="28" priority="15" operator="containsText" text="Pick Up">
      <formula>NOT(ISERROR(SEARCH("Pick Up",G6)))</formula>
    </cfRule>
    <cfRule type="containsText" dxfId="27" priority="16" operator="containsText" text="Complete">
      <formula>NOT(ISERROR(SEARCH("Complete",G6)))</formula>
    </cfRule>
  </conditionalFormatting>
  <conditionalFormatting sqref="G30:G33">
    <cfRule type="containsText" dxfId="26" priority="4" operator="containsText" text="Given">
      <formula>NOT(ISERROR(SEARCH("Given",G30)))</formula>
    </cfRule>
  </conditionalFormatting>
  <conditionalFormatting sqref="G30:G34">
    <cfRule type="containsText" dxfId="25" priority="3" operator="containsText" text="Returned">
      <formula>NOT(ISERROR(SEARCH("Returned",G30)))</formula>
    </cfRule>
  </conditionalFormatting>
  <conditionalFormatting sqref="G6:G14 G21:G26 G16:G19">
    <cfRule type="cellIs" dxfId="24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Menu</vt:lpstr>
      <vt:lpstr>Pickup</vt:lpstr>
      <vt:lpstr>Master</vt:lpstr>
      <vt:lpstr>Import Sheets</vt:lpstr>
      <vt:lpstr>Charlie_Clark_74CD899D</vt:lpstr>
      <vt:lpstr>Isabella_Taylor_D098F288</vt:lpstr>
      <vt:lpstr>Banks_Rob_B4DD32A8</vt:lpstr>
      <vt:lpstr>Rophone_Mike_747A9E83</vt:lpstr>
      <vt:lpstr>Christ_Jesus_87519091</vt:lpstr>
      <vt:lpstr>Rhea_Dia_A5D0E0B7</vt:lpstr>
      <vt:lpstr>Rhea_Dia_8BDCFB9F</vt:lpstr>
      <vt:lpstr>Rhea_Dia_D81CFC8E</vt:lpstr>
      <vt:lpstr>Rhea_Dia_BB77129F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2024-01-13T21:39:03Z</cp:lastPrinted>
  <dcterms:created xsi:type="dcterms:W3CDTF">2023-08-20T19:28:09Z</dcterms:created>
  <dcterms:modified xsi:type="dcterms:W3CDTF">2024-01-14T23:57:00Z</dcterms:modified>
</cp:coreProperties>
</file>