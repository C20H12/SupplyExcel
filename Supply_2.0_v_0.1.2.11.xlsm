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3888" documentId="13_ncr:1_{AC6987EB-A790-4579-B5E3-78684205F9CB}" xr6:coauthVersionLast="47" xr6:coauthVersionMax="47" xr10:uidLastSave="{9620E44F-07F2-4ADE-A559-61E89E471782}"/>
  <bookViews>
    <workbookView xWindow="-108" yWindow="-108" windowWidth="23256" windowHeight="12456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Template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<sst xmlns="http://schemas.openxmlformats.org/spreadsheetml/2006/main" count="164" uniqueCount="79">
  <si>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</si>
  <si>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</si>
  <si>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</si>
  <si>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</si>
  <si>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</si>
  <si>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</si>
  <si>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</si>
  <si>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</si>
  <si>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</si>
  <si>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</si>
  <si>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</si>
  <si>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</si>
  <si>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</si>
  <si>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</si>
  <si>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</si>
  <si>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</si>
  <si>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</si>
  <si>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</si>
  <si>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</si>
  <si>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</si>
  <si>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</si>
  <si>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</si>
  <si>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</si>
  <si>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</si>
  <si>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</si>
  <si>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</si>
  <si>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</si>
  <si>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</si>
  <si>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</si>
  <si>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</si>
  <si>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</si>
  <si>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</si>
  <si>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</si>
  <si>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</si>
  <si>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</si>
  <si>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</si>
  <si>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</si>
  <si>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</si>
  <si>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</si>
  <si>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</si>
  <si>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</si>
  <si>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</si>
  <si>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</si>
  <si>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</si>
  <si>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Hand Length</t>
  </si>
  <si>
    <t>FTU Pants</t>
  </si>
  <si>
    <t>Email</t>
  </si>
  <si>
    <t>Extra Items</t>
  </si>
  <si>
    <t>Hip</t>
  </si>
  <si>
    <t>Hand</t>
  </si>
  <si>
    <t>Name</t>
  </si>
  <si>
    <t xml:space="preserve"> </t>
  </si>
  <si>
    <t>Old Size</t>
  </si>
  <si>
    <t>New Size</t>
  </si>
  <si>
    <t>Pick Up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</si>
  <si>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</si>
  <si>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</si>
  <si>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</si>
  <si>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</si>
  <si>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</si>
  <si>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</si>
  <si>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</si>
  <si>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</si>
  <si>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Column3</t>
  </si>
  <si>
    <t>NameTag</t>
  </si>
  <si>
    <t>Not Done</t>
  </si>
  <si>
    <t>In Progress</t>
  </si>
  <si>
    <t>Done</t>
  </si>
  <si>
    <t>Name Colors:</t>
  </si>
  <si>
    <t>Cadet Last Name</t>
  </si>
  <si>
    <t>Cadet First Name</t>
  </si>
  <si>
    <t>TShirt</t>
  </si>
  <si>
    <t>Pant Belt</t>
  </si>
  <si>
    <t>Boots</t>
  </si>
  <si>
    <t>FTU Shirt</t>
  </si>
  <si>
    <t>All Status</t>
  </si>
  <si>
    <t>Shirt</t>
  </si>
  <si>
    <t>Pants</t>
  </si>
  <si>
    <t>Generate?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</si>
</sst>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2" fillId="17" borderId="0" xfId="3" applyFill="1" applyAlignment="1">
      <alignment horizontal="center" vertical="center"/>
    </xf>
    <xf numFmtId="12" fontId="0" fillId="11" borderId="0" xfId="0" applyNumberFormat="1" applyFill="1" applyAlignment="1">
      <alignment horizontal="center" vertical="center"/>
    </xf>
    <xf numFmtId="0" fontId="0" fillId="11" borderId="0" xfId="0" applyFill="1"/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65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9BC2E6"/>
        </patternFill>
      </fill>
    </dxf>
    <dxf>
      <fill>
        <patternFill patternType="solid">
          <fgColor indexed="64"/>
          <bgColor rgb="FF9BC2E6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9BC2E6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DEA5D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64"/>
      <tableStyleElement type="headerRow" dxfId="63"/>
      <tableStyleElement type="firstRowStripe" dxfId="62"/>
      <tableStyleElement type="secondRowStripe" dxfId="61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169444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265131</xdr:colOff>
      <xdr:row>10</xdr:row>
      <xdr:rowOff>104494</xdr:rowOff>
    </xdr:from>
    <xdr:to>
      <xdr:col>7</xdr:col>
      <xdr:colOff>458544</xdr:colOff>
      <xdr:row>12</xdr:row>
      <xdr:rowOff>149200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76919" y="2273953"/>
          <a:ext cx="1412613" cy="40329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106945</xdr:rowOff>
    </xdr:from>
    <xdr:to>
      <xdr:col>7</xdr:col>
      <xdr:colOff>439831</xdr:colOff>
      <xdr:row>9</xdr:row>
      <xdr:rowOff>17929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58991" y="1559227"/>
          <a:ext cx="1411828" cy="44886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14</xdr:col>
      <xdr:colOff>161365</xdr:colOff>
      <xdr:row>1</xdr:row>
      <xdr:rowOff>107576</xdr:rowOff>
    </xdr:from>
    <xdr:to>
      <xdr:col>16</xdr:col>
      <xdr:colOff>162150</xdr:colOff>
      <xdr:row>3</xdr:row>
      <xdr:rowOff>171675</xdr:rowOff>
    </xdr:to>
    <xdr:sp macro="[0]!Export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559553" y="663388"/>
          <a:ext cx="1219985" cy="42268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Export</a:t>
          </a:r>
          <a:r>
            <a:rPr lang="en-CA" sz="1100" b="1" baseline="0">
              <a:solidFill>
                <a:schemeClr val="tx1"/>
              </a:solidFill>
            </a:rPr>
            <a:t>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144780</xdr:colOff>
          <xdr:row>0</xdr:row>
          <xdr:rowOff>45720</xdr:rowOff>
        </xdr:from>
        <xdr:to>
          <xdr:col>24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33</xdr:col>
      <xdr:colOff>401955</xdr:colOff>
      <xdr:row>0</xdr:row>
      <xdr:rowOff>0</xdr:rowOff>
    </xdr:from>
    <xdr:to>
      <xdr:col>35</xdr:col>
      <xdr:colOff>402740</xdr:colOff>
      <xdr:row>1</xdr:row>
      <xdr:rowOff>19050</xdr:rowOff>
    </xdr:to>
    <xdr:sp macro="[0]!ImportFromOl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612100" y="0"/>
          <a:ext cx="1219985" cy="27813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Import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4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4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4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4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4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" totalsRowShown="0" headerRowDxfId="60" dataDxfId="58" headerRowBorderDxfId="59" tableBorderDxfId="57" totalsRowBorderDxfId="56" headerRowCellStyle="60% - Accent5">
  <autoFilter ref="A1:E3" xr:uid="{7E3155DF-3CB2-4063-8346-D3006162EB2E}"/>
  <sortState xmlns:xlrd2="http://schemas.microsoft.com/office/spreadsheetml/2017/richdata2" ref="A2:E3">
    <sortCondition ref="A1:A3"/>
  </sortState>
  <tableColumns count="5">
    <tableColumn id="1" xr3:uid="{4A3C96D4-74F9-46DA-B54B-0CD347E35136}" name="Surname" dataDxfId="55" dataCellStyle="Hyperlink"/>
    <tableColumn id="2" xr3:uid="{2B90B92F-5F96-4EDA-9BBB-0E797162ECC4}" name="First Name" dataDxfId="54" dataCellStyle="Hyperlink"/>
    <tableColumn id="8" xr3:uid="{CFE0A41F-FE26-4CF3-BAA8-F6CEC7B006D4}" name="Status" dataDxfId="53" dataCellStyle="Hyperlink"/>
    <tableColumn id="3" xr3:uid="{EBBDE5FC-4AD9-4996-A6CE-25D9B52D4D03}" name="Date" dataDxfId="52"/>
    <tableColumn id="4" xr3:uid="{854BBB0E-E50E-4F6C-90CC-6180E0CE5D32}" name="ID" dataDxfId="51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3" insertRow="1" totalsRowShown="0" headerRowDxfId="50" dataDxfId="49">
  <autoFilter ref="A2:X3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48" dataCellStyle="Hyperlink"/>
    <tableColumn id="2" xr3:uid="{36FC8A03-C285-4FA4-AEC4-647B7067D01E}" name="Tunic" dataDxfId="47"/>
    <tableColumn id="3" xr3:uid="{E2B75A82-055F-492D-97B2-03C8E9C74CBF}" name="Collar Shirt" dataDxfId="46"/>
    <tableColumn id="4" xr3:uid="{89128C49-0667-4328-9CC8-935C76EB5CFF}" name="T-Shirt" dataDxfId="45"/>
    <tableColumn id="5" xr3:uid="{58E02DDF-FF68-4A85-A160-1478AFFC5301}" name="Dress Pants" dataDxfId="44"/>
    <tableColumn id="6" xr3:uid="{3C885A6D-7C6D-47FE-9D20-7FB555626C24}" name="Wedge" dataDxfId="43"/>
    <tableColumn id="7" xr3:uid="{650E09C5-6A05-4527-A321-E6D98102B309}" name="Tie" dataDxfId="42"/>
    <tableColumn id="8" xr3:uid="{B5F54AB4-5997-4EA8-AF06-4966A756DE93}" name="Belt" dataDxfId="41"/>
    <tableColumn id="9" xr3:uid="{8136261F-5775-4352-A73E-8E659AD02B53}" name="Socks" dataDxfId="40"/>
    <tableColumn id="10" xr3:uid="{9DEA83F4-EB2F-4D7E-9C9C-751F43044531}" name="Leather Boots" dataDxfId="39"/>
    <tableColumn id="11" xr3:uid="{1CEE23EA-B0BC-483E-BE3B-570F93C07C1A}" name="Leave Blank" dataDxfId="38"/>
    <tableColumn id="12" xr3:uid="{1D45495D-88A2-4A94-96C4-B047B6ED62D3}" name="Toque" dataDxfId="37"/>
    <tableColumn id="13" xr3:uid="{5954CB37-ED15-4CF3-A1FD-DCA35E0B036C}" name="Tilly" dataDxfId="36"/>
    <tableColumn id="14" xr3:uid="{4EB0159F-D44E-4237-807C-59C05B43CC3A}" name="Parka" dataDxfId="35"/>
    <tableColumn id="15" xr3:uid="{2D7F5042-3E7C-429C-8AFF-8601B19B8A0F}" name="Gloves" dataDxfId="34"/>
    <tableColumn id="16" xr3:uid="{D45A8E58-834C-42E4-980C-B85C418519A9}" name="Leave Blank2" dataDxfId="33"/>
    <tableColumn id="17" xr3:uid="{433672DD-A406-4334-A746-FB02B994A2E4}" name="Beret" dataDxfId="32"/>
    <tableColumn id="18" xr3:uid="{EE18EFD7-E877-490B-B14E-3FC28D0B1264}" name="FTU Tunic" dataDxfId="31"/>
    <tableColumn id="19" xr3:uid="{29AC551F-F02C-4401-9F86-D5A21F3B8962}" name="FTU Pants" dataDxfId="30"/>
    <tableColumn id="20" xr3:uid="{6DB4DDF9-B627-4BC2-B983-0DA0719B49B1}" name="FTU Boots" dataDxfId="29"/>
    <tableColumn id="27" xr3:uid="{84909A50-96B7-4616-B421-ACD5823BBA6B}" name="Column3" dataDxfId="28"/>
    <tableColumn id="26" xr3:uid="{0EFD58A3-59A1-406F-A3FD-C3E38DB387F2}" name="NameTag" dataDxfId="27"/>
    <tableColumn id="21" xr3:uid="{AEFDE823-D276-4BBA-8AAC-39096CA09601}" name="Toggle Done" dataDxfId="26"/>
    <tableColumn id="22" xr3:uid="{F911E964-47BC-4CDC-AAB6-614C3D5EDB11}" name="All Status" dataDxfId="2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3"/>
  <sheetViews>
    <sheetView zoomScale="85" zoomScaleNormal="85" workbookViewId="0">
      <selection activeCell="J19" sqref="J19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9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51</v>
      </c>
    </row>
    <row r="2" spans="1:15" x14ac:dyDescent="0.3">
      <c r="A2" s="43"/>
      <c r="B2" s="28"/>
      <c r="C2" s="29"/>
      <c r="D2" s="44"/>
      <c r="E2" s="45"/>
    </row>
    <row r="3" spans="1:15" x14ac:dyDescent="0.3">
      <c r="A3" s="43"/>
      <c r="B3" s="28"/>
      <c r="C3" s="29"/>
      <c r="D3" s="44"/>
      <c r="E3" s="45"/>
    </row>
  </sheetData>
  <conditionalFormatting sqref="C2:C3">
    <cfRule type="cellIs" dxfId="24" priority="1" operator="equal">
      <formula>"S.O.S"</formula>
    </cfRule>
    <cfRule type="containsText" dxfId="23" priority="2" operator="containsText" text="UNP">
      <formula>NOT(ISERROR(SEARCH("UNP",C2)))</formula>
    </cfRule>
    <cfRule type="cellIs" dxfId="22" priority="3" operator="equal">
      <formula>"In Stock"</formula>
    </cfRule>
    <cfRule type="containsText" dxfId="21" priority="4" operator="containsText" text="Pick Up">
      <formula>NOT(ISERROR(SEARCH("Pick Up",C2)))</formula>
    </cfRule>
    <cfRule type="cellIs" dxfId="20" priority="9" operator="equal">
      <formula>"Ready To Order"</formula>
    </cfRule>
    <cfRule type="containsText" dxfId="19" priority="10" operator="containsText" text="Ordered">
      <formula>NOT(ISERROR(SEARCH("Ordered",C2)))</formula>
    </cfRule>
    <cfRule type="containsText" dxfId="18" priority="11" operator="containsText" text="Complete">
      <formula>NOT(ISERROR(SEARCH("Complete",C2)))</formula>
    </cfRule>
    <cfRule type="cellIs" dxfId="17" priority="12" operator="equal">
      <formula>"Returned"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1"/>
  <sheetViews>
    <sheetView topLeftCell="C1" workbookViewId="0">
      <selection activeCell="J9" sqref="J9:X10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" customHeight="1" x14ac:dyDescent="0.3">
      <c r="A1" s="31" t="s">
        <v>50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45</v>
      </c>
      <c r="T1" s="31" t="s">
        <v>32</v>
      </c>
      <c r="U1" s="31"/>
      <c r="V1" s="31" t="s">
        <v>64</v>
      </c>
      <c r="W1" s="30"/>
      <c r="X1" s="30"/>
      <c r="Y1" s="30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144780</xdr:colOff>
                    <xdr:row>0</xdr:row>
                    <xdr:rowOff>45720</xdr:rowOff>
                  </from>
                  <to>
                    <xdr:col>24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3"/>
  <sheetViews>
    <sheetView zoomScale="85" zoomScaleNormal="85" workbookViewId="0">
      <selection activeCell="G11" sqref="G11"/>
    </sheetView>
  </sheetViews>
  <sheetFormatPr defaultRowHeight="14.4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75" customHeight="1" x14ac:dyDescent="0.3">
      <c r="A1" s="36" t="s">
        <v>42</v>
      </c>
      <c r="B1" s="32" t="s">
        <v>43</v>
      </c>
      <c r="C1" s="33" t="s">
        <v>57</v>
      </c>
      <c r="D1" s="56" t="s">
        <v>58</v>
      </c>
      <c r="E1" s="56"/>
      <c r="F1" s="38" t="s">
        <v>59</v>
      </c>
      <c r="G1" s="39" t="s">
        <v>54</v>
      </c>
      <c r="H1" s="34" t="s">
        <v>55</v>
      </c>
      <c r="I1" s="35" t="s">
        <v>60</v>
      </c>
      <c r="L1" s="37" t="s">
        <v>68</v>
      </c>
      <c r="M1" s="42" t="s">
        <v>65</v>
      </c>
      <c r="N1" s="41" t="s">
        <v>66</v>
      </c>
      <c r="O1" s="40" t="s">
        <v>67</v>
      </c>
    </row>
    <row r="2" spans="1:24" ht="37.35" customHeight="1" x14ac:dyDescent="0.3">
      <c r="A2" s="31" t="s">
        <v>50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61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62</v>
      </c>
      <c r="Q2" s="31" t="s">
        <v>33</v>
      </c>
      <c r="R2" s="31" t="s">
        <v>31</v>
      </c>
      <c r="S2" s="31" t="s">
        <v>45</v>
      </c>
      <c r="T2" s="31" t="s">
        <v>32</v>
      </c>
      <c r="U2" s="31" t="s">
        <v>63</v>
      </c>
      <c r="V2" s="31" t="s">
        <v>64</v>
      </c>
      <c r="W2" s="31" t="s">
        <v>56</v>
      </c>
      <c r="X2" s="51" t="s">
        <v>75</v>
      </c>
    </row>
    <row r="3" spans="1:24" x14ac:dyDescent="0.3">
      <c r="A3" s="53"/>
      <c r="B3" s="32"/>
      <c r="C3" s="34"/>
      <c r="D3" s="32"/>
      <c r="E3" s="34"/>
      <c r="F3" s="54"/>
      <c r="G3" s="34"/>
      <c r="H3" s="34"/>
      <c r="I3" s="34"/>
      <c r="J3" s="34"/>
      <c r="K3" s="46"/>
      <c r="L3" s="34"/>
      <c r="M3" s="34"/>
      <c r="N3" s="34"/>
      <c r="O3" s="34"/>
      <c r="P3" s="46"/>
      <c r="Q3" s="54"/>
      <c r="R3" s="32"/>
      <c r="S3" s="32"/>
      <c r="T3" s="32"/>
      <c r="U3" s="55"/>
      <c r="V3" s="55"/>
      <c r="W3" s="37"/>
      <c r="X3" s="52"/>
    </row>
  </sheetData>
  <mergeCells count="1">
    <mergeCell ref="D1:E1"/>
  </mergeCells>
  <phoneticPr fontId="14" type="noConversion"/>
  <conditionalFormatting sqref="X3">
    <cfRule type="cellIs" dxfId="16" priority="1" operator="equal">
      <formula>"S.O.S"</formula>
    </cfRule>
    <cfRule type="containsText" dxfId="15" priority="2" operator="containsText" text="UNP">
      <formula>NOT(ISERROR(SEARCH("UNP",X3)))</formula>
    </cfRule>
    <cfRule type="cellIs" dxfId="14" priority="3" operator="equal">
      <formula>"In Stock"</formula>
    </cfRule>
    <cfRule type="containsText" dxfId="13" priority="4" operator="containsText" text="Pick Up">
      <formula>NOT(ISERROR(SEARCH("Pick Up",X3)))</formula>
    </cfRule>
    <cfRule type="cellIs" dxfId="12" priority="5" operator="equal">
      <formula>"Ready To Order"</formula>
    </cfRule>
    <cfRule type="containsText" dxfId="11" priority="6" operator="containsText" text="Ordered">
      <formula>NOT(ISERROR(SEARCH("Ordered",X3)))</formula>
    </cfRule>
    <cfRule type="containsText" dxfId="10" priority="7" operator="containsText" text="Complete">
      <formula>NOT(ISERROR(SEARCH("Complete",X3)))</formula>
    </cfRule>
    <cfRule type="cellIs" dxfId="9" priority="8" operator="equal">
      <formula>"Returned"</formula>
    </cfRule>
  </conditionalFormatting>
  <hyperlinks>
    <hyperlink ref="A1" location="Menu!A1" display="Back to Menu" xr:uid="{2F36453C-1B65-4911-A569-6D05EA005156}"/>
  </hyperlinks>
  <pageMargins left="0.7" right="0.7" top="0.75" bottom="0.75" header="0.3" footer="0.3"/>
  <pageSetup orientation="landscape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G1"/>
  <sheetViews>
    <sheetView topLeftCell="P1" workbookViewId="0">
      <selection activeCell="I11" sqref="I11"/>
    </sheetView>
  </sheetViews>
  <sheetFormatPr defaultColWidth="8.88671875" defaultRowHeight="14.4" x14ac:dyDescent="0.3"/>
  <cols>
    <col min="1" max="28" width="8.88671875" style="37"/>
    <col min="29" max="29" width="10.109375" style="37" customWidth="1"/>
    <col min="30" max="16384" width="8.88671875" style="37"/>
  </cols>
  <sheetData>
    <row r="1" spans="1:33" ht="20.399999999999999" x14ac:dyDescent="0.3">
      <c r="A1" s="49" t="s">
        <v>69</v>
      </c>
      <c r="B1" s="49" t="s">
        <v>70</v>
      </c>
      <c r="C1" s="49" t="s">
        <v>5</v>
      </c>
      <c r="D1" s="50" t="s">
        <v>3</v>
      </c>
      <c r="E1" s="49" t="s">
        <v>41</v>
      </c>
      <c r="F1" s="49" t="s">
        <v>9</v>
      </c>
      <c r="G1" s="50" t="s">
        <v>11</v>
      </c>
      <c r="H1" s="50" t="s">
        <v>12</v>
      </c>
      <c r="I1" s="50" t="s">
        <v>13</v>
      </c>
      <c r="J1" s="50" t="s">
        <v>48</v>
      </c>
      <c r="K1" s="50" t="s">
        <v>15</v>
      </c>
      <c r="L1" s="50" t="s">
        <v>16</v>
      </c>
      <c r="M1" s="50" t="s">
        <v>17</v>
      </c>
      <c r="N1" s="50" t="s">
        <v>49</v>
      </c>
      <c r="O1" s="50" t="s">
        <v>18</v>
      </c>
      <c r="P1" s="50" t="s">
        <v>77</v>
      </c>
      <c r="Q1" s="50" t="s">
        <v>76</v>
      </c>
      <c r="R1" s="50" t="s">
        <v>71</v>
      </c>
      <c r="S1" s="50" t="s">
        <v>24</v>
      </c>
      <c r="T1" s="50" t="s">
        <v>23</v>
      </c>
      <c r="U1" s="50" t="s">
        <v>72</v>
      </c>
      <c r="V1" s="50" t="s">
        <v>26</v>
      </c>
      <c r="W1" s="50" t="s">
        <v>73</v>
      </c>
      <c r="X1" s="50" t="s">
        <v>74</v>
      </c>
      <c r="Y1" s="50" t="s">
        <v>45</v>
      </c>
      <c r="Z1" s="50" t="s">
        <v>32</v>
      </c>
      <c r="AA1" s="50" t="s">
        <v>33</v>
      </c>
      <c r="AB1" s="50" t="s">
        <v>29</v>
      </c>
      <c r="AC1" s="50" t="s">
        <v>30</v>
      </c>
      <c r="AD1" s="50" t="s">
        <v>28</v>
      </c>
      <c r="AE1" s="50" t="s">
        <v>22</v>
      </c>
      <c r="AF1" s="50" t="s">
        <v>64</v>
      </c>
      <c r="AG1" s="50" t="s">
        <v>78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tabSelected="1" zoomScaleNormal="100" workbookViewId="0">
      <selection activeCell="A16" sqref="A16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63" t="s">
        <v>42</v>
      </c>
      <c r="B1" s="18" t="s">
        <v>3</v>
      </c>
      <c r="C1" s="57" t="s">
        <v>0</v>
      </c>
      <c r="D1" s="57"/>
      <c r="E1" s="57" t="s">
        <v>2</v>
      </c>
      <c r="F1" s="57"/>
      <c r="G1" s="18" t="s">
        <v>34</v>
      </c>
      <c r="K1" s="18" t="s">
        <v>38</v>
      </c>
      <c r="L1" s="18" t="s">
        <v>10</v>
      </c>
    </row>
    <row r="2" spans="1:12" ht="17.25" customHeight="1" x14ac:dyDescent="0.3">
      <c r="A2" s="64"/>
      <c r="B2" s="2"/>
      <c r="C2" s="58"/>
      <c r="D2" s="58"/>
      <c r="E2" s="58"/>
      <c r="F2" s="58"/>
      <c r="G2" s="1"/>
      <c r="K2" s="4" t="s">
        <v>9</v>
      </c>
      <c r="L2" s="4"/>
    </row>
    <row r="3" spans="1:12" ht="17.25" customHeight="1" x14ac:dyDescent="0.3">
      <c r="A3" s="18" t="s">
        <v>1</v>
      </c>
      <c r="B3" s="59" t="s">
        <v>4</v>
      </c>
      <c r="C3" s="60"/>
      <c r="D3" s="61"/>
      <c r="E3" s="59" t="s">
        <v>46</v>
      </c>
      <c r="F3" s="61"/>
      <c r="G3" s="18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62"/>
      <c r="C4" s="62"/>
      <c r="D4" s="62"/>
      <c r="E4" s="58"/>
      <c r="F4" s="58"/>
      <c r="G4" s="1"/>
      <c r="K4" s="4" t="s">
        <v>12</v>
      </c>
      <c r="L4" s="4"/>
    </row>
    <row r="5" spans="1:12" ht="17.25" customHeight="1" x14ac:dyDescent="0.3">
      <c r="A5" s="18" t="s">
        <v>6</v>
      </c>
      <c r="B5" s="57" t="s">
        <v>7</v>
      </c>
      <c r="C5" s="57"/>
      <c r="D5" s="57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5" customHeight="1" x14ac:dyDescent="0.3">
      <c r="A6" s="3"/>
      <c r="B6" s="65" t="s">
        <v>18</v>
      </c>
      <c r="C6" s="65"/>
      <c r="D6" s="65"/>
      <c r="E6" s="47"/>
      <c r="F6" s="4">
        <v>1</v>
      </c>
      <c r="G6" s="23" t="s">
        <v>43</v>
      </c>
      <c r="H6" s="26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58" t="s">
        <v>21</v>
      </c>
      <c r="C7" s="58"/>
      <c r="D7" s="58"/>
      <c r="E7" s="48"/>
      <c r="F7" s="14">
        <v>1</v>
      </c>
      <c r="G7" s="23" t="s">
        <v>43</v>
      </c>
      <c r="H7" s="26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65" t="s">
        <v>19</v>
      </c>
      <c r="C8" s="65"/>
      <c r="D8" s="65"/>
      <c r="E8" s="47"/>
      <c r="F8" s="4">
        <v>1</v>
      </c>
      <c r="G8" s="23" t="s">
        <v>43</v>
      </c>
      <c r="H8" s="26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58" t="s">
        <v>20</v>
      </c>
      <c r="C9" s="58"/>
      <c r="D9" s="58"/>
      <c r="E9" s="48"/>
      <c r="F9" s="14">
        <v>1</v>
      </c>
      <c r="G9" s="23" t="s">
        <v>43</v>
      </c>
      <c r="H9" s="26" t="str">
        <f>HYPERLINK("#G9",CHAR(128))</f>
        <v>€</v>
      </c>
      <c r="I9" s="9"/>
      <c r="K9" s="1" t="s">
        <v>17</v>
      </c>
      <c r="L9" s="1"/>
    </row>
    <row r="10" spans="1:12" ht="17.25" customHeight="1" x14ac:dyDescent="0.3">
      <c r="A10" s="3"/>
      <c r="B10" s="65" t="s">
        <v>24</v>
      </c>
      <c r="C10" s="65"/>
      <c r="D10" s="65"/>
      <c r="E10" s="47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/>
    </row>
    <row r="11" spans="1:12" ht="17.25" customHeight="1" x14ac:dyDescent="0.3">
      <c r="A11" s="2"/>
      <c r="B11" s="58" t="s">
        <v>23</v>
      </c>
      <c r="C11" s="58"/>
      <c r="D11" s="58"/>
      <c r="E11" s="48"/>
      <c r="F11" s="14">
        <v>1</v>
      </c>
      <c r="G11" s="23" t="s">
        <v>43</v>
      </c>
      <c r="H11" s="26" t="str">
        <f>HYPERLINK("#G11",CHAR(128))</f>
        <v>€</v>
      </c>
    </row>
    <row r="12" spans="1:12" ht="17.25" customHeight="1" x14ac:dyDescent="0.3">
      <c r="A12" s="5"/>
      <c r="B12" s="65" t="s">
        <v>25</v>
      </c>
      <c r="C12" s="65"/>
      <c r="D12" s="65"/>
      <c r="E12" s="47"/>
      <c r="F12" s="4">
        <v>1</v>
      </c>
      <c r="G12" s="23" t="s">
        <v>43</v>
      </c>
      <c r="H12" s="26" t="str">
        <f>HYPERLINK("#G12",CHAR(128))</f>
        <v>€</v>
      </c>
    </row>
    <row r="13" spans="1:12" ht="17.25" customHeight="1" x14ac:dyDescent="0.3">
      <c r="A13" s="2"/>
      <c r="B13" s="58" t="s">
        <v>26</v>
      </c>
      <c r="C13" s="58"/>
      <c r="D13" s="58"/>
      <c r="E13" s="48"/>
      <c r="F13" s="14">
        <v>1</v>
      </c>
      <c r="G13" s="23" t="s">
        <v>43</v>
      </c>
      <c r="H13" s="26" t="str">
        <f>HYPERLINK("#G13",CHAR(128))</f>
        <v>€</v>
      </c>
    </row>
    <row r="14" spans="1:12" ht="17.25" customHeight="1" x14ac:dyDescent="0.3">
      <c r="A14" s="5"/>
      <c r="B14" s="65" t="s">
        <v>27</v>
      </c>
      <c r="C14" s="65"/>
      <c r="D14" s="65"/>
      <c r="E14" s="47"/>
      <c r="F14" s="4">
        <v>1</v>
      </c>
      <c r="G14" s="23" t="s">
        <v>43</v>
      </c>
      <c r="H14" s="26" t="str">
        <f>HYPERLINK("#G14",CHAR(128))</f>
        <v>€</v>
      </c>
    </row>
    <row r="15" spans="1:12" ht="17.25" customHeight="1" x14ac:dyDescent="0.3">
      <c r="A15" s="2"/>
      <c r="B15" s="66"/>
      <c r="C15" s="66"/>
      <c r="D15" s="66"/>
      <c r="E15" s="48"/>
      <c r="F15" s="14"/>
      <c r="G15" s="14"/>
      <c r="H15" s="12"/>
    </row>
    <row r="16" spans="1:12" ht="17.25" customHeight="1" x14ac:dyDescent="0.3">
      <c r="A16" s="5"/>
      <c r="B16" s="65" t="s">
        <v>28</v>
      </c>
      <c r="C16" s="65"/>
      <c r="D16" s="65"/>
      <c r="E16" s="47"/>
      <c r="F16" s="4">
        <v>1</v>
      </c>
      <c r="G16" s="23" t="s">
        <v>43</v>
      </c>
      <c r="H16" s="21" t="str">
        <f>HYPERLINK("#G16",CHAR(128))</f>
        <v>€</v>
      </c>
    </row>
    <row r="17" spans="1:14" ht="17.25" customHeight="1" x14ac:dyDescent="0.3">
      <c r="A17" s="2"/>
      <c r="B17" s="58" t="s">
        <v>22</v>
      </c>
      <c r="C17" s="58"/>
      <c r="D17" s="58"/>
      <c r="E17" s="48"/>
      <c r="F17" s="14">
        <v>1</v>
      </c>
      <c r="G17" s="23" t="s">
        <v>43</v>
      </c>
      <c r="H17" s="21" t="str">
        <f>HYPERLINK("#G17",CHAR(128))</f>
        <v>€</v>
      </c>
    </row>
    <row r="18" spans="1:14" ht="17.25" customHeight="1" x14ac:dyDescent="0.3">
      <c r="A18" s="5"/>
      <c r="B18" s="65" t="s">
        <v>29</v>
      </c>
      <c r="C18" s="65"/>
      <c r="D18" s="65"/>
      <c r="E18" s="47"/>
      <c r="F18" s="4">
        <v>1</v>
      </c>
      <c r="G18" s="23" t="s">
        <v>43</v>
      </c>
      <c r="H18" s="21" t="str">
        <f>HYPERLINK("#G18",CHAR(128))</f>
        <v>€</v>
      </c>
    </row>
    <row r="19" spans="1:14" ht="17.25" customHeight="1" x14ac:dyDescent="0.3">
      <c r="A19" s="2"/>
      <c r="B19" s="58" t="s">
        <v>30</v>
      </c>
      <c r="C19" s="58"/>
      <c r="D19" s="58"/>
      <c r="E19" s="48"/>
      <c r="F19" s="14">
        <v>1</v>
      </c>
      <c r="G19" s="23" t="s">
        <v>43</v>
      </c>
      <c r="H19" s="21" t="str">
        <f>HYPERLINK("#G19",CHAR(128))</f>
        <v>€</v>
      </c>
    </row>
    <row r="20" spans="1:14" ht="17.25" customHeight="1" x14ac:dyDescent="0.3">
      <c r="A20" s="5"/>
      <c r="B20" s="67"/>
      <c r="C20" s="68"/>
      <c r="D20" s="69"/>
      <c r="E20" s="47"/>
      <c r="F20" s="4"/>
      <c r="G20" s="4"/>
      <c r="H20" s="12"/>
    </row>
    <row r="21" spans="1:14" x14ac:dyDescent="0.3">
      <c r="A21" s="2"/>
      <c r="B21" s="58" t="s">
        <v>33</v>
      </c>
      <c r="C21" s="58"/>
      <c r="D21" s="58"/>
      <c r="E21" s="48"/>
      <c r="F21" s="14">
        <v>1</v>
      </c>
      <c r="G21" s="23" t="s">
        <v>43</v>
      </c>
      <c r="H21" s="21" t="str">
        <f>HYPERLINK("#G21",CHAR(128))</f>
        <v>€</v>
      </c>
    </row>
    <row r="22" spans="1:14" x14ac:dyDescent="0.3">
      <c r="A22" s="5"/>
      <c r="B22" s="65" t="s">
        <v>31</v>
      </c>
      <c r="C22" s="65"/>
      <c r="D22" s="65"/>
      <c r="E22" s="47"/>
      <c r="F22" s="4">
        <v>1</v>
      </c>
      <c r="G22" s="23" t="s">
        <v>43</v>
      </c>
      <c r="H22" s="21" t="str">
        <f>HYPERLINK("#G22",CHAR(128))</f>
        <v>€</v>
      </c>
      <c r="N22" s="2"/>
    </row>
    <row r="23" spans="1:14" x14ac:dyDescent="0.3">
      <c r="A23" s="2"/>
      <c r="B23" s="58" t="s">
        <v>45</v>
      </c>
      <c r="C23" s="58"/>
      <c r="D23" s="58"/>
      <c r="E23" s="48"/>
      <c r="F23" s="14">
        <v>1</v>
      </c>
      <c r="G23" s="23" t="s">
        <v>43</v>
      </c>
      <c r="H23" s="20" t="str">
        <f>HYPERLINK("#G23",CHAR(128))</f>
        <v>€</v>
      </c>
    </row>
    <row r="24" spans="1:14" x14ac:dyDescent="0.3">
      <c r="A24" s="5"/>
      <c r="B24" s="65" t="s">
        <v>32</v>
      </c>
      <c r="C24" s="65"/>
      <c r="D24" s="65"/>
      <c r="E24" s="47"/>
      <c r="F24" s="4">
        <v>1</v>
      </c>
      <c r="G24" s="23" t="s">
        <v>43</v>
      </c>
      <c r="H24" s="20" t="str">
        <f>HYPERLINK("#G24",CHAR(128))</f>
        <v>€</v>
      </c>
    </row>
    <row r="25" spans="1:14" x14ac:dyDescent="0.3">
      <c r="A25" s="2"/>
      <c r="B25" s="58"/>
      <c r="C25" s="58"/>
      <c r="D25" s="58"/>
      <c r="E25" s="1"/>
      <c r="F25" s="14"/>
      <c r="G25" s="14"/>
      <c r="H25" s="12"/>
      <c r="I25" s="10"/>
    </row>
    <row r="26" spans="1:14" x14ac:dyDescent="0.3">
      <c r="A26" s="5"/>
      <c r="B26" s="65" t="s">
        <v>37</v>
      </c>
      <c r="C26" s="65"/>
      <c r="D26" s="65"/>
      <c r="E26" s="4">
        <f>C2</f>
        <v>0</v>
      </c>
      <c r="F26" s="4">
        <v>1</v>
      </c>
      <c r="G26" s="23" t="s">
        <v>43</v>
      </c>
      <c r="H26" s="22" t="str">
        <f>HYPERLINK("#G26",CHAR(128))</f>
        <v>€</v>
      </c>
    </row>
    <row r="28" spans="1:14" x14ac:dyDescent="0.3">
      <c r="J28" s="16"/>
    </row>
    <row r="29" spans="1:14" x14ac:dyDescent="0.3">
      <c r="A29" s="18"/>
      <c r="B29" s="57" t="s">
        <v>47</v>
      </c>
      <c r="C29" s="57"/>
      <c r="D29" s="57"/>
      <c r="E29" s="18" t="s">
        <v>8</v>
      </c>
      <c r="F29" s="18" t="s">
        <v>35</v>
      </c>
      <c r="G29" s="19" t="s">
        <v>36</v>
      </c>
    </row>
    <row r="30" spans="1:14" x14ac:dyDescent="0.3">
      <c r="A30" s="3"/>
      <c r="B30" s="65"/>
      <c r="C30" s="65"/>
      <c r="D30" s="65"/>
      <c r="E30" s="4"/>
      <c r="F30" s="8">
        <v>1</v>
      </c>
      <c r="G30" s="15"/>
      <c r="H30" s="17" t="str">
        <f>HYPERLINK("#G30",CHAR(128))</f>
        <v>€</v>
      </c>
    </row>
    <row r="31" spans="1:14" x14ac:dyDescent="0.3">
      <c r="A31" s="2"/>
      <c r="B31" s="58"/>
      <c r="C31" s="58"/>
      <c r="D31" s="58"/>
      <c r="E31" s="1"/>
      <c r="F31" s="14">
        <v>1</v>
      </c>
      <c r="G31" s="24"/>
      <c r="H31" s="17" t="str">
        <f>HYPERLINK("#G31",CHAR(128))</f>
        <v>€</v>
      </c>
    </row>
    <row r="32" spans="1:14" x14ac:dyDescent="0.3">
      <c r="A32" s="3"/>
      <c r="B32" s="65"/>
      <c r="C32" s="65"/>
      <c r="D32" s="65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58"/>
      <c r="C33" s="58"/>
      <c r="D33" s="58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5"/>
      <c r="C34" s="65"/>
      <c r="D34" s="65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52</v>
      </c>
      <c r="D37" s="37" t="s">
        <v>53</v>
      </c>
    </row>
    <row r="38" spans="1:8" x14ac:dyDescent="0.3">
      <c r="A38" s="37"/>
      <c r="B38" s="37"/>
      <c r="C38" s="37"/>
      <c r="D38" s="37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Menu</vt:lpstr>
      <vt:lpstr>Pickup</vt:lpstr>
      <vt:lpstr>Master</vt:lpstr>
      <vt:lpstr>Import Sheets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2024-01-13T21:39:03Z</cp:lastPrinted>
  <dcterms:created xsi:type="dcterms:W3CDTF">2023-08-20T19:28:09Z</dcterms:created>
  <dcterms:modified xsi:type="dcterms:W3CDTF">2024-02-06T01:06:11Z</dcterms:modified>
</cp:coreProperties>
</file>