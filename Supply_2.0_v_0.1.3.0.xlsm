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6BFBE0A0-3D5D-4EFB-AEB6-02354D291826}" xr6:coauthVersionLast="47" xr6:coauthVersionMax="47" xr10:uidLastSave="{00000000-0000-0000-0000-000000000000}"/>
  <bookViews>
    <workbookView xWindow="-118" yWindow="-118" windowWidth="33749" windowHeight="18471" tabRatio="856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Bob_Lewis_943310B7" sheetId="293" r:id="rId5"/>
    <sheet name="ere_sds_25085691" sheetId="294" r:id="rId6"/>
    <sheet name="Template" sheetId="1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94" l="1"/>
  <c r="H33" i="294"/>
  <c r="H32" i="294"/>
  <c r="H31" i="294"/>
  <c r="H30" i="294"/>
  <c r="H26" i="294"/>
  <c r="E26" i="294"/>
  <c r="H24" i="294"/>
  <c r="H23" i="294"/>
  <c r="H22" i="294"/>
  <c r="H21" i="294"/>
  <c r="H19" i="294"/>
  <c r="H18" i="294"/>
  <c r="H17" i="294"/>
  <c r="H16" i="294"/>
  <c r="H14" i="294"/>
  <c r="H13" i="294"/>
  <c r="H12" i="294"/>
  <c r="H11" i="294"/>
  <c r="H10" i="294"/>
  <c r="H9" i="294"/>
  <c r="H8" i="294"/>
  <c r="H7" i="294"/>
  <c r="H6" i="294"/>
  <c r="H34" i="293"/>
  <c r="H33" i="293"/>
  <c r="H32" i="293"/>
  <c r="H31" i="293"/>
  <c r="H30" i="293"/>
  <c r="H26" i="293"/>
  <c r="E26" i="293"/>
  <c r="H24" i="293"/>
  <c r="H23" i="293"/>
  <c r="H22" i="293"/>
  <c r="H21" i="293"/>
  <c r="H19" i="293"/>
  <c r="H18" i="293"/>
  <c r="H17" i="293"/>
  <c r="H16" i="293"/>
  <c r="H14" i="293"/>
  <c r="H13" i="293"/>
  <c r="H12" i="293"/>
  <c r="H11" i="293"/>
  <c r="H10" i="293"/>
  <c r="H9" i="293"/>
  <c r="H8" i="293"/>
  <c r="H7" i="293"/>
  <c r="H6" i="293"/>
  <c r="E26" i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<sst xmlns="http://schemas.openxmlformats.org/spreadsheetml/2006/main" count="373" uniqueCount="127">
  <si>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</si>
  <si>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</si>
  <si>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</si>
  <si>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</si>
  <si>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</si>
  <si>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</si>
  <si>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</si>
  <si>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</si>
  <si>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</si>
  <si>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</si>
  <si>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</si>
  <si>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</si>
  <si>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</si>
  <si>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</si>
  <si>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</si>
  <si>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</si>
  <si>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</si>
  <si>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</si>
  <si>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</si>
  <si>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</si>
  <si>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</si>
  <si>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</si>
  <si>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</si>
  <si>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</si>
  <si>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</si>
  <si>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</si>
  <si>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</si>
  <si>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</si>
  <si>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</si>
  <si>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</si>
  <si>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</si>
  <si>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</si>
  <si>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</si>
  <si>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</si>
  <si>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</si>
  <si>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</si>
  <si>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</si>
  <si>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</si>
  <si>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</si>
  <si>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</si>
  <si>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</si>
  <si>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</si>
  <si>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</si>
  <si>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UNP</t>
  </si>
  <si>
    <t>Hand Length</t>
  </si>
  <si>
    <t>FTU Pants</t>
  </si>
  <si>
    <t>Email</t>
  </si>
  <si>
    <t>Extra Items</t>
  </si>
  <si>
    <t>Hip</t>
  </si>
  <si>
    <t>Hand</t>
  </si>
  <si>
    <t>Name</t>
  </si>
  <si>
    <t xml:space="preserve"> </t>
  </si>
  <si>
    <t>Old Size</t>
  </si>
  <si>
    <t>New Size</t>
  </si>
  <si>
    <t>Pick Up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</si>
  <si>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</si>
  <si>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</si>
  <si>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</si>
  <si>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</si>
  <si>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</si>
  <si>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</si>
  <si>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</si>
  <si>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</si>
  <si>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Column3</t>
  </si>
  <si>
    <t>NameTag</t>
  </si>
  <si>
    <t>Not Done</t>
  </si>
  <si>
    <t>In Progress</t>
  </si>
  <si>
    <t>Done</t>
  </si>
  <si>
    <t>Name Colors:</t>
  </si>
  <si>
    <t>Cadet Last Name</t>
  </si>
  <si>
    <t>Cadet First Name</t>
  </si>
  <si>
    <t>TShirt</t>
  </si>
  <si>
    <t>Pant Belt</t>
  </si>
  <si>
    <t>Boots</t>
  </si>
  <si>
    <t>FTU Shirt</t>
  </si>
  <si>
    <t>All Status</t>
  </si>
  <si>
    <t>Shirt</t>
  </si>
  <si>
    <t>Pants</t>
  </si>
  <si>
    <t>Generate?</t>
  </si>
  <si>
    <t>FSgt</t>
  </si>
  <si>
    <t>Jesus@hotmail.com</t>
  </si>
  <si>
    <t>In Stock</t>
  </si>
  <si>
    <t>XL</t>
  </si>
  <si>
    <t>1000-21-215-7652</t>
  </si>
  <si>
    <t>UNI</t>
  </si>
  <si>
    <t>8405-21-907-9466</t>
  </si>
  <si>
    <t>Male</t>
  </si>
  <si>
    <t>UNP,In Stock,</t>
  </si>
  <si>
    <t>(JR / JR)</t>
  </si>
  <si>
    <t>8415-20-006-8915</t>
  </si>
  <si>
    <t>7036</t>
  </si>
  <si>
    <t>L (56 inch)</t>
  </si>
  <si>
    <t>8440-21-899-1182</t>
  </si>
  <si>
    <t>7040</t>
  </si>
  <si>
    <t>8405-21-920-7094</t>
  </si>
  <si>
    <t>8405-20-004-7490</t>
  </si>
  <si>
    <t>M</t>
  </si>
  <si>
    <t>7042</t>
  </si>
  <si>
    <t>8405-20-004-7516</t>
  </si>
  <si>
    <t>8420-20-001-0730</t>
  </si>
  <si>
    <t>L/G</t>
  </si>
  <si>
    <t>Lewis</t>
  </si>
  <si>
    <t>8405-21-905-7826</t>
  </si>
  <si>
    <t>Telephone</t>
  </si>
  <si>
    <t>UNP, In Stock</t>
  </si>
  <si>
    <t>History</t>
  </si>
  <si>
    <t>Bob</t>
  </si>
  <si>
    <t>943310B7</t>
  </si>
  <si>
    <t>14</t>
  </si>
  <si>
    <t>8405-20-001-4503</t>
  </si>
  <si>
    <t>8405-21-909-2407</t>
  </si>
  <si>
    <t>7 1/4</t>
  </si>
  <si>
    <t>8405-20-003-5844</t>
  </si>
  <si>
    <t>8440-20-006-6069</t>
  </si>
  <si>
    <t>270/98</t>
  </si>
  <si>
    <t>8430-20-006-2539</t>
  </si>
  <si>
    <t>L</t>
  </si>
  <si>
    <t>8405-21-920-7279</t>
  </si>
  <si>
    <t>8405-20-013-1474</t>
  </si>
  <si>
    <t>9D</t>
  </si>
  <si>
    <t>8430-20-A0X-9132</t>
  </si>
  <si>
    <t>Lewis, Bob</t>
  </si>
  <si>
    <t>tunic</t>
  </si>
  <si>
    <t>sds</t>
  </si>
  <si>
    <t>ere</t>
  </si>
  <si>
    <t>AC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</si>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</sst>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7E6E6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0" fontId="12" fillId="8" borderId="0" xfId="0" applyFont="1" applyFill="1" applyAlignment="1">
      <alignment vertical="center" shrinkToFit="1"/>
    </xf>
    <xf numFmtId="0" fontId="0" fillId="10" borderId="0" xfId="0" applyFill="1"/>
    <xf numFmtId="12" fontId="0" fillId="9" borderId="0" xfId="0" applyNumberForma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" fillId="7" borderId="0" xfId="3" applyFill="1" applyAlignment="1">
      <alignment horizontal="center" vertical="center"/>
    </xf>
    <xf numFmtId="0" fontId="0" fillId="19" borderId="0" xfId="0" applyFill="1"/>
    <xf numFmtId="0" fontId="2" fillId="16" borderId="0" xfId="3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9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FF7575"/>
        </patternFill>
      </fill>
    </dxf>
    <dxf>
      <fill>
        <patternFill patternType="solid">
          <fgColor indexed="64"/>
          <bgColor rgb="FFE7E6E6"/>
        </patternFill>
      </fill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8CFF8C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89"/>
      <tableStyleElement type="headerRow" dxfId="88"/>
      <tableStyleElement type="firstRowStripe" dxfId="87"/>
      <tableStyleElement type="secondRowStripe" dxfId="86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162534</xdr:rowOff>
    </xdr:from>
    <xdr:to>
      <xdr:col>7</xdr:col>
      <xdr:colOff>435462</xdr:colOff>
      <xdr:row>4</xdr:row>
      <xdr:rowOff>149886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265131</xdr:colOff>
      <xdr:row>10</xdr:row>
      <xdr:rowOff>84935</xdr:rowOff>
    </xdr:from>
    <xdr:to>
      <xdr:col>7</xdr:col>
      <xdr:colOff>458544</xdr:colOff>
      <xdr:row>12</xdr:row>
      <xdr:rowOff>129641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76919" y="2273953"/>
          <a:ext cx="1412613" cy="403294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6</xdr:row>
      <xdr:rowOff>87387</xdr:rowOff>
    </xdr:from>
    <xdr:to>
      <xdr:col>7</xdr:col>
      <xdr:colOff>439831</xdr:colOff>
      <xdr:row>8</xdr:row>
      <xdr:rowOff>193964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58991" y="1559227"/>
          <a:ext cx="1411828" cy="44886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14</xdr:col>
      <xdr:colOff>161365</xdr:colOff>
      <xdr:row>1</xdr:row>
      <xdr:rowOff>107576</xdr:rowOff>
    </xdr:from>
    <xdr:to>
      <xdr:col>16</xdr:col>
      <xdr:colOff>162150</xdr:colOff>
      <xdr:row>3</xdr:row>
      <xdr:rowOff>152115</xdr:rowOff>
    </xdr:to>
    <xdr:sp macro="[0]!Export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559553" y="663388"/>
          <a:ext cx="1219985" cy="42268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Export</a:t>
          </a:r>
          <a:r>
            <a:rPr lang="en-CA" sz="1100" b="1" baseline="0">
              <a:solidFill>
                <a:schemeClr val="tx1"/>
              </a:solidFill>
            </a:rPr>
            <a:t>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141316</xdr:colOff>
          <xdr:row>0</xdr:row>
          <xdr:rowOff>49876</xdr:rowOff>
        </xdr:from>
        <xdr:to>
          <xdr:col>24</xdr:col>
          <xdr:colOff>532015</xdr:colOff>
          <xdr:row>0</xdr:row>
          <xdr:rowOff>440575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1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83" name="Button 619" hidden="1">
              <a:extLst>
                <a:ext uri="{63B3BB69-23CF-44E3-9099-C40C66FF867C}">
                  <a14:compatExt spid="_x0000_s165483"/>
                </a:ext>
                <a:ext uri="{FF2B5EF4-FFF2-40B4-BE49-F238E27FC236}">
                  <a16:creationId xmlns:a16="http://schemas.microsoft.com/office/drawing/2014/main" id="{00000000-0008-0000-0200-00006B86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36</xdr:col>
      <xdr:colOff>210762</xdr:colOff>
      <xdr:row>0</xdr:row>
      <xdr:rowOff>8312</xdr:rowOff>
    </xdr:from>
    <xdr:to>
      <xdr:col>38</xdr:col>
      <xdr:colOff>211547</xdr:colOff>
      <xdr:row>1</xdr:row>
      <xdr:rowOff>19050</xdr:rowOff>
    </xdr:to>
    <xdr:sp macro="[0]!ImportFromOld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4242857" y="8312"/>
          <a:ext cx="1330821" cy="27674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Import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19137" name="Button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00000000-0008-0000-0400-00000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19138" name="Button 2" hidden="1">
              <a:extLst>
                <a:ext uri="{63B3BB69-23CF-44E3-9099-C40C66FF867C}">
                  <a14:compatExt spid="_x0000_s219138"/>
                </a:ext>
                <a:ext uri="{FF2B5EF4-FFF2-40B4-BE49-F238E27FC236}">
                  <a16:creationId xmlns:a16="http://schemas.microsoft.com/office/drawing/2014/main" id="{00000000-0008-0000-0400-000002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19139" name="Button 3" hidden="1">
              <a:extLst>
                <a:ext uri="{63B3BB69-23CF-44E3-9099-C40C66FF867C}">
                  <a14:compatExt spid="_x0000_s219139"/>
                </a:ext>
                <a:ext uri="{FF2B5EF4-FFF2-40B4-BE49-F238E27FC236}">
                  <a16:creationId xmlns:a16="http://schemas.microsoft.com/office/drawing/2014/main" id="{00000000-0008-0000-0400-000003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19140" name="Button 4" hidden="1">
              <a:extLst>
                <a:ext uri="{63B3BB69-23CF-44E3-9099-C40C66FF867C}">
                  <a14:compatExt spid="_x0000_s219140"/>
                </a:ext>
                <a:ext uri="{FF2B5EF4-FFF2-40B4-BE49-F238E27FC236}">
                  <a16:creationId xmlns:a16="http://schemas.microsoft.com/office/drawing/2014/main" id="{00000000-0008-0000-0400-000004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19141" name="Button 5" hidden="1">
              <a:extLst>
                <a:ext uri="{63B3BB69-23CF-44E3-9099-C40C66FF867C}">
                  <a14:compatExt spid="_x0000_s219141"/>
                </a:ext>
                <a:ext uri="{FF2B5EF4-FFF2-40B4-BE49-F238E27FC236}">
                  <a16:creationId xmlns:a16="http://schemas.microsoft.com/office/drawing/2014/main" id="{00000000-0008-0000-0400-000005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394852ED-B69C-43FE-AD91-73E6CEB6C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21186" name="Button 2" hidden="1">
              <a:extLst>
                <a:ext uri="{63B3BB69-23CF-44E3-9099-C40C66FF867C}">
                  <a14:compatExt spid="_x0000_s221186"/>
                </a:ext>
                <a:ext uri="{FF2B5EF4-FFF2-40B4-BE49-F238E27FC236}">
                  <a16:creationId xmlns:a16="http://schemas.microsoft.com/office/drawing/2014/main" id="{3876850A-491A-46E9-96CD-117B88E21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21187" name="Button 3" hidden="1">
              <a:extLst>
                <a:ext uri="{63B3BB69-23CF-44E3-9099-C40C66FF867C}">
                  <a14:compatExt spid="_x0000_s221187"/>
                </a:ext>
                <a:ext uri="{FF2B5EF4-FFF2-40B4-BE49-F238E27FC236}">
                  <a16:creationId xmlns:a16="http://schemas.microsoft.com/office/drawing/2014/main" id="{079029C0-E23D-412D-9EEC-3832F9851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21188" name="Button 4" hidden="1">
              <a:extLst>
                <a:ext uri="{63B3BB69-23CF-44E3-9099-C40C66FF867C}">
                  <a14:compatExt spid="_x0000_s221188"/>
                </a:ext>
                <a:ext uri="{FF2B5EF4-FFF2-40B4-BE49-F238E27FC236}">
                  <a16:creationId xmlns:a16="http://schemas.microsoft.com/office/drawing/2014/main" id="{A94CE4A3-BEB8-4DE5-AE9A-31A4A1A54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21189" name="Button 5" hidden="1">
              <a:extLst>
                <a:ext uri="{63B3BB69-23CF-44E3-9099-C40C66FF867C}">
                  <a14:compatExt spid="_x0000_s221189"/>
                </a:ext>
                <a:ext uri="{FF2B5EF4-FFF2-40B4-BE49-F238E27FC236}">
                  <a16:creationId xmlns:a16="http://schemas.microsoft.com/office/drawing/2014/main" id="{867C8BAB-869D-4F46-9556-3BB8D3C38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5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5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5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5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5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5" totalsRowShown="0" headerRowDxfId="85" dataDxfId="83" headerRowBorderDxfId="84" tableBorderDxfId="82" totalsRowBorderDxfId="81" headerRowCellStyle="60% - Accent5">
  <autoFilter ref="A1:E5" xr:uid="{7E3155DF-3CB2-4063-8346-D3006162EB2E}"/>
  <sortState xmlns:xlrd2="http://schemas.microsoft.com/office/spreadsheetml/2017/richdata2" ref="A2:E5">
    <sortCondition ref="A1:A5"/>
  </sortState>
  <tableColumns count="5">
    <tableColumn id="1" xr3:uid="{4A3C96D4-74F9-46DA-B54B-0CD347E35136}" name="Surname" dataDxfId="80" dataCellStyle="Hyperlink"/>
    <tableColumn id="2" xr3:uid="{2B90B92F-5F96-4EDA-9BBB-0E797162ECC4}" name="First Name" dataDxfId="79" dataCellStyle="Hyperlink"/>
    <tableColumn id="8" xr3:uid="{CFE0A41F-FE26-4CF3-BAA8-F6CEC7B006D4}" name="Status" dataDxfId="78" dataCellStyle="Hyperlink"/>
    <tableColumn id="3" xr3:uid="{EBBDE5FC-4AD9-4996-A6CE-25D9B52D4D03}" name="Date" dataDxfId="77"/>
    <tableColumn id="4" xr3:uid="{854BBB0E-E50E-4F6C-90CC-6180E0CE5D32}" name="ID" dataDxfId="7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3" totalsRowShown="0" headerRowDxfId="75" dataDxfId="74">
  <autoFilter ref="A2:X3" xr:uid="{BBE43AA0-FEFE-4953-BA96-A0217731DC97}"/>
  <sortState xmlns:xlrd2="http://schemas.microsoft.com/office/spreadsheetml/2017/richdata2" ref="A2:W2">
    <sortCondition ref="A2"/>
  </sortState>
  <tableColumns count="24">
    <tableColumn id="1" xr3:uid="{77C7B428-E99D-49B8-8796-47FEBA3B8CD2}" name="Name" dataDxfId="73" dataCellStyle="Hyperlink"/>
    <tableColumn id="2" xr3:uid="{36FC8A03-C285-4FA4-AEC4-647B7067D01E}" name="Tunic" dataDxfId="72"/>
    <tableColumn id="3" xr3:uid="{E2B75A82-055F-492D-97B2-03C8E9C74CBF}" name="Collar Shirt" dataDxfId="71"/>
    <tableColumn id="4" xr3:uid="{89128C49-0667-4328-9CC8-935C76EB5CFF}" name="T-Shirt" dataDxfId="70"/>
    <tableColumn id="5" xr3:uid="{58E02DDF-FF68-4A85-A160-1478AFFC5301}" name="Dress Pants" dataDxfId="69"/>
    <tableColumn id="6" xr3:uid="{3C885A6D-7C6D-47FE-9D20-7FB555626C24}" name="Wedge" dataDxfId="68"/>
    <tableColumn id="7" xr3:uid="{650E09C5-6A05-4527-A321-E6D98102B309}" name="Tie" dataDxfId="67"/>
    <tableColumn id="8" xr3:uid="{B5F54AB4-5997-4EA8-AF06-4966A756DE93}" name="Belt" dataDxfId="66"/>
    <tableColumn id="9" xr3:uid="{8136261F-5775-4352-A73E-8E659AD02B53}" name="Socks" dataDxfId="65"/>
    <tableColumn id="10" xr3:uid="{9DEA83F4-EB2F-4D7E-9C9C-751F43044531}" name="Leather Boots" dataDxfId="64"/>
    <tableColumn id="11" xr3:uid="{1CEE23EA-B0BC-483E-BE3B-570F93C07C1A}" name="Leave Blank" dataDxfId="63"/>
    <tableColumn id="12" xr3:uid="{1D45495D-88A2-4A94-96C4-B047B6ED62D3}" name="Toque" dataDxfId="62"/>
    <tableColumn id="13" xr3:uid="{5954CB37-ED15-4CF3-A1FD-DCA35E0B036C}" name="Tilly" dataDxfId="61"/>
    <tableColumn id="14" xr3:uid="{4EB0159F-D44E-4237-807C-59C05B43CC3A}" name="Parka" dataDxfId="60"/>
    <tableColumn id="15" xr3:uid="{2D7F5042-3E7C-429C-8AFF-8601B19B8A0F}" name="Gloves" dataDxfId="59"/>
    <tableColumn id="16" xr3:uid="{D45A8E58-834C-42E4-980C-B85C418519A9}" name="Leave Blank2" dataDxfId="58"/>
    <tableColumn id="17" xr3:uid="{433672DD-A406-4334-A746-FB02B994A2E4}" name="Beret" dataDxfId="57"/>
    <tableColumn id="18" xr3:uid="{EE18EFD7-E877-490B-B14E-3FC28D0B1264}" name="FTU Tunic" dataDxfId="56"/>
    <tableColumn id="19" xr3:uid="{29AC551F-F02C-4401-9F86-D5A21F3B8962}" name="FTU Pants" dataDxfId="55"/>
    <tableColumn id="20" xr3:uid="{6DB4DDF9-B627-4BC2-B983-0DA0719B49B1}" name="FTU Boots" dataDxfId="54"/>
    <tableColumn id="27" xr3:uid="{84909A50-96B7-4616-B421-ACD5823BBA6B}" name="Column3" dataDxfId="53"/>
    <tableColumn id="26" xr3:uid="{0EFD58A3-59A1-406F-A3FD-C3E38DB387F2}" name="NameTag" dataDxfId="52"/>
    <tableColumn id="21" xr3:uid="{AEFDE823-D276-4BBA-8AAC-39096CA09601}" name="Toggle Done" dataDxfId="51"/>
    <tableColumn id="22" xr3:uid="{F911E964-47BC-4CDC-AAB6-614C3D5EDB11}" name="All Status" dataDxfId="5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98F3D4-0E77-4C46-A1BA-D38F214E9D7D}" name="Bob_Lewis_943310B7ExchangeTable" displayName="Bob_Lewis_943310B7ExchangeTable" ref="A37:D38" totalsRowShown="0" headerRowDxfId="49" dataDxfId="48">
  <autoFilter ref="A37:D38" xr:uid="{9898F3D4-0E77-4C46-A1BA-D38F214E9D7D}"/>
  <tableColumns count="4">
    <tableColumn id="1" xr3:uid="{2B5A22A7-FB9A-418A-AB57-0448888D84EF}" name="Date" dataDxfId="47"/>
    <tableColumn id="2" xr3:uid="{4BAB6CD3-9730-4E95-8F30-08AFE600988F}" name="Item" dataDxfId="46"/>
    <tableColumn id="3" xr3:uid="{450E6BC3-4E1A-4996-BA53-52382D0F612A}" name="Old Size" dataDxfId="45"/>
    <tableColumn id="4" xr3:uid="{8B648A38-DD65-41CA-84EF-B8C1468FAF17}" name="New Size" dataDxfId="44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C12638-576E-4915-9306-88C5C9732E1E}" name="ere_sds_25085691ExchangeTable" displayName="ere_sds_25085691ExchangeTable" ref="A37:D38" insertRow="1" totalsRowShown="0" headerRowDxfId="0" dataDxfId="1">
  <autoFilter ref="A37:D38" xr:uid="{1CC12638-576E-4915-9306-88C5C9732E1E}"/>
  <tableColumns count="4">
    <tableColumn id="1" xr3:uid="{59A88319-F880-4372-941B-798ACC4DEE5C}" name="Date" dataDxfId="5"/>
    <tableColumn id="2" xr3:uid="{45CEB13E-4CDB-419A-AA8F-5525BF2CD792}" name="Item" dataDxfId="4"/>
    <tableColumn id="3" xr3:uid="{D703B7EC-4029-499C-A790-B3954364B26F}" name="Old Size" dataDxfId="3"/>
    <tableColumn id="4" xr3:uid="{5212CD72-DAF6-413E-B84F-A0307B785950}" name="New Size" dataDxfId="2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5"/>
  <sheetViews>
    <sheetView tabSelected="1" zoomScale="85" zoomScaleNormal="85" workbookViewId="0">
      <selection activeCell="D11" sqref="D11"/>
    </sheetView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4.05" customHeight="1" x14ac:dyDescent="0.3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51</v>
      </c>
    </row>
    <row r="2" spans="1:15" x14ac:dyDescent="0.3">
      <c r="A2" s="42" t="s">
        <v>101</v>
      </c>
      <c r="B2" s="28" t="s">
        <v>106</v>
      </c>
      <c r="C2" s="29" t="s">
        <v>104</v>
      </c>
      <c r="D2" s="43">
        <v>45432.623090277775</v>
      </c>
      <c r="E2" s="44" t="s">
        <v>107</v>
      </c>
    </row>
    <row r="3" spans="1:15" x14ac:dyDescent="0.3">
      <c r="A3" s="42" t="s">
        <v>123</v>
      </c>
      <c r="B3" s="28" t="s">
        <v>124</v>
      </c>
      <c r="C3" s="29" t="s">
        <v>126</v>
      </c>
      <c r="D3" s="72">
        <v>45432.960034722222</v>
      </c>
      <c r="E3" s="73">
        <v>25085691</v>
      </c>
    </row>
    <row r="4" spans="1:15" x14ac:dyDescent="0.3">
      <c r="A4" s="42"/>
      <c r="B4" s="28"/>
      <c r="C4" s="29"/>
      <c r="D4" s="43"/>
      <c r="E4" s="44"/>
    </row>
    <row r="5" spans="1:15" x14ac:dyDescent="0.3">
      <c r="A5" s="42"/>
      <c r="B5" s="28"/>
      <c r="C5" s="29"/>
      <c r="D5" s="43"/>
      <c r="E5" s="44"/>
    </row>
  </sheetData>
  <conditionalFormatting sqref="C2:C5">
    <cfRule type="cellIs" dxfId="43" priority="1" operator="equal">
      <formula>"S.O.S"</formula>
    </cfRule>
    <cfRule type="containsText" dxfId="42" priority="2" operator="containsText" text="UNP">
      <formula>NOT(ISERROR(SEARCH("UNP",C2)))</formula>
    </cfRule>
    <cfRule type="cellIs" dxfId="41" priority="3" operator="equal">
      <formula>"In Stock"</formula>
    </cfRule>
    <cfRule type="containsText" dxfId="40" priority="4" operator="containsText" text="Pick Up">
      <formula>NOT(ISERROR(SEARCH("Pick Up",C2)))</formula>
    </cfRule>
    <cfRule type="cellIs" dxfId="39" priority="9" operator="equal">
      <formula>"Ready To Order"</formula>
    </cfRule>
    <cfRule type="containsText" dxfId="38" priority="10" operator="containsText" text="Ordered">
      <formula>NOT(ISERROR(SEARCH("Ordered",C2)))</formula>
    </cfRule>
    <cfRule type="containsText" dxfId="37" priority="11" operator="containsText" text="Complete">
      <formula>NOT(ISERROR(SEARCH("Complete",C2)))</formula>
    </cfRule>
    <cfRule type="cellIs" dxfId="36" priority="12" operator="equal">
      <formula>"Returned"</formula>
    </cfRule>
  </conditionalFormatting>
  <hyperlinks>
    <hyperlink ref="A2" location="'Bob_Lewis_943310B7'!A1" display="Lewis" xr:uid="{EA849504-F1BD-4305-979D-DEDB8DC7B17F}"/>
    <hyperlink ref="A3" location="'ere_sds_25085691'!A1" display="sds" xr:uid="{B0A83366-4936-4E77-B45D-22607AF75E19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1"/>
  <sheetViews>
    <sheetView workbookViewId="0">
      <selection activeCell="O22" sqref="O22"/>
    </sheetView>
  </sheetViews>
  <sheetFormatPr defaultRowHeight="15.05" x14ac:dyDescent="0.3"/>
  <cols>
    <col min="1" max="1" width="13.109375" customWidth="1"/>
    <col min="3" max="3" width="10.88671875" customWidth="1"/>
    <col min="4" max="4" width="7.5546875" customWidth="1"/>
    <col min="5" max="5" width="11.88671875" customWidth="1"/>
    <col min="6" max="6" width="7" customWidth="1"/>
    <col min="7" max="7" width="8.4414062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  <col min="26" max="26" width="16.88671875" customWidth="1"/>
  </cols>
  <sheetData>
    <row r="1" spans="1:25" ht="41.75" customHeight="1" x14ac:dyDescent="0.3">
      <c r="A1" s="31" t="s">
        <v>50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45</v>
      </c>
      <c r="T1" s="31" t="s">
        <v>32</v>
      </c>
      <c r="U1" s="31"/>
      <c r="V1" s="31" t="s">
        <v>64</v>
      </c>
      <c r="W1" s="30"/>
      <c r="X1" s="30"/>
      <c r="Y1" s="30"/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141316</xdr:colOff>
                    <xdr:row>0</xdr:row>
                    <xdr:rowOff>49876</xdr:rowOff>
                  </from>
                  <to>
                    <xdr:col>24</xdr:col>
                    <xdr:colOff>532015</xdr:colOff>
                    <xdr:row>0</xdr:row>
                    <xdr:rowOff>440575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3"/>
  <sheetViews>
    <sheetView zoomScaleNormal="100" workbookViewId="0">
      <selection activeCell="A3" sqref="A3"/>
    </sheetView>
  </sheetViews>
  <sheetFormatPr defaultRowHeight="15.05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85" customHeight="1" x14ac:dyDescent="0.3">
      <c r="A1" s="55" t="s">
        <v>42</v>
      </c>
      <c r="B1" s="32" t="s">
        <v>43</v>
      </c>
      <c r="C1" s="33" t="s">
        <v>57</v>
      </c>
      <c r="D1" s="58" t="s">
        <v>58</v>
      </c>
      <c r="E1" s="58"/>
      <c r="F1" s="37" t="s">
        <v>59</v>
      </c>
      <c r="G1" s="38" t="s">
        <v>54</v>
      </c>
      <c r="H1" s="34" t="s">
        <v>55</v>
      </c>
      <c r="I1" s="35" t="s">
        <v>60</v>
      </c>
      <c r="L1" s="36" t="s">
        <v>68</v>
      </c>
      <c r="M1" s="41" t="s">
        <v>65</v>
      </c>
      <c r="N1" s="40" t="s">
        <v>66</v>
      </c>
      <c r="O1" s="39" t="s">
        <v>67</v>
      </c>
    </row>
    <row r="2" spans="1:24" ht="37.35" customHeight="1" x14ac:dyDescent="0.3">
      <c r="A2" s="31" t="s">
        <v>50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61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62</v>
      </c>
      <c r="Q2" s="31" t="s">
        <v>33</v>
      </c>
      <c r="R2" s="31" t="s">
        <v>31</v>
      </c>
      <c r="S2" s="31" t="s">
        <v>45</v>
      </c>
      <c r="T2" s="31" t="s">
        <v>32</v>
      </c>
      <c r="U2" s="31" t="s">
        <v>63</v>
      </c>
      <c r="V2" s="31" t="s">
        <v>64</v>
      </c>
      <c r="W2" s="31" t="s">
        <v>56</v>
      </c>
      <c r="X2" s="50" t="s">
        <v>75</v>
      </c>
    </row>
    <row r="3" spans="1:24" x14ac:dyDescent="0.3">
      <c r="A3" s="57" t="s">
        <v>121</v>
      </c>
      <c r="B3" s="33">
        <v>7036</v>
      </c>
      <c r="C3" s="33">
        <v>14</v>
      </c>
      <c r="D3" s="33" t="s">
        <v>96</v>
      </c>
      <c r="E3" s="33">
        <v>7040</v>
      </c>
      <c r="F3" s="52">
        <v>7.25</v>
      </c>
      <c r="G3" s="32" t="s">
        <v>91</v>
      </c>
      <c r="H3" s="33" t="s">
        <v>82</v>
      </c>
      <c r="I3" s="33" t="s">
        <v>100</v>
      </c>
      <c r="J3" s="33" t="s">
        <v>114</v>
      </c>
      <c r="K3" s="45"/>
      <c r="L3" s="33" t="s">
        <v>84</v>
      </c>
      <c r="M3" s="33" t="s">
        <v>116</v>
      </c>
      <c r="N3" s="33">
        <v>7040</v>
      </c>
      <c r="O3" s="33" t="s">
        <v>88</v>
      </c>
      <c r="P3" s="45"/>
      <c r="Q3" s="52">
        <v>7.25</v>
      </c>
      <c r="R3" s="33">
        <v>7036</v>
      </c>
      <c r="S3" s="33">
        <v>7042</v>
      </c>
      <c r="T3" s="33" t="s">
        <v>119</v>
      </c>
      <c r="U3" s="56"/>
      <c r="V3" s="51" t="s">
        <v>101</v>
      </c>
      <c r="W3" s="53"/>
      <c r="X3" s="54" t="s">
        <v>87</v>
      </c>
    </row>
  </sheetData>
  <mergeCells count="1">
    <mergeCell ref="D1:E1"/>
  </mergeCells>
  <phoneticPr fontId="14" type="noConversion"/>
  <hyperlinks>
    <hyperlink ref="A1" location="Menu!A1" display="Back to Menu" xr:uid="{2F36453C-1B65-4911-A569-6D05EA005156}"/>
    <hyperlink ref="A3" location="Bob_Lewis_943310B7!A1" display="Lewis, Bob" xr:uid="{DA6E4BAA-AFD6-4230-A63F-D158E6C59453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483" r:id="rId4" name="Button 619">
              <controlPr defaultSize="0" print="0" autoFill="0" autoPict="0" macro="[0]!'togglePersonAsComplete 3, &quot;Bob_Lewis_943310B7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J2"/>
  <sheetViews>
    <sheetView topLeftCell="J1" workbookViewId="0">
      <selection activeCell="E6" sqref="E6"/>
    </sheetView>
  </sheetViews>
  <sheetFormatPr defaultColWidth="8.88671875" defaultRowHeight="15.05" x14ac:dyDescent="0.3"/>
  <cols>
    <col min="1" max="28" width="8.88671875" style="36"/>
    <col min="29" max="29" width="10.109375" style="36" customWidth="1"/>
    <col min="30" max="16384" width="8.88671875" style="36"/>
  </cols>
  <sheetData>
    <row r="1" spans="1:36" ht="20.95" x14ac:dyDescent="0.3">
      <c r="A1" s="48" t="s">
        <v>69</v>
      </c>
      <c r="B1" s="48" t="s">
        <v>70</v>
      </c>
      <c r="C1" s="48" t="s">
        <v>5</v>
      </c>
      <c r="D1" s="49" t="s">
        <v>3</v>
      </c>
      <c r="E1" s="48" t="s">
        <v>41</v>
      </c>
      <c r="F1" s="48" t="s">
        <v>9</v>
      </c>
      <c r="G1" s="49" t="s">
        <v>11</v>
      </c>
      <c r="H1" s="49" t="s">
        <v>12</v>
      </c>
      <c r="I1" s="49" t="s">
        <v>13</v>
      </c>
      <c r="J1" s="49" t="s">
        <v>48</v>
      </c>
      <c r="K1" s="49" t="s">
        <v>15</v>
      </c>
      <c r="L1" s="49" t="s">
        <v>16</v>
      </c>
      <c r="M1" s="49" t="s">
        <v>17</v>
      </c>
      <c r="N1" s="49" t="s">
        <v>49</v>
      </c>
      <c r="O1" s="49" t="s">
        <v>18</v>
      </c>
      <c r="P1" s="49" t="s">
        <v>77</v>
      </c>
      <c r="Q1" s="49" t="s">
        <v>76</v>
      </c>
      <c r="R1" s="49" t="s">
        <v>71</v>
      </c>
      <c r="S1" s="49" t="s">
        <v>24</v>
      </c>
      <c r="T1" s="49" t="s">
        <v>23</v>
      </c>
      <c r="U1" s="49" t="s">
        <v>72</v>
      </c>
      <c r="V1" s="49" t="s">
        <v>26</v>
      </c>
      <c r="W1" s="49" t="s">
        <v>73</v>
      </c>
      <c r="X1" s="49" t="s">
        <v>74</v>
      </c>
      <c r="Y1" s="49" t="s">
        <v>45</v>
      </c>
      <c r="Z1" s="49" t="s">
        <v>32</v>
      </c>
      <c r="AA1" s="49" t="s">
        <v>33</v>
      </c>
      <c r="AB1" s="49" t="s">
        <v>29</v>
      </c>
      <c r="AC1" s="49" t="s">
        <v>30</v>
      </c>
      <c r="AD1" s="49" t="s">
        <v>28</v>
      </c>
      <c r="AE1" s="49" t="s">
        <v>22</v>
      </c>
      <c r="AF1" s="49" t="s">
        <v>64</v>
      </c>
      <c r="AG1" s="49" t="s">
        <v>103</v>
      </c>
      <c r="AH1" s="49" t="s">
        <v>46</v>
      </c>
      <c r="AI1" s="49" t="s">
        <v>105</v>
      </c>
      <c r="AJ1" s="49" t="s">
        <v>78</v>
      </c>
    </row>
    <row r="2" spans="1:36" x14ac:dyDescent="0.3">
      <c r="A2" s="36" t="s">
        <v>123</v>
      </c>
      <c r="B2" s="36" t="s">
        <v>124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49068-D27C-471E-BC5E-86E677A05418}">
  <sheetPr codeName="Sheet4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79</v>
      </c>
      <c r="C2" s="61" t="s">
        <v>101</v>
      </c>
      <c r="D2" s="61"/>
      <c r="E2" s="61" t="s">
        <v>106</v>
      </c>
      <c r="F2" s="61"/>
      <c r="G2" s="1" t="s">
        <v>107</v>
      </c>
      <c r="K2" s="4" t="s">
        <v>9</v>
      </c>
      <c r="L2" s="4">
        <v>22.6</v>
      </c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>
        <v>13.6</v>
      </c>
    </row>
    <row r="4" spans="1:12" x14ac:dyDescent="0.3">
      <c r="A4" s="1" t="s">
        <v>39</v>
      </c>
      <c r="B4" s="66">
        <v>7345806215</v>
      </c>
      <c r="C4" s="66"/>
      <c r="D4" s="66"/>
      <c r="E4" s="61" t="s">
        <v>80</v>
      </c>
      <c r="F4" s="61"/>
      <c r="G4" s="1" t="s">
        <v>86</v>
      </c>
      <c r="K4" s="4" t="s">
        <v>12</v>
      </c>
      <c r="L4" s="4">
        <v>35.700000000000003</v>
      </c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>
        <v>40.4</v>
      </c>
    </row>
    <row r="6" spans="1:12" x14ac:dyDescent="0.3">
      <c r="A6" s="3" t="s">
        <v>102</v>
      </c>
      <c r="B6" s="60" t="s">
        <v>18</v>
      </c>
      <c r="C6" s="60"/>
      <c r="D6" s="60"/>
      <c r="E6" s="46" t="s">
        <v>90</v>
      </c>
      <c r="F6" s="4">
        <v>1</v>
      </c>
      <c r="G6" s="23" t="s">
        <v>81</v>
      </c>
      <c r="H6" s="26" t="str">
        <f>HYPERLINK("#G6",CHAR(128))</f>
        <v>€</v>
      </c>
      <c r="K6" s="4" t="s">
        <v>14</v>
      </c>
      <c r="L6" s="4">
        <v>37.200000000000003</v>
      </c>
    </row>
    <row r="7" spans="1:12" x14ac:dyDescent="0.3">
      <c r="A7" s="2" t="s">
        <v>109</v>
      </c>
      <c r="B7" s="61" t="s">
        <v>21</v>
      </c>
      <c r="C7" s="61"/>
      <c r="D7" s="61"/>
      <c r="E7" s="47" t="s">
        <v>108</v>
      </c>
      <c r="F7" s="14">
        <v>1</v>
      </c>
      <c r="G7" s="23" t="s">
        <v>81</v>
      </c>
      <c r="H7" s="26" t="str">
        <f>HYPERLINK("#G7",CHAR(128))</f>
        <v>€</v>
      </c>
      <c r="K7" s="1" t="s">
        <v>15</v>
      </c>
      <c r="L7" s="1">
        <v>69.599999999999994</v>
      </c>
    </row>
    <row r="8" spans="1:12" x14ac:dyDescent="0.3">
      <c r="A8" s="3" t="s">
        <v>99</v>
      </c>
      <c r="B8" s="60" t="s">
        <v>19</v>
      </c>
      <c r="C8" s="60"/>
      <c r="D8" s="60"/>
      <c r="E8" s="46" t="s">
        <v>96</v>
      </c>
      <c r="F8" s="4">
        <v>1</v>
      </c>
      <c r="G8" s="23" t="s">
        <v>81</v>
      </c>
      <c r="H8" s="26" t="str">
        <f>HYPERLINK("#G8",CHAR(128))</f>
        <v>€</v>
      </c>
      <c r="K8" s="4" t="s">
        <v>16</v>
      </c>
      <c r="L8" s="4">
        <v>265.89999999999998</v>
      </c>
    </row>
    <row r="9" spans="1:12" x14ac:dyDescent="0.3">
      <c r="A9" s="2" t="s">
        <v>110</v>
      </c>
      <c r="B9" s="61" t="s">
        <v>20</v>
      </c>
      <c r="C9" s="61"/>
      <c r="D9" s="61"/>
      <c r="E9" s="47" t="s">
        <v>93</v>
      </c>
      <c r="F9" s="14">
        <v>1</v>
      </c>
      <c r="G9" s="23" t="s">
        <v>81</v>
      </c>
      <c r="H9" s="26" t="str">
        <f>HYPERLINK("#G9",CHAR(128))</f>
        <v>€</v>
      </c>
      <c r="I9" s="9"/>
      <c r="K9" s="1" t="s">
        <v>17</v>
      </c>
      <c r="L9" s="1">
        <v>87</v>
      </c>
    </row>
    <row r="10" spans="1:12" x14ac:dyDescent="0.3">
      <c r="A10" s="3" t="s">
        <v>112</v>
      </c>
      <c r="B10" s="60" t="s">
        <v>24</v>
      </c>
      <c r="C10" s="60"/>
      <c r="D10" s="60"/>
      <c r="E10" s="46" t="s">
        <v>111</v>
      </c>
      <c r="F10" s="4">
        <v>1</v>
      </c>
      <c r="G10" s="23" t="s">
        <v>81</v>
      </c>
      <c r="H10" s="26" t="str">
        <f>HYPERLINK("#G10",CHAR(128))</f>
        <v>€</v>
      </c>
      <c r="K10" s="13" t="s">
        <v>44</v>
      </c>
      <c r="L10" s="13">
        <v>7.9</v>
      </c>
    </row>
    <row r="11" spans="1:12" x14ac:dyDescent="0.3">
      <c r="A11" s="2" t="s">
        <v>92</v>
      </c>
      <c r="B11" s="61" t="s">
        <v>23</v>
      </c>
      <c r="C11" s="61"/>
      <c r="D11" s="61"/>
      <c r="E11" s="47" t="s">
        <v>91</v>
      </c>
      <c r="F11" s="14">
        <v>1</v>
      </c>
      <c r="G11" s="23" t="s">
        <v>43</v>
      </c>
      <c r="H11" s="26" t="str">
        <f>HYPERLINK("#G11",CHAR(128))</f>
        <v>€</v>
      </c>
    </row>
    <row r="12" spans="1:12" x14ac:dyDescent="0.3">
      <c r="A12" s="5" t="s">
        <v>83</v>
      </c>
      <c r="B12" s="60" t="s">
        <v>25</v>
      </c>
      <c r="C12" s="60"/>
      <c r="D12" s="60"/>
      <c r="E12" s="46" t="s">
        <v>82</v>
      </c>
      <c r="F12" s="4">
        <v>1</v>
      </c>
      <c r="G12" s="23" t="s">
        <v>81</v>
      </c>
      <c r="H12" s="26" t="str">
        <f>HYPERLINK("#G12",CHAR(128))</f>
        <v>€</v>
      </c>
    </row>
    <row r="13" spans="1:12" x14ac:dyDescent="0.3">
      <c r="A13" s="2" t="s">
        <v>113</v>
      </c>
      <c r="B13" s="61" t="s">
        <v>26</v>
      </c>
      <c r="C13" s="61"/>
      <c r="D13" s="61"/>
      <c r="E13" s="47" t="s">
        <v>100</v>
      </c>
      <c r="F13" s="14">
        <v>1</v>
      </c>
      <c r="G13" s="23" t="s">
        <v>81</v>
      </c>
      <c r="H13" s="26" t="str">
        <f>HYPERLINK("#G13",CHAR(128))</f>
        <v>€</v>
      </c>
    </row>
    <row r="14" spans="1:12" x14ac:dyDescent="0.3">
      <c r="A14" s="5" t="s">
        <v>115</v>
      </c>
      <c r="B14" s="60" t="s">
        <v>27</v>
      </c>
      <c r="C14" s="60"/>
      <c r="D14" s="60"/>
      <c r="E14" s="46" t="s">
        <v>114</v>
      </c>
      <c r="F14" s="4">
        <v>1</v>
      </c>
      <c r="G14" s="23" t="s">
        <v>81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85</v>
      </c>
      <c r="B16" s="60" t="s">
        <v>28</v>
      </c>
      <c r="C16" s="60"/>
      <c r="D16" s="60"/>
      <c r="E16" s="46" t="s">
        <v>84</v>
      </c>
      <c r="F16" s="4">
        <v>1</v>
      </c>
      <c r="G16" s="23" t="s">
        <v>81</v>
      </c>
      <c r="H16" s="21" t="str">
        <f>HYPERLINK("#G16",CHAR(128))</f>
        <v>€</v>
      </c>
    </row>
    <row r="17" spans="1:10" x14ac:dyDescent="0.3">
      <c r="A17" s="2" t="s">
        <v>117</v>
      </c>
      <c r="B17" s="61" t="s">
        <v>22</v>
      </c>
      <c r="C17" s="61"/>
      <c r="D17" s="61"/>
      <c r="E17" s="47" t="s">
        <v>116</v>
      </c>
      <c r="F17" s="14">
        <v>1</v>
      </c>
      <c r="G17" s="23" t="s">
        <v>81</v>
      </c>
      <c r="H17" s="21" t="str">
        <f>HYPERLINK("#G17",CHAR(128))</f>
        <v>€</v>
      </c>
    </row>
    <row r="18" spans="1:10" x14ac:dyDescent="0.3">
      <c r="A18" s="5" t="s">
        <v>94</v>
      </c>
      <c r="B18" s="60" t="s">
        <v>29</v>
      </c>
      <c r="C18" s="60"/>
      <c r="D18" s="60"/>
      <c r="E18" s="46" t="s">
        <v>93</v>
      </c>
      <c r="F18" s="4">
        <v>1</v>
      </c>
      <c r="G18" s="23" t="s">
        <v>81</v>
      </c>
      <c r="H18" s="21" t="str">
        <f>HYPERLINK("#G18",CHAR(128))</f>
        <v>€</v>
      </c>
    </row>
    <row r="19" spans="1:10" x14ac:dyDescent="0.3">
      <c r="A19" s="2" t="s">
        <v>89</v>
      </c>
      <c r="B19" s="61" t="s">
        <v>30</v>
      </c>
      <c r="C19" s="61"/>
      <c r="D19" s="61"/>
      <c r="E19" s="47" t="s">
        <v>88</v>
      </c>
      <c r="F19" s="14">
        <v>1</v>
      </c>
      <c r="G19" s="23" t="s">
        <v>81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 t="s">
        <v>118</v>
      </c>
      <c r="B21" s="61" t="s">
        <v>33</v>
      </c>
      <c r="C21" s="61"/>
      <c r="D21" s="61"/>
      <c r="E21" s="47" t="s">
        <v>111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95</v>
      </c>
      <c r="B22" s="60" t="s">
        <v>31</v>
      </c>
      <c r="C22" s="60"/>
      <c r="D22" s="60"/>
      <c r="E22" s="46" t="s">
        <v>90</v>
      </c>
      <c r="F22" s="4">
        <v>1</v>
      </c>
      <c r="G22" s="23" t="s">
        <v>81</v>
      </c>
      <c r="H22" s="21" t="str">
        <f>HYPERLINK("#G22",CHAR(128))</f>
        <v>€</v>
      </c>
    </row>
    <row r="23" spans="1:10" x14ac:dyDescent="0.3">
      <c r="A23" s="2" t="s">
        <v>98</v>
      </c>
      <c r="B23" s="61" t="s">
        <v>45</v>
      </c>
      <c r="C23" s="61"/>
      <c r="D23" s="61"/>
      <c r="E23" s="47" t="s">
        <v>97</v>
      </c>
      <c r="F23" s="14">
        <v>1</v>
      </c>
      <c r="G23" s="23" t="s">
        <v>81</v>
      </c>
      <c r="H23" s="20" t="str">
        <f>HYPERLINK("#G23",CHAR(128))</f>
        <v>€</v>
      </c>
    </row>
    <row r="24" spans="1:10" x14ac:dyDescent="0.3">
      <c r="A24" s="5" t="s">
        <v>120</v>
      </c>
      <c r="B24" s="60" t="s">
        <v>32</v>
      </c>
      <c r="C24" s="60"/>
      <c r="D24" s="60"/>
      <c r="E24" s="46" t="s">
        <v>119</v>
      </c>
      <c r="F24" s="4">
        <v>1</v>
      </c>
      <c r="G24" s="23" t="s">
        <v>81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Lewis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9240460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>
        <v>2022</v>
      </c>
      <c r="B38" s="36" t="s">
        <v>122</v>
      </c>
      <c r="C38" s="36">
        <v>1111</v>
      </c>
      <c r="D38" s="36">
        <v>2222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5" priority="3" operator="equal">
      <formula>"Returned"</formula>
    </cfRule>
    <cfRule type="cellIs" dxfId="34" priority="6" operator="equal">
      <formula>"Ready To Order"</formula>
    </cfRule>
    <cfRule type="cellIs" dxfId="33" priority="7" operator="equal">
      <formula>"UNP"</formula>
    </cfRule>
    <cfRule type="containsText" dxfId="32" priority="8" operator="containsText" text="Ordered">
      <formula>NOT(ISERROR(SEARCH("Ordered",G6)))</formula>
    </cfRule>
    <cfRule type="containsText" dxfId="31" priority="9" operator="containsText" text="Pick Up">
      <formula>NOT(ISERROR(SEARCH("Pick Up",G6)))</formula>
    </cfRule>
    <cfRule type="containsText" dxfId="30" priority="10" operator="containsText" text="Complete">
      <formula>NOT(ISERROR(SEARCH("Complete",G6)))</formula>
    </cfRule>
  </conditionalFormatting>
  <conditionalFormatting sqref="G30:G33">
    <cfRule type="containsText" dxfId="29" priority="5" operator="containsText" text="Given">
      <formula>NOT(ISERROR(SEARCH("Given",G30)))</formula>
    </cfRule>
  </conditionalFormatting>
  <conditionalFormatting sqref="G30:G34">
    <cfRule type="containsText" dxfId="28" priority="4" operator="containsText" text="Returned">
      <formula>NOT(ISERROR(SEARCH("Returned",G30)))</formula>
    </cfRule>
  </conditionalFormatting>
  <conditionalFormatting sqref="G6:G14 G21:G26 G16:G19">
    <cfRule type="cellIs" dxfId="27" priority="2" operator="equal">
      <formula>"In Stock"</formula>
    </cfRule>
  </conditionalFormatting>
  <conditionalFormatting sqref="G6:G14 G16:G19 G21:G24 G26">
    <cfRule type="cellIs" dxfId="26" priority="1" operator="equal">
      <formula>"Unknown"</formula>
    </cfRule>
  </conditionalFormatting>
  <dataValidations count="3">
    <dataValidation type="list" allowBlank="1" showInputMessage="1" showErrorMessage="1" sqref="G6:G14 G16:G19 G21:G24 G26" xr:uid="{46966604-6640-4776-8540-AF3562CD8CDE}">
      <formula1>"UNP, Ready To Order, Ordered, In Stock, Pick Up, Complete, Returned, Unknown"</formula1>
    </dataValidation>
    <dataValidation type="list" allowBlank="1" showInputMessage="1" showErrorMessage="1" sqref="G30:G34" xr:uid="{76685AEC-0E9D-4061-A857-C966EBD7F93F}">
      <formula1>"--,Returned, Given"</formula1>
    </dataValidation>
    <dataValidation type="decimal" allowBlank="1" showInputMessage="1" showErrorMessage="1" sqref="L2" xr:uid="{A9CF762D-35B7-4526-8867-81A658AA5F53}">
      <formula1>19</formula1>
      <formula2>26</formula2>
    </dataValidation>
  </dataValidations>
  <hyperlinks>
    <hyperlink ref="A1:A2" location="Menu!A1" display="Back to Menu" xr:uid="{8D2DE70B-0A37-4D49-A8F5-B2D12FC94EB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03A9-E500-4D97-A9D1-6A760E9B24FD}">
  <sheetPr codeName="Sheet3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x14ac:dyDescent="0.3">
      <c r="A2" s="68"/>
      <c r="B2" s="2" t="s">
        <v>125</v>
      </c>
      <c r="C2" s="61" t="s">
        <v>123</v>
      </c>
      <c r="D2" s="61"/>
      <c r="E2" s="61" t="s">
        <v>124</v>
      </c>
      <c r="F2" s="61"/>
      <c r="G2" s="1">
        <v>25085691</v>
      </c>
      <c r="K2" s="4" t="s">
        <v>9</v>
      </c>
      <c r="L2" s="4"/>
    </row>
    <row r="3" spans="1:12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/>
    </row>
    <row r="4" spans="1:12" x14ac:dyDescent="0.3">
      <c r="A4" s="1" t="s">
        <v>39</v>
      </c>
      <c r="B4" s="66"/>
      <c r="C4" s="66"/>
      <c r="D4" s="66"/>
      <c r="E4" s="61"/>
      <c r="F4" s="61"/>
      <c r="G4" s="1"/>
      <c r="K4" s="4" t="s">
        <v>12</v>
      </c>
      <c r="L4" s="4"/>
    </row>
    <row r="5" spans="1:12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x14ac:dyDescent="0.3">
      <c r="A6" s="3"/>
      <c r="B6" s="60" t="s">
        <v>18</v>
      </c>
      <c r="C6" s="60"/>
      <c r="D6" s="60"/>
      <c r="E6" s="46"/>
      <c r="F6" s="4">
        <v>1</v>
      </c>
      <c r="G6" s="23" t="s">
        <v>126</v>
      </c>
      <c r="H6" s="26" t="str">
        <f>HYPERLINK("#G6",CHAR(128))</f>
        <v>€</v>
      </c>
      <c r="K6" s="4" t="s">
        <v>14</v>
      </c>
      <c r="L6" s="4"/>
    </row>
    <row r="7" spans="1:12" x14ac:dyDescent="0.3">
      <c r="A7" s="2"/>
      <c r="B7" s="61" t="s">
        <v>21</v>
      </c>
      <c r="C7" s="61"/>
      <c r="D7" s="61"/>
      <c r="E7" s="47"/>
      <c r="F7" s="14">
        <v>1</v>
      </c>
      <c r="G7" s="23" t="s">
        <v>126</v>
      </c>
      <c r="H7" s="26" t="str">
        <f>HYPERLINK("#G7",CHAR(128))</f>
        <v>€</v>
      </c>
      <c r="K7" s="1" t="s">
        <v>15</v>
      </c>
      <c r="L7" s="1"/>
    </row>
    <row r="8" spans="1:12" x14ac:dyDescent="0.3">
      <c r="A8" s="3"/>
      <c r="B8" s="60" t="s">
        <v>19</v>
      </c>
      <c r="C8" s="60"/>
      <c r="D8" s="60"/>
      <c r="E8" s="46"/>
      <c r="F8" s="4">
        <v>1</v>
      </c>
      <c r="G8" s="23" t="s">
        <v>126</v>
      </c>
      <c r="H8" s="26" t="str">
        <f>HYPERLINK("#G8",CHAR(128))</f>
        <v>€</v>
      </c>
      <c r="K8" s="4" t="s">
        <v>16</v>
      </c>
      <c r="L8" s="4"/>
    </row>
    <row r="9" spans="1:12" x14ac:dyDescent="0.3">
      <c r="A9" s="2"/>
      <c r="B9" s="61" t="s">
        <v>20</v>
      </c>
      <c r="C9" s="61"/>
      <c r="D9" s="61"/>
      <c r="E9" s="47"/>
      <c r="F9" s="14">
        <v>1</v>
      </c>
      <c r="G9" s="23" t="s">
        <v>126</v>
      </c>
      <c r="H9" s="26" t="str">
        <f>HYPERLINK("#G9",CHAR(128))</f>
        <v>€</v>
      </c>
      <c r="I9" s="9"/>
      <c r="K9" s="1" t="s">
        <v>17</v>
      </c>
      <c r="L9" s="1"/>
    </row>
    <row r="10" spans="1:12" x14ac:dyDescent="0.3">
      <c r="A10" s="3"/>
      <c r="B10" s="60" t="s">
        <v>24</v>
      </c>
      <c r="C10" s="60"/>
      <c r="D10" s="60"/>
      <c r="E10" s="46"/>
      <c r="F10" s="4">
        <v>1</v>
      </c>
      <c r="G10" s="23" t="s">
        <v>126</v>
      </c>
      <c r="H10" s="26" t="str">
        <f>HYPERLINK("#G10",CHAR(128))</f>
        <v>€</v>
      </c>
      <c r="K10" s="13" t="s">
        <v>44</v>
      </c>
      <c r="L10" s="13"/>
    </row>
    <row r="11" spans="1:12" x14ac:dyDescent="0.3">
      <c r="A11" s="2"/>
      <c r="B11" s="61" t="s">
        <v>23</v>
      </c>
      <c r="C11" s="61"/>
      <c r="D11" s="61"/>
      <c r="E11" s="47"/>
      <c r="F11" s="14">
        <v>1</v>
      </c>
      <c r="G11" s="23" t="s">
        <v>126</v>
      </c>
      <c r="H11" s="26" t="str">
        <f>HYPERLINK("#G11",CHAR(128))</f>
        <v>€</v>
      </c>
    </row>
    <row r="12" spans="1:12" x14ac:dyDescent="0.3">
      <c r="A12" s="5"/>
      <c r="B12" s="60" t="s">
        <v>25</v>
      </c>
      <c r="C12" s="60"/>
      <c r="D12" s="60"/>
      <c r="E12" s="46"/>
      <c r="F12" s="4">
        <v>1</v>
      </c>
      <c r="G12" s="23" t="s">
        <v>126</v>
      </c>
      <c r="H12" s="26" t="str">
        <f>HYPERLINK("#G12",CHAR(128))</f>
        <v>€</v>
      </c>
    </row>
    <row r="13" spans="1:12" x14ac:dyDescent="0.3">
      <c r="A13" s="2"/>
      <c r="B13" s="61" t="s">
        <v>26</v>
      </c>
      <c r="C13" s="61"/>
      <c r="D13" s="61"/>
      <c r="E13" s="47"/>
      <c r="F13" s="14">
        <v>1</v>
      </c>
      <c r="G13" s="23" t="s">
        <v>126</v>
      </c>
      <c r="H13" s="26" t="str">
        <f>HYPERLINK("#G13",CHAR(128))</f>
        <v>€</v>
      </c>
    </row>
    <row r="14" spans="1:12" x14ac:dyDescent="0.3">
      <c r="A14" s="5"/>
      <c r="B14" s="60" t="s">
        <v>27</v>
      </c>
      <c r="C14" s="60"/>
      <c r="D14" s="60"/>
      <c r="E14" s="46"/>
      <c r="F14" s="4">
        <v>1</v>
      </c>
      <c r="G14" s="23" t="s">
        <v>126</v>
      </c>
      <c r="H14" s="26" t="str">
        <f>HYPERLINK("#G14",CHAR(128))</f>
        <v>€</v>
      </c>
    </row>
    <row r="15" spans="1:12" x14ac:dyDescent="0.3">
      <c r="A15" s="2"/>
      <c r="B15" s="62"/>
      <c r="C15" s="62"/>
      <c r="D15" s="62"/>
      <c r="E15" s="47"/>
      <c r="F15" s="14"/>
      <c r="G15" s="14"/>
      <c r="H15" s="12"/>
    </row>
    <row r="16" spans="1:12" x14ac:dyDescent="0.3">
      <c r="A16" s="5" t="s">
        <v>85</v>
      </c>
      <c r="B16" s="60" t="s">
        <v>28</v>
      </c>
      <c r="C16" s="60"/>
      <c r="D16" s="60"/>
      <c r="E16" s="46"/>
      <c r="F16" s="4">
        <v>1</v>
      </c>
      <c r="G16" s="23" t="s">
        <v>126</v>
      </c>
      <c r="H16" s="21" t="str">
        <f>HYPERLINK("#G16",CHAR(128))</f>
        <v>€</v>
      </c>
    </row>
    <row r="17" spans="1:10" x14ac:dyDescent="0.3">
      <c r="A17" s="2"/>
      <c r="B17" s="61" t="s">
        <v>22</v>
      </c>
      <c r="C17" s="61"/>
      <c r="D17" s="61"/>
      <c r="E17" s="47"/>
      <c r="F17" s="14">
        <v>1</v>
      </c>
      <c r="G17" s="23" t="s">
        <v>126</v>
      </c>
      <c r="H17" s="21" t="str">
        <f>HYPERLINK("#G17",CHAR(128))</f>
        <v>€</v>
      </c>
    </row>
    <row r="18" spans="1:10" x14ac:dyDescent="0.3">
      <c r="A18" s="5"/>
      <c r="B18" s="60" t="s">
        <v>29</v>
      </c>
      <c r="C18" s="60"/>
      <c r="D18" s="60"/>
      <c r="E18" s="46"/>
      <c r="F18" s="4">
        <v>1</v>
      </c>
      <c r="G18" s="23" t="s">
        <v>126</v>
      </c>
      <c r="H18" s="21" t="str">
        <f>HYPERLINK("#G18",CHAR(128))</f>
        <v>€</v>
      </c>
    </row>
    <row r="19" spans="1:10" x14ac:dyDescent="0.3">
      <c r="A19" s="2"/>
      <c r="B19" s="61" t="s">
        <v>30</v>
      </c>
      <c r="C19" s="61"/>
      <c r="D19" s="61"/>
      <c r="E19" s="47"/>
      <c r="F19" s="14">
        <v>1</v>
      </c>
      <c r="G19" s="23" t="s">
        <v>126</v>
      </c>
      <c r="H19" s="21" t="str">
        <f>HYPERLINK("#G19",CHAR(128))</f>
        <v>€</v>
      </c>
    </row>
    <row r="20" spans="1:10" x14ac:dyDescent="0.3">
      <c r="A20" s="5"/>
      <c r="B20" s="63"/>
      <c r="C20" s="64"/>
      <c r="D20" s="65"/>
      <c r="E20" s="46"/>
      <c r="F20" s="4"/>
      <c r="G20" s="4"/>
      <c r="H20" s="12"/>
    </row>
    <row r="21" spans="1:10" x14ac:dyDescent="0.3">
      <c r="A21" s="2"/>
      <c r="B21" s="61" t="s">
        <v>33</v>
      </c>
      <c r="C21" s="61"/>
      <c r="D21" s="61"/>
      <c r="E21" s="47"/>
      <c r="F21" s="14">
        <v>1</v>
      </c>
      <c r="G21" s="23" t="s">
        <v>126</v>
      </c>
      <c r="H21" s="21" t="str">
        <f>HYPERLINK("#G21",CHAR(128))</f>
        <v>€</v>
      </c>
    </row>
    <row r="22" spans="1:10" x14ac:dyDescent="0.3">
      <c r="A22" s="5"/>
      <c r="B22" s="60" t="s">
        <v>31</v>
      </c>
      <c r="C22" s="60"/>
      <c r="D22" s="60"/>
      <c r="E22" s="46"/>
      <c r="F22" s="4">
        <v>1</v>
      </c>
      <c r="G22" s="23" t="s">
        <v>126</v>
      </c>
      <c r="H22" s="21" t="str">
        <f>HYPERLINK("#G22",CHAR(128))</f>
        <v>€</v>
      </c>
    </row>
    <row r="23" spans="1:10" x14ac:dyDescent="0.3">
      <c r="A23" s="2"/>
      <c r="B23" s="61" t="s">
        <v>45</v>
      </c>
      <c r="C23" s="61"/>
      <c r="D23" s="61"/>
      <c r="E23" s="47"/>
      <c r="F23" s="14">
        <v>1</v>
      </c>
      <c r="G23" s="23" t="s">
        <v>126</v>
      </c>
      <c r="H23" s="20" t="str">
        <f>HYPERLINK("#G23",CHAR(128))</f>
        <v>€</v>
      </c>
    </row>
    <row r="24" spans="1:10" x14ac:dyDescent="0.3">
      <c r="A24" s="5"/>
      <c r="B24" s="60" t="s">
        <v>32</v>
      </c>
      <c r="C24" s="60"/>
      <c r="D24" s="60"/>
      <c r="E24" s="46"/>
      <c r="F24" s="4">
        <v>1</v>
      </c>
      <c r="G24" s="23" t="s">
        <v>126</v>
      </c>
      <c r="H24" s="20" t="str">
        <f>HYPERLINK("#G24",CHAR(128))</f>
        <v>€</v>
      </c>
    </row>
    <row r="25" spans="1:10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0" x14ac:dyDescent="0.3">
      <c r="A26" s="5"/>
      <c r="B26" s="60" t="s">
        <v>37</v>
      </c>
      <c r="C26" s="60"/>
      <c r="D26" s="60"/>
      <c r="E26" s="4" t="str">
        <f>C2</f>
        <v>sds</v>
      </c>
      <c r="F26" s="4">
        <v>1</v>
      </c>
      <c r="G26" s="23" t="s">
        <v>126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/>
      <c r="B38" s="36"/>
      <c r="C38" s="36"/>
      <c r="D38" s="36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15" priority="3" operator="equal">
      <formula>"Returned"</formula>
    </cfRule>
    <cfRule type="cellIs" dxfId="14" priority="6" operator="equal">
      <formula>"Ready To Order"</formula>
    </cfRule>
    <cfRule type="cellIs" dxfId="13" priority="7" operator="equal">
      <formula>"UNP"</formula>
    </cfRule>
    <cfRule type="containsText" dxfId="12" priority="8" operator="containsText" text="Ordered">
      <formula>NOT(ISERROR(SEARCH("Ordered",G6)))</formula>
    </cfRule>
    <cfRule type="containsText" dxfId="11" priority="9" operator="containsText" text="Pick Up">
      <formula>NOT(ISERROR(SEARCH("Pick Up",G6)))</formula>
    </cfRule>
    <cfRule type="containsText" dxfId="10" priority="10" operator="containsText" text="Complete">
      <formula>NOT(ISERROR(SEARCH("Complete",G6)))</formula>
    </cfRule>
  </conditionalFormatting>
  <conditionalFormatting sqref="G30:G33">
    <cfRule type="containsText" dxfId="9" priority="5" operator="containsText" text="Given">
      <formula>NOT(ISERROR(SEARCH("Given",G30)))</formula>
    </cfRule>
  </conditionalFormatting>
  <conditionalFormatting sqref="G30:G34">
    <cfRule type="containsText" dxfId="8" priority="4" operator="containsText" text="Returned">
      <formula>NOT(ISERROR(SEARCH("Returned",G30)))</formula>
    </cfRule>
  </conditionalFormatting>
  <conditionalFormatting sqref="G6:G14 G21:G26 G16:G19">
    <cfRule type="cellIs" dxfId="7" priority="2" operator="equal">
      <formula>"In Stock"</formula>
    </cfRule>
  </conditionalFormatting>
  <conditionalFormatting sqref="G6:G14 G16:G19 G21:G24 G26">
    <cfRule type="cellIs" dxfId="6" priority="1" operator="equal">
      <formula>"Unknown"</formula>
    </cfRule>
  </conditionalFormatting>
  <dataValidations count="3">
    <dataValidation type="list" allowBlank="1" showInputMessage="1" showErrorMessage="1" sqref="G6:G14 G16:G19 G21:G24 G26" xr:uid="{FB63FC23-1F0B-4976-9130-137D1B233DB0}">
      <formula1>"UNP, Ready To Order, Ordered, In Stock, Pick Up, Complete, Returned, Unknown"</formula1>
    </dataValidation>
    <dataValidation type="list" allowBlank="1" showInputMessage="1" showErrorMessage="1" sqref="G30:G34" xr:uid="{7AC10575-6084-41EC-84EB-41CBC1E39C49}">
      <formula1>"--,Returned, Given"</formula1>
    </dataValidation>
    <dataValidation type="decimal" allowBlank="1" showInputMessage="1" showErrorMessage="1" sqref="L2" xr:uid="{6D0AF794-EF56-4A5A-A0C8-F9E342B5CB4D}">
      <formula1>19</formula1>
      <formula2>26</formula2>
    </dataValidation>
  </dataValidations>
  <hyperlinks>
    <hyperlink ref="A1:A2" location="Menu!A1" display="Back to Menu" xr:uid="{2CF9FE72-0840-4C5D-A974-7A1F425311A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5.05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" customHeight="1" x14ac:dyDescent="0.3">
      <c r="A1" s="67" t="s">
        <v>42</v>
      </c>
      <c r="B1" s="18" t="s">
        <v>3</v>
      </c>
      <c r="C1" s="59" t="s">
        <v>0</v>
      </c>
      <c r="D1" s="59"/>
      <c r="E1" s="59" t="s">
        <v>2</v>
      </c>
      <c r="F1" s="59"/>
      <c r="G1" s="18" t="s">
        <v>34</v>
      </c>
      <c r="K1" s="18" t="s">
        <v>38</v>
      </c>
      <c r="L1" s="18" t="s">
        <v>10</v>
      </c>
    </row>
    <row r="2" spans="1:12" ht="17.2" customHeight="1" x14ac:dyDescent="0.3">
      <c r="A2" s="68"/>
      <c r="B2" s="2"/>
      <c r="C2" s="61"/>
      <c r="D2" s="61"/>
      <c r="E2" s="61"/>
      <c r="F2" s="61"/>
      <c r="G2" s="1"/>
      <c r="K2" s="4" t="s">
        <v>9</v>
      </c>
      <c r="L2" s="4"/>
    </row>
    <row r="3" spans="1:12" ht="17.2" customHeight="1" x14ac:dyDescent="0.3">
      <c r="A3" s="18" t="s">
        <v>1</v>
      </c>
      <c r="B3" s="69" t="s">
        <v>4</v>
      </c>
      <c r="C3" s="70"/>
      <c r="D3" s="71"/>
      <c r="E3" s="69" t="s">
        <v>46</v>
      </c>
      <c r="F3" s="71"/>
      <c r="G3" s="18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66"/>
      <c r="C4" s="66"/>
      <c r="D4" s="66"/>
      <c r="E4" s="61"/>
      <c r="F4" s="61"/>
      <c r="G4" s="1"/>
      <c r="K4" s="4" t="s">
        <v>12</v>
      </c>
      <c r="L4" s="4"/>
    </row>
    <row r="5" spans="1:12" ht="17.2" customHeight="1" x14ac:dyDescent="0.3">
      <c r="A5" s="18" t="s">
        <v>6</v>
      </c>
      <c r="B5" s="59" t="s">
        <v>7</v>
      </c>
      <c r="C5" s="59"/>
      <c r="D5" s="59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" customHeight="1" x14ac:dyDescent="0.3">
      <c r="A6" s="3"/>
      <c r="B6" s="60" t="s">
        <v>18</v>
      </c>
      <c r="C6" s="60"/>
      <c r="D6" s="60"/>
      <c r="E6" s="46"/>
      <c r="F6" s="4">
        <v>1</v>
      </c>
      <c r="G6" s="23" t="s">
        <v>43</v>
      </c>
      <c r="H6" s="26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61" t="s">
        <v>21</v>
      </c>
      <c r="C7" s="61"/>
      <c r="D7" s="61"/>
      <c r="E7" s="47"/>
      <c r="F7" s="14">
        <v>1</v>
      </c>
      <c r="G7" s="23" t="s">
        <v>43</v>
      </c>
      <c r="H7" s="26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60" t="s">
        <v>19</v>
      </c>
      <c r="C8" s="60"/>
      <c r="D8" s="60"/>
      <c r="E8" s="46"/>
      <c r="F8" s="4">
        <v>1</v>
      </c>
      <c r="G8" s="23" t="s">
        <v>43</v>
      </c>
      <c r="H8" s="26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61" t="s">
        <v>20</v>
      </c>
      <c r="C9" s="61"/>
      <c r="D9" s="61"/>
      <c r="E9" s="47"/>
      <c r="F9" s="14">
        <v>1</v>
      </c>
      <c r="G9" s="23" t="s">
        <v>43</v>
      </c>
      <c r="H9" s="26" t="str">
        <f>HYPERLINK("#G9",CHAR(128))</f>
        <v>€</v>
      </c>
      <c r="I9" s="9"/>
      <c r="K9" s="1" t="s">
        <v>17</v>
      </c>
      <c r="L9" s="1"/>
    </row>
    <row r="10" spans="1:12" ht="17.2" customHeight="1" x14ac:dyDescent="0.3">
      <c r="A10" s="3"/>
      <c r="B10" s="60" t="s">
        <v>24</v>
      </c>
      <c r="C10" s="60"/>
      <c r="D10" s="60"/>
      <c r="E10" s="46"/>
      <c r="F10" s="4">
        <v>1</v>
      </c>
      <c r="G10" s="23" t="s">
        <v>43</v>
      </c>
      <c r="H10" s="26" t="str">
        <f>HYPERLINK("#G10",CHAR(128))</f>
        <v>€</v>
      </c>
      <c r="K10" s="13" t="s">
        <v>44</v>
      </c>
      <c r="L10" s="13"/>
    </row>
    <row r="11" spans="1:12" ht="17.2" customHeight="1" x14ac:dyDescent="0.3">
      <c r="A11" s="2"/>
      <c r="B11" s="61" t="s">
        <v>23</v>
      </c>
      <c r="C11" s="61"/>
      <c r="D11" s="61"/>
      <c r="E11" s="47"/>
      <c r="F11" s="14">
        <v>1</v>
      </c>
      <c r="G11" s="23" t="s">
        <v>43</v>
      </c>
      <c r="H11" s="26" t="str">
        <f>HYPERLINK("#G11",CHAR(128))</f>
        <v>€</v>
      </c>
    </row>
    <row r="12" spans="1:12" ht="17.2" customHeight="1" x14ac:dyDescent="0.3">
      <c r="A12" s="5"/>
      <c r="B12" s="60" t="s">
        <v>25</v>
      </c>
      <c r="C12" s="60"/>
      <c r="D12" s="60"/>
      <c r="E12" s="46"/>
      <c r="F12" s="4">
        <v>1</v>
      </c>
      <c r="G12" s="23" t="s">
        <v>43</v>
      </c>
      <c r="H12" s="26" t="str">
        <f>HYPERLINK("#G12",CHAR(128))</f>
        <v>€</v>
      </c>
    </row>
    <row r="13" spans="1:12" ht="17.2" customHeight="1" x14ac:dyDescent="0.3">
      <c r="A13" s="2"/>
      <c r="B13" s="61" t="s">
        <v>26</v>
      </c>
      <c r="C13" s="61"/>
      <c r="D13" s="61"/>
      <c r="E13" s="47"/>
      <c r="F13" s="14">
        <v>1</v>
      </c>
      <c r="G13" s="23" t="s">
        <v>43</v>
      </c>
      <c r="H13" s="26" t="str">
        <f>HYPERLINK("#G13",CHAR(128))</f>
        <v>€</v>
      </c>
    </row>
    <row r="14" spans="1:12" ht="17.2" customHeight="1" x14ac:dyDescent="0.3">
      <c r="A14" s="5"/>
      <c r="B14" s="60" t="s">
        <v>27</v>
      </c>
      <c r="C14" s="60"/>
      <c r="D14" s="60"/>
      <c r="E14" s="46"/>
      <c r="F14" s="4">
        <v>1</v>
      </c>
      <c r="G14" s="23" t="s">
        <v>43</v>
      </c>
      <c r="H14" s="26" t="str">
        <f>HYPERLINK("#G14",CHAR(128))</f>
        <v>€</v>
      </c>
    </row>
    <row r="15" spans="1:12" ht="17.2" customHeight="1" x14ac:dyDescent="0.3">
      <c r="A15" s="2"/>
      <c r="B15" s="62"/>
      <c r="C15" s="62"/>
      <c r="D15" s="62"/>
      <c r="E15" s="47"/>
      <c r="F15" s="14"/>
      <c r="G15" s="14"/>
      <c r="H15" s="12"/>
    </row>
    <row r="16" spans="1:12" ht="17.2" customHeight="1" x14ac:dyDescent="0.3">
      <c r="A16" s="5"/>
      <c r="B16" s="60" t="s">
        <v>28</v>
      </c>
      <c r="C16" s="60"/>
      <c r="D16" s="60"/>
      <c r="E16" s="46"/>
      <c r="F16" s="4">
        <v>1</v>
      </c>
      <c r="G16" s="23" t="s">
        <v>43</v>
      </c>
      <c r="H16" s="21" t="str">
        <f>HYPERLINK("#G16",CHAR(128))</f>
        <v>€</v>
      </c>
    </row>
    <row r="17" spans="1:14" ht="17.2" customHeight="1" x14ac:dyDescent="0.3">
      <c r="A17" s="2"/>
      <c r="B17" s="61" t="s">
        <v>22</v>
      </c>
      <c r="C17" s="61"/>
      <c r="D17" s="61"/>
      <c r="E17" s="47"/>
      <c r="F17" s="14">
        <v>1</v>
      </c>
      <c r="G17" s="23" t="s">
        <v>43</v>
      </c>
      <c r="H17" s="21" t="str">
        <f>HYPERLINK("#G17",CHAR(128))</f>
        <v>€</v>
      </c>
    </row>
    <row r="18" spans="1:14" ht="17.2" customHeight="1" x14ac:dyDescent="0.3">
      <c r="A18" s="5"/>
      <c r="B18" s="60" t="s">
        <v>29</v>
      </c>
      <c r="C18" s="60"/>
      <c r="D18" s="60"/>
      <c r="E18" s="46"/>
      <c r="F18" s="4">
        <v>1</v>
      </c>
      <c r="G18" s="23" t="s">
        <v>43</v>
      </c>
      <c r="H18" s="21" t="str">
        <f>HYPERLINK("#G18",CHAR(128))</f>
        <v>€</v>
      </c>
    </row>
    <row r="19" spans="1:14" ht="17.2" customHeight="1" x14ac:dyDescent="0.3">
      <c r="A19" s="2"/>
      <c r="B19" s="61" t="s">
        <v>30</v>
      </c>
      <c r="C19" s="61"/>
      <c r="D19" s="61"/>
      <c r="E19" s="47"/>
      <c r="F19" s="14">
        <v>1</v>
      </c>
      <c r="G19" s="23" t="s">
        <v>43</v>
      </c>
      <c r="H19" s="21" t="str">
        <f>HYPERLINK("#G19",CHAR(128))</f>
        <v>€</v>
      </c>
    </row>
    <row r="20" spans="1:14" ht="17.2" customHeight="1" x14ac:dyDescent="0.3">
      <c r="A20" s="5"/>
      <c r="B20" s="63"/>
      <c r="C20" s="64"/>
      <c r="D20" s="65"/>
      <c r="E20" s="46"/>
      <c r="F20" s="4"/>
      <c r="G20" s="4"/>
      <c r="H20" s="12"/>
    </row>
    <row r="21" spans="1:14" ht="14.4" x14ac:dyDescent="0.3">
      <c r="A21" s="2"/>
      <c r="B21" s="61" t="s">
        <v>33</v>
      </c>
      <c r="C21" s="61"/>
      <c r="D21" s="61"/>
      <c r="E21" s="47"/>
      <c r="F21" s="14">
        <v>1</v>
      </c>
      <c r="G21" s="23" t="s">
        <v>43</v>
      </c>
      <c r="H21" s="21" t="str">
        <f>HYPERLINK("#G21",CHAR(128))</f>
        <v>€</v>
      </c>
    </row>
    <row r="22" spans="1:14" ht="14.4" x14ac:dyDescent="0.3">
      <c r="A22" s="5"/>
      <c r="B22" s="60" t="s">
        <v>31</v>
      </c>
      <c r="C22" s="60"/>
      <c r="D22" s="60"/>
      <c r="E22" s="46"/>
      <c r="F22" s="4">
        <v>1</v>
      </c>
      <c r="G22" s="23" t="s">
        <v>43</v>
      </c>
      <c r="H22" s="21" t="str">
        <f>HYPERLINK("#G22",CHAR(128))</f>
        <v>€</v>
      </c>
      <c r="N22" s="2"/>
    </row>
    <row r="23" spans="1:14" ht="14.4" x14ac:dyDescent="0.3">
      <c r="A23" s="2"/>
      <c r="B23" s="61" t="s">
        <v>45</v>
      </c>
      <c r="C23" s="61"/>
      <c r="D23" s="61"/>
      <c r="E23" s="47"/>
      <c r="F23" s="14">
        <v>1</v>
      </c>
      <c r="G23" s="23" t="s">
        <v>43</v>
      </c>
      <c r="H23" s="20" t="str">
        <f>HYPERLINK("#G23",CHAR(128))</f>
        <v>€</v>
      </c>
    </row>
    <row r="24" spans="1:14" ht="14.4" x14ac:dyDescent="0.3">
      <c r="A24" s="5"/>
      <c r="B24" s="60" t="s">
        <v>32</v>
      </c>
      <c r="C24" s="60"/>
      <c r="D24" s="60"/>
      <c r="E24" s="46"/>
      <c r="F24" s="4">
        <v>1</v>
      </c>
      <c r="G24" s="23" t="s">
        <v>43</v>
      </c>
      <c r="H24" s="20" t="str">
        <f>HYPERLINK("#G24",CHAR(128))</f>
        <v>€</v>
      </c>
    </row>
    <row r="25" spans="1:14" ht="14.4" x14ac:dyDescent="0.3">
      <c r="A25" s="2"/>
      <c r="B25" s="61"/>
      <c r="C25" s="61"/>
      <c r="D25" s="61"/>
      <c r="E25" s="1"/>
      <c r="F25" s="14"/>
      <c r="G25" s="14"/>
      <c r="H25" s="12"/>
      <c r="I25" s="10"/>
    </row>
    <row r="26" spans="1:14" ht="14.4" x14ac:dyDescent="0.3">
      <c r="A26" s="5"/>
      <c r="B26" s="60" t="s">
        <v>37</v>
      </c>
      <c r="C26" s="60"/>
      <c r="D26" s="60"/>
      <c r="E26" s="4">
        <f>C2</f>
        <v>0</v>
      </c>
      <c r="F26" s="4">
        <v>1</v>
      </c>
      <c r="G26" s="23" t="s">
        <v>43</v>
      </c>
      <c r="H26" s="22" t="str">
        <f>HYPERLINK("#G26",CHAR(128))</f>
        <v>€</v>
      </c>
    </row>
    <row r="28" spans="1:14" ht="14.4" x14ac:dyDescent="0.3">
      <c r="J28" s="16"/>
    </row>
    <row r="29" spans="1:14" ht="14.4" x14ac:dyDescent="0.3">
      <c r="A29" s="18"/>
      <c r="B29" s="59" t="s">
        <v>47</v>
      </c>
      <c r="C29" s="59"/>
      <c r="D29" s="59"/>
      <c r="E29" s="18" t="s">
        <v>8</v>
      </c>
      <c r="F29" s="18" t="s">
        <v>35</v>
      </c>
      <c r="G29" s="19" t="s">
        <v>36</v>
      </c>
    </row>
    <row r="30" spans="1:14" ht="14.4" x14ac:dyDescent="0.3">
      <c r="A30" s="3"/>
      <c r="B30" s="60"/>
      <c r="C30" s="60"/>
      <c r="D30" s="60"/>
      <c r="E30" s="4"/>
      <c r="F30" s="8">
        <v>1</v>
      </c>
      <c r="G30" s="15"/>
      <c r="H30" s="17" t="str">
        <f>HYPERLINK("#G30",CHAR(128))</f>
        <v>€</v>
      </c>
    </row>
    <row r="31" spans="1:14" ht="14.4" x14ac:dyDescent="0.3">
      <c r="A31" s="2"/>
      <c r="B31" s="61"/>
      <c r="C31" s="61"/>
      <c r="D31" s="61"/>
      <c r="E31" s="1"/>
      <c r="F31" s="14">
        <v>1</v>
      </c>
      <c r="G31" s="24"/>
      <c r="H31" s="17" t="str">
        <f>HYPERLINK("#G31",CHAR(128))</f>
        <v>€</v>
      </c>
    </row>
    <row r="32" spans="1:14" ht="14.4" x14ac:dyDescent="0.3">
      <c r="A32" s="3"/>
      <c r="B32" s="60"/>
      <c r="C32" s="60"/>
      <c r="D32" s="60"/>
      <c r="E32" s="4"/>
      <c r="F32" s="4">
        <v>1</v>
      </c>
      <c r="G32" s="25"/>
      <c r="H32" s="17" t="str">
        <f>HYPERLINK("#G32",CHAR(128))</f>
        <v>€</v>
      </c>
    </row>
    <row r="33" spans="1:8" ht="14.4" x14ac:dyDescent="0.3">
      <c r="A33" s="2"/>
      <c r="B33" s="61"/>
      <c r="C33" s="61"/>
      <c r="D33" s="61"/>
      <c r="E33" s="1"/>
      <c r="F33" s="14">
        <v>1</v>
      </c>
      <c r="G33" s="24"/>
      <c r="H33" s="17" t="str">
        <f>HYPERLINK("#G33",CHAR(128))</f>
        <v>€</v>
      </c>
    </row>
    <row r="34" spans="1:8" ht="14.4" x14ac:dyDescent="0.3">
      <c r="A34" s="3"/>
      <c r="B34" s="60"/>
      <c r="C34" s="60"/>
      <c r="D34" s="60"/>
      <c r="E34" s="4"/>
      <c r="F34" s="4">
        <v>1</v>
      </c>
      <c r="G34" s="25"/>
      <c r="H34" s="17" t="str">
        <f>HYPERLINK("#G34",CHAR(128))</f>
        <v>€</v>
      </c>
    </row>
    <row r="37" spans="1:8" ht="14.4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ht="14.4" x14ac:dyDescent="0.3">
      <c r="A38" s="36"/>
      <c r="B38" s="36"/>
      <c r="C38" s="36"/>
      <c r="D38" s="36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25" priority="3" operator="equal">
      <formula>"Returned"</formula>
    </cfRule>
    <cfRule type="cellIs" dxfId="24" priority="13" operator="equal">
      <formula>"Ready To Order"</formula>
    </cfRule>
    <cfRule type="cellIs" dxfId="23" priority="14" operator="equal">
      <formula>"UNP"</formula>
    </cfRule>
    <cfRule type="containsText" dxfId="22" priority="15" operator="containsText" text="Ordered">
      <formula>NOT(ISERROR(SEARCH("Ordered",G6)))</formula>
    </cfRule>
    <cfRule type="containsText" dxfId="21" priority="16" operator="containsText" text="Pick Up">
      <formula>NOT(ISERROR(SEARCH("Pick Up",G6)))</formula>
    </cfRule>
    <cfRule type="containsText" dxfId="20" priority="17" operator="containsText" text="Complete">
      <formula>NOT(ISERROR(SEARCH("Complete",G6)))</formula>
    </cfRule>
  </conditionalFormatting>
  <conditionalFormatting sqref="G30:G33">
    <cfRule type="containsText" dxfId="19" priority="5" operator="containsText" text="Given">
      <formula>NOT(ISERROR(SEARCH("Given",G30)))</formula>
    </cfRule>
  </conditionalFormatting>
  <conditionalFormatting sqref="G30:G34">
    <cfRule type="containsText" dxfId="18" priority="4" operator="containsText" text="Returned">
      <formula>NOT(ISERROR(SEARCH("Returned",G30)))</formula>
    </cfRule>
  </conditionalFormatting>
  <conditionalFormatting sqref="G6:G14 G21:G26 G16:G19">
    <cfRule type="cellIs" dxfId="17" priority="2" operator="equal">
      <formula>"In Stock"</formula>
    </cfRule>
  </conditionalFormatting>
  <conditionalFormatting sqref="G6:G14 G16:G19 G21:G24 G26">
    <cfRule type="cellIs" dxfId="16" priority="1" operator="equal">
      <formula>"Unknown"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30:G34" xr:uid="{01B9C70D-5AF7-4248-9017-6FBE7D1B9D7E}">
      <formula1>"--,Returned, Given"</formula1>
    </dataValidation>
    <dataValidation type="list" allowBlank="1" showInputMessage="1" showErrorMessage="1" sqref="G6:G14 G16:G19 G21:G24 G26" xr:uid="{DF08AA6E-938C-43EE-8BFC-DC45081C2C3E}">
      <formula1>"UNP, Ready To Order, Ordered, In Stock, Pick Up, Complete, Returned, Unknown"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Menu</vt:lpstr>
      <vt:lpstr>Pickup</vt:lpstr>
      <vt:lpstr>Master</vt:lpstr>
      <vt:lpstr>Import Sheets</vt:lpstr>
      <vt:lpstr>Bob_Lewis_943310B7</vt:lpstr>
      <vt:lpstr>ere_sds_25085691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2024-01-13T21:39:03Z</cp:lastPrinted>
  <dcterms:created xsi:type="dcterms:W3CDTF">2023-08-20T19:28:09Z</dcterms:created>
  <dcterms:modified xsi:type="dcterms:W3CDTF">2024-05-21T05:02:39Z</dcterms:modified>
</cp:coreProperties>
</file>