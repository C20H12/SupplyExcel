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3D6F4E6B-DECC-4A8F-8C35-A4EBCF852503}" xr6:coauthVersionLast="47" xr6:coauthVersionMax="47" xr10:uidLastSave="{00000000-0000-0000-0000-000000000000}"/>
  <bookViews>
    <workbookView xWindow="-118" yWindow="-118" windowWidth="33749" windowHeight="18471" tabRatio="856" activeTab="4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Isabella_Taylor_9380A782" sheetId="280" r:id="rId5"/>
    <sheet name="Grace_Williams_C724A790" sheetId="281" r:id="rId6"/>
    <sheet name="Peter sss_Wilson eee_C215BA97" sheetId="282" r:id="rId7"/>
    <sheet name="Wendy_Lee_5804A09C" sheetId="283" r:id="rId8"/>
    <sheet name="Henry_Lewis_31476B99" sheetId="284" r:id="rId9"/>
    <sheet name="Wendy_Garcia_50637996" sheetId="285" r:id="rId10"/>
    <sheet name="Xavier_Thompson_954159A5" sheetId="286" r:id="rId11"/>
    <sheet name="Henry_Martin_B648A7A7" sheetId="287" r:id="rId12"/>
    <sheet name="Wendy_Thompson_6011A6AA" sheetId="288" r:id="rId13"/>
    <sheet name="Template" sheetId="1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88" l="1"/>
  <c r="H33" i="288"/>
  <c r="H32" i="288"/>
  <c r="H31" i="288"/>
  <c r="H30" i="288"/>
  <c r="H26" i="288"/>
  <c r="E26" i="288"/>
  <c r="H24" i="288"/>
  <c r="H23" i="288"/>
  <c r="H22" i="288"/>
  <c r="H21" i="288"/>
  <c r="H19" i="288"/>
  <c r="H18" i="288"/>
  <c r="H17" i="288"/>
  <c r="H16" i="288"/>
  <c r="H14" i="288"/>
  <c r="H13" i="288"/>
  <c r="H12" i="288"/>
  <c r="H11" i="288"/>
  <c r="H10" i="288"/>
  <c r="H9" i="288"/>
  <c r="H8" i="288"/>
  <c r="H7" i="288"/>
  <c r="H6" i="288"/>
  <c r="H34" i="287"/>
  <c r="H33" i="287"/>
  <c r="H32" i="287"/>
  <c r="H31" i="287"/>
  <c r="H30" i="287"/>
  <c r="H26" i="287"/>
  <c r="E26" i="287"/>
  <c r="H24" i="287"/>
  <c r="H23" i="287"/>
  <c r="H22" i="287"/>
  <c r="H21" i="287"/>
  <c r="H19" i="287"/>
  <c r="H18" i="287"/>
  <c r="H17" i="287"/>
  <c r="H16" i="287"/>
  <c r="H14" i="287"/>
  <c r="H13" i="287"/>
  <c r="H12" i="287"/>
  <c r="H11" i="287"/>
  <c r="H10" i="287"/>
  <c r="H9" i="287"/>
  <c r="H8" i="287"/>
  <c r="H7" i="287"/>
  <c r="H6" i="287"/>
  <c r="H34" i="286"/>
  <c r="H33" i="286"/>
  <c r="H32" i="286"/>
  <c r="H31" i="286"/>
  <c r="H30" i="286"/>
  <c r="H26" i="286"/>
  <c r="E26" i="286"/>
  <c r="H24" i="286"/>
  <c r="H23" i="286"/>
  <c r="H22" i="286"/>
  <c r="H21" i="286"/>
  <c r="H19" i="286"/>
  <c r="H18" i="286"/>
  <c r="H17" i="286"/>
  <c r="H16" i="286"/>
  <c r="H14" i="286"/>
  <c r="H13" i="286"/>
  <c r="H12" i="286"/>
  <c r="H11" i="286"/>
  <c r="H10" i="286"/>
  <c r="H9" i="286"/>
  <c r="H8" i="286"/>
  <c r="H7" i="286"/>
  <c r="H6" i="286"/>
  <c r="H34" i="285"/>
  <c r="H33" i="285"/>
  <c r="H32" i="285"/>
  <c r="H31" i="285"/>
  <c r="H30" i="285"/>
  <c r="H26" i="285"/>
  <c r="E26" i="285"/>
  <c r="H24" i="285"/>
  <c r="H23" i="285"/>
  <c r="H22" i="285"/>
  <c r="H21" i="285"/>
  <c r="H19" i="285"/>
  <c r="H18" i="285"/>
  <c r="H17" i="285"/>
  <c r="H16" i="285"/>
  <c r="H14" i="285"/>
  <c r="H13" i="285"/>
  <c r="H12" i="285"/>
  <c r="H11" i="285"/>
  <c r="H10" i="285"/>
  <c r="H9" i="285"/>
  <c r="H8" i="285"/>
  <c r="H7" i="285"/>
  <c r="H6" i="285"/>
  <c r="H34" i="284"/>
  <c r="H33" i="284"/>
  <c r="H32" i="284"/>
  <c r="H31" i="284"/>
  <c r="H30" i="284"/>
  <c r="H26" i="284"/>
  <c r="E26" i="284"/>
  <c r="H24" i="284"/>
  <c r="H23" i="284"/>
  <c r="H22" i="284"/>
  <c r="H21" i="284"/>
  <c r="H19" i="284"/>
  <c r="H18" i="284"/>
  <c r="H17" i="284"/>
  <c r="H16" i="284"/>
  <c r="H14" i="284"/>
  <c r="H13" i="284"/>
  <c r="H12" i="284"/>
  <c r="H11" i="284"/>
  <c r="H10" i="284"/>
  <c r="H9" i="284"/>
  <c r="H8" i="284"/>
  <c r="H7" i="284"/>
  <c r="H6" i="284"/>
  <c r="H34" i="283"/>
  <c r="H33" i="283"/>
  <c r="H32" i="283"/>
  <c r="H31" i="283"/>
  <c r="H30" i="283"/>
  <c r="H26" i="283"/>
  <c r="E26" i="283"/>
  <c r="H24" i="283"/>
  <c r="H23" i="283"/>
  <c r="H22" i="283"/>
  <c r="H21" i="283"/>
  <c r="H19" i="283"/>
  <c r="H18" i="283"/>
  <c r="H17" i="283"/>
  <c r="H16" i="283"/>
  <c r="H14" i="283"/>
  <c r="H13" i="283"/>
  <c r="H12" i="283"/>
  <c r="H11" i="283"/>
  <c r="H10" i="283"/>
  <c r="H9" i="283"/>
  <c r="H8" i="283"/>
  <c r="H7" i="283"/>
  <c r="H6" i="283"/>
  <c r="H34" i="282"/>
  <c r="H33" i="282"/>
  <c r="H32" i="282"/>
  <c r="H31" i="282"/>
  <c r="H30" i="282"/>
  <c r="H26" i="282"/>
  <c r="E26" i="282"/>
  <c r="H24" i="282"/>
  <c r="H23" i="282"/>
  <c r="H22" i="282"/>
  <c r="H21" i="282"/>
  <c r="H19" i="282"/>
  <c r="H18" i="282"/>
  <c r="H17" i="282"/>
  <c r="H16" i="282"/>
  <c r="H14" i="282"/>
  <c r="H13" i="282"/>
  <c r="H12" i="282"/>
  <c r="H11" i="282"/>
  <c r="H10" i="282"/>
  <c r="H9" i="282"/>
  <c r="H8" i="282"/>
  <c r="H7" i="282"/>
  <c r="H6" i="282"/>
  <c r="H34" i="281"/>
  <c r="H33" i="281"/>
  <c r="H32" i="281"/>
  <c r="H31" i="281"/>
  <c r="H30" i="281"/>
  <c r="H26" i="281"/>
  <c r="E26" i="281"/>
  <c r="H24" i="281"/>
  <c r="H23" i="281"/>
  <c r="H22" i="281"/>
  <c r="H21" i="281"/>
  <c r="H19" i="281"/>
  <c r="H18" i="281"/>
  <c r="H17" i="281"/>
  <c r="H16" i="281"/>
  <c r="H14" i="281"/>
  <c r="H13" i="281"/>
  <c r="H12" i="281"/>
  <c r="H11" i="281"/>
  <c r="H10" i="281"/>
  <c r="H9" i="281"/>
  <c r="H8" i="281"/>
  <c r="H7" i="281"/>
  <c r="H6" i="281"/>
  <c r="H34" i="280"/>
  <c r="H33" i="280"/>
  <c r="H32" i="280"/>
  <c r="H31" i="280"/>
  <c r="H30" i="280"/>
  <c r="H26" i="280"/>
  <c r="E26" i="280"/>
  <c r="H24" i="280"/>
  <c r="H23" i="280"/>
  <c r="H22" i="280"/>
  <c r="H21" i="280"/>
  <c r="H19" i="280"/>
  <c r="H18" i="280"/>
  <c r="H17" i="280"/>
  <c r="H16" i="280"/>
  <c r="H14" i="280"/>
  <c r="H13" i="280"/>
  <c r="H12" i="280"/>
  <c r="H11" i="280"/>
  <c r="H10" i="280"/>
  <c r="H9" i="280"/>
  <c r="H8" i="280"/>
  <c r="H7" i="280"/>
  <c r="H6" i="280"/>
  <c r="E26" i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<sst xmlns="http://schemas.openxmlformats.org/spreadsheetml/2006/main" count="1288" uniqueCount="272">
  <si>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</si>
  <si>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</si>
  <si>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</si>
  <si>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</si>
  <si>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</si>
  <si>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</si>
  <si>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</si>
  <si>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</si>
  <si>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</si>
  <si>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</si>
  <si>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</si>
  <si>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</si>
  <si>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</si>
  <si>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</si>
  <si>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</si>
  <si>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</si>
  <si>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</si>
  <si>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</si>
  <si>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</si>
  <si>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</si>
  <si>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</si>
  <si>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</si>
  <si>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</si>
  <si>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</si>
  <si>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</si>
  <si>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</si>
  <si>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</si>
  <si>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</si>
  <si>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</si>
  <si>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</si>
  <si>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</si>
  <si>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</si>
  <si>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</si>
  <si>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</si>
  <si>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</si>
  <si>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</si>
  <si>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</si>
  <si>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</si>
  <si>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</si>
  <si>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</si>
  <si>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</si>
  <si>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</si>
  <si>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</si>
  <si>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UNP</t>
  </si>
  <si>
    <t>Hand Length</t>
  </si>
  <si>
    <t>FTU Pants</t>
  </si>
  <si>
    <t>Email</t>
  </si>
  <si>
    <t>Extra Items</t>
  </si>
  <si>
    <t>Hip</t>
  </si>
  <si>
    <t>Hand</t>
  </si>
  <si>
    <t>Name</t>
  </si>
  <si>
    <t xml:space="preserve"> </t>
  </si>
  <si>
    <t>Old Size</t>
  </si>
  <si>
    <t>New Size</t>
  </si>
  <si>
    <t>Pick Up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</si>
  <si>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</si>
  <si>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</si>
  <si>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</si>
  <si>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</si>
  <si>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</si>
  <si>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</si>
  <si>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</si>
  <si>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</si>
  <si>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Column3</t>
  </si>
  <si>
    <t>NameTag</t>
  </si>
  <si>
    <t>Not Done</t>
  </si>
  <si>
    <t>In Progress</t>
  </si>
  <si>
    <t>Done</t>
  </si>
  <si>
    <t>Name Colors:</t>
  </si>
  <si>
    <t>Cadet Last Name</t>
  </si>
  <si>
    <t>Cadet First Name</t>
  </si>
  <si>
    <t>TShirt</t>
  </si>
  <si>
    <t>Pant Belt</t>
  </si>
  <si>
    <t>Boots</t>
  </si>
  <si>
    <t>FTU Shirt</t>
  </si>
  <si>
    <t>All Status</t>
  </si>
  <si>
    <t>Shirt</t>
  </si>
  <si>
    <t>Pants</t>
  </si>
  <si>
    <t>Generate?</t>
  </si>
  <si>
    <t>FSgt</t>
  </si>
  <si>
    <t>Jesus@hotmail.com</t>
  </si>
  <si>
    <t>Female</t>
  </si>
  <si>
    <t>In Stock</t>
  </si>
  <si>
    <t>XL</t>
  </si>
  <si>
    <t>1000-21-215-7652</t>
  </si>
  <si>
    <t>XL/TG</t>
  </si>
  <si>
    <t>8440-20-006-6068</t>
  </si>
  <si>
    <t>UNI</t>
  </si>
  <si>
    <t>8405-21-907-9466</t>
  </si>
  <si>
    <t>7648</t>
  </si>
  <si>
    <t>8405-21-920-7100</t>
  </si>
  <si>
    <t>XS</t>
  </si>
  <si>
    <t>8420-20-001-0711</t>
  </si>
  <si>
    <t>Taylor</t>
  </si>
  <si>
    <t>Male</t>
  </si>
  <si>
    <t>REG</t>
  </si>
  <si>
    <t>8440-20-008-7936</t>
  </si>
  <si>
    <t>(L/XL - G/TG)</t>
  </si>
  <si>
    <t>8415-20-006-8917</t>
  </si>
  <si>
    <t>330/130</t>
  </si>
  <si>
    <t>8430-20-006-2570</t>
  </si>
  <si>
    <t>R (50 inch)</t>
  </si>
  <si>
    <t>8440-21-905-7384</t>
  </si>
  <si>
    <t>18</t>
  </si>
  <si>
    <t>8405-20-001-4516</t>
  </si>
  <si>
    <t>XXL</t>
  </si>
  <si>
    <t>8405-21-920-7281</t>
  </si>
  <si>
    <t>6432</t>
  </si>
  <si>
    <t>8405-20-004-7483</t>
  </si>
  <si>
    <t>UNP,In Stock,</t>
  </si>
  <si>
    <t>Isabella</t>
  </si>
  <si>
    <t>9380A782</t>
  </si>
  <si>
    <t>5828</t>
  </si>
  <si>
    <t>8405-21-905-7810</t>
  </si>
  <si>
    <t>6146</t>
  </si>
  <si>
    <t>1000-21-070-6146</t>
  </si>
  <si>
    <t>6 3/8</t>
  </si>
  <si>
    <t>8405-20-003-5837</t>
  </si>
  <si>
    <t>8405-21-920-7275</t>
  </si>
  <si>
    <t>6440</t>
  </si>
  <si>
    <t>8405-21-920-7091</t>
  </si>
  <si>
    <t>(JR / JR)</t>
  </si>
  <si>
    <t>8415-20-006-8915</t>
  </si>
  <si>
    <t>8405-20-013-1467</t>
  </si>
  <si>
    <t>7046</t>
  </si>
  <si>
    <t>8405-20-004-7517</t>
  </si>
  <si>
    <t>Taylor, Isabella</t>
  </si>
  <si>
    <t>8420-20-001-0732</t>
  </si>
  <si>
    <t>7</t>
  </si>
  <si>
    <t>6434</t>
  </si>
  <si>
    <t>8405-20-004-7508</t>
  </si>
  <si>
    <t>6444</t>
  </si>
  <si>
    <t>8405-21-920-7092</t>
  </si>
  <si>
    <t>(XS / TP)</t>
  </si>
  <si>
    <t>1001-21-154-2000</t>
  </si>
  <si>
    <t>6742</t>
  </si>
  <si>
    <t>8405-20-004-7512</t>
  </si>
  <si>
    <t>16</t>
  </si>
  <si>
    <t>8405-20-001-4510</t>
  </si>
  <si>
    <t>S</t>
  </si>
  <si>
    <t>7036</t>
  </si>
  <si>
    <t>L (56 inch)</t>
  </si>
  <si>
    <t>8440-21-899-1182</t>
  </si>
  <si>
    <t>S/P</t>
  </si>
  <si>
    <t>8440-20-006-6071</t>
  </si>
  <si>
    <t>7040</t>
  </si>
  <si>
    <t>8405-21-920-7094</t>
  </si>
  <si>
    <t>8405-20-004-7490</t>
  </si>
  <si>
    <t>7D</t>
  </si>
  <si>
    <t>8430-20-A0X-9048</t>
  </si>
  <si>
    <t>Grace</t>
  </si>
  <si>
    <t>M</t>
  </si>
  <si>
    <t>8440-20-006-6070</t>
  </si>
  <si>
    <t>Williams</t>
  </si>
  <si>
    <t>C724A790</t>
  </si>
  <si>
    <t>7030</t>
  </si>
  <si>
    <t>1000-21-059-7030</t>
  </si>
  <si>
    <t>15-1/2</t>
  </si>
  <si>
    <t>8405-20-001-4509</t>
  </si>
  <si>
    <t>7042</t>
  </si>
  <si>
    <t>8405-21-909-2408</t>
  </si>
  <si>
    <t>250/90</t>
  </si>
  <si>
    <t>8430-20-006-2519</t>
  </si>
  <si>
    <t>8405-21-920-7093</t>
  </si>
  <si>
    <t>6 1/8</t>
  </si>
  <si>
    <t>8405-20-013-1465</t>
  </si>
  <si>
    <t>8405-20-004-7516</t>
  </si>
  <si>
    <t>Williams, Grace</t>
  </si>
  <si>
    <t>17</t>
  </si>
  <si>
    <t>8405-20-001-4513</t>
  </si>
  <si>
    <t>8420-20-001-0730</t>
  </si>
  <si>
    <t>L/G</t>
  </si>
  <si>
    <t>8440-20-006-6069</t>
  </si>
  <si>
    <t>(S/M - P/M)</t>
  </si>
  <si>
    <t>8415-20-006-8916</t>
  </si>
  <si>
    <t>10.5EEE</t>
  </si>
  <si>
    <t>8430-20-A0X-9207</t>
  </si>
  <si>
    <t>Wilson eee</t>
  </si>
  <si>
    <t>Peter sss</t>
  </si>
  <si>
    <t>C215BA97</t>
  </si>
  <si>
    <t>6144</t>
  </si>
  <si>
    <t>1000-21-059-6144</t>
  </si>
  <si>
    <t>22S</t>
  </si>
  <si>
    <t>8410-21-912-7792</t>
  </si>
  <si>
    <t>6342 (H52-1/2)</t>
  </si>
  <si>
    <t>1000-21-198-6342</t>
  </si>
  <si>
    <t>6744</t>
  </si>
  <si>
    <t>8405-20-004-7488</t>
  </si>
  <si>
    <t>Wilson eee, Peter sss</t>
  </si>
  <si>
    <t>Lee</t>
  </si>
  <si>
    <t>Wendy</t>
  </si>
  <si>
    <t>5804A09C</t>
  </si>
  <si>
    <t>6138</t>
  </si>
  <si>
    <t>1000-21-059-6138</t>
  </si>
  <si>
    <t>14-1/2</t>
  </si>
  <si>
    <t>8405-20-001-4504</t>
  </si>
  <si>
    <t>1000-21-070-6138</t>
  </si>
  <si>
    <t>245/104</t>
  </si>
  <si>
    <t>8430-20-006-2518</t>
  </si>
  <si>
    <t>6436</t>
  </si>
  <si>
    <t>8405-20-004-7484</t>
  </si>
  <si>
    <t>Lewis</t>
  </si>
  <si>
    <t>Henry</t>
  </si>
  <si>
    <t>31476B99</t>
  </si>
  <si>
    <t>7332</t>
  </si>
  <si>
    <t>1000-21-059-7332</t>
  </si>
  <si>
    <t>19-1/2</t>
  </si>
  <si>
    <t>1000-21-316-1950</t>
  </si>
  <si>
    <t>8405-21-909-2393</t>
  </si>
  <si>
    <t>7 7/8</t>
  </si>
  <si>
    <t>8405-20-003-5849</t>
  </si>
  <si>
    <t>250/98</t>
  </si>
  <si>
    <t>8430-20-006-2521</t>
  </si>
  <si>
    <t>8405-20-013-1479</t>
  </si>
  <si>
    <t>6738</t>
  </si>
  <si>
    <t>8405-20-004-7511</t>
  </si>
  <si>
    <t>7.5EEE</t>
  </si>
  <si>
    <t>8430-20-A0X-9042</t>
  </si>
  <si>
    <t>Garcia</t>
  </si>
  <si>
    <t>7344</t>
  </si>
  <si>
    <t>1000-21-070-7344</t>
  </si>
  <si>
    <t>255/96</t>
  </si>
  <si>
    <t>8430-20-006-2525</t>
  </si>
  <si>
    <t>4XL</t>
  </si>
  <si>
    <t>1000-21-264-2550</t>
  </si>
  <si>
    <t>7640</t>
  </si>
  <si>
    <t>8405-21-920-7098</t>
  </si>
  <si>
    <t>7336</t>
  </si>
  <si>
    <t>8405-20-004-7495</t>
  </si>
  <si>
    <t>7346</t>
  </si>
  <si>
    <t>8405-20-004-7522</t>
  </si>
  <si>
    <t>7.5</t>
  </si>
  <si>
    <t>8430-20-A0X-9041</t>
  </si>
  <si>
    <t>Unknown</t>
  </si>
  <si>
    <t>Thompson</t>
  </si>
  <si>
    <t>Xavier</t>
  </si>
  <si>
    <t>954159A5</t>
  </si>
  <si>
    <t>8405-21-905-7826</t>
  </si>
  <si>
    <t>6 3/4</t>
  </si>
  <si>
    <t>8405-20-003-5840</t>
  </si>
  <si>
    <t>275/104</t>
  </si>
  <si>
    <t>8430-20-006-2545</t>
  </si>
  <si>
    <t>8405-20-013-1470</t>
  </si>
  <si>
    <t>10EEE</t>
  </si>
  <si>
    <t>8430-20-A0X-9202</t>
  </si>
  <si>
    <t>Martin</t>
  </si>
  <si>
    <t>B648A7A7</t>
  </si>
  <si>
    <t>6130</t>
  </si>
  <si>
    <t>8405-21-905-7813</t>
  </si>
  <si>
    <t>34 M</t>
  </si>
  <si>
    <t>1000-21-165-3400</t>
  </si>
  <si>
    <t>6334 (H44-1/2)</t>
  </si>
  <si>
    <t>8410-21-912-3638</t>
  </si>
  <si>
    <t>Telephone</t>
  </si>
  <si>
    <t>6011A6AA</t>
  </si>
  <si>
    <t>310/122</t>
  </si>
  <si>
    <t>8430-20-006-2568</t>
  </si>
  <si>
    <t>14D</t>
  </si>
  <si>
    <t>8430-20-A0X-9352</t>
  </si>
  <si>
    <t>8405-20-013-1471</t>
  </si>
  <si>
    <t>UNP, In Stock</t>
  </si>
  <si>
    <t>UNP, In Stock, Complete</t>
  </si>
  <si>
    <t>UNP, In Stock, Unknown</t>
  </si>
  <si>
    <t>UNP,Complete,In Stock,</t>
  </si>
  <si>
    <t>Lee, Wendy</t>
  </si>
  <si>
    <t>Lewis, Henry</t>
  </si>
  <si>
    <t>Garcia, Wendy</t>
  </si>
  <si>
    <t>Thompson, Xavier</t>
  </si>
  <si>
    <t>UNP,Unknown,In Stock,</t>
  </si>
  <si>
    <t>Martin, Henry</t>
  </si>
  <si>
    <t>UNP,In Stock,Unknown,</t>
  </si>
  <si>
    <t>Thompson, Wendy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</si>
</sst>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0" fontId="12" fillId="8" borderId="0" xfId="0" applyFont="1" applyFill="1" applyAlignment="1">
      <alignment vertical="center" shrinkToFit="1"/>
    </xf>
    <xf numFmtId="0" fontId="0" fillId="10" borderId="0" xfId="0" applyFill="1"/>
    <xf numFmtId="12" fontId="0" fillId="9" borderId="0" xfId="0" applyNumberFormat="1" applyFill="1" applyAlignment="1">
      <alignment horizontal="center" vertical="center"/>
    </xf>
    <xf numFmtId="0" fontId="2" fillId="12" borderId="0" xfId="3" applyFill="1" applyAlignment="1">
      <alignment horizontal="center" vertical="center"/>
    </xf>
    <xf numFmtId="0" fontId="0" fillId="13" borderId="0" xfId="0" applyFill="1"/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" fillId="7" borderId="0" xfId="3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2" fontId="0" fillId="10" borderId="0" xfId="0" applyNumberFormat="1" applyFill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vertical="center" shrinkToFit="1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202"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808080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201"/>
      <tableStyleElement type="headerRow" dxfId="200"/>
      <tableStyleElement type="firstRowStripe" dxfId="199"/>
      <tableStyleElement type="secondRowStripe" dxfId="198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162534</xdr:rowOff>
    </xdr:from>
    <xdr:to>
      <xdr:col>7</xdr:col>
      <xdr:colOff>435462</xdr:colOff>
      <xdr:row>4</xdr:row>
      <xdr:rowOff>149886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265131</xdr:colOff>
      <xdr:row>10</xdr:row>
      <xdr:rowOff>84935</xdr:rowOff>
    </xdr:from>
    <xdr:to>
      <xdr:col>7</xdr:col>
      <xdr:colOff>458544</xdr:colOff>
      <xdr:row>12</xdr:row>
      <xdr:rowOff>129641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76919" y="2273953"/>
          <a:ext cx="1412613" cy="403294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87387</xdr:rowOff>
    </xdr:from>
    <xdr:to>
      <xdr:col>7</xdr:col>
      <xdr:colOff>439831</xdr:colOff>
      <xdr:row>8</xdr:row>
      <xdr:rowOff>193964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58991" y="1559227"/>
          <a:ext cx="1411828" cy="44886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14</xdr:col>
      <xdr:colOff>161365</xdr:colOff>
      <xdr:row>1</xdr:row>
      <xdr:rowOff>107576</xdr:rowOff>
    </xdr:from>
    <xdr:to>
      <xdr:col>16</xdr:col>
      <xdr:colOff>162150</xdr:colOff>
      <xdr:row>3</xdr:row>
      <xdr:rowOff>152115</xdr:rowOff>
    </xdr:to>
    <xdr:sp macro="[0]!Export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559553" y="663388"/>
          <a:ext cx="1219985" cy="42268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Export</a:t>
          </a:r>
          <a:r>
            <a:rPr lang="en-CA" sz="1100" b="1" baseline="0">
              <a:solidFill>
                <a:schemeClr val="tx1"/>
              </a:solidFill>
            </a:rPr>
            <a:t>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141316</xdr:colOff>
          <xdr:row>0</xdr:row>
          <xdr:rowOff>49876</xdr:rowOff>
        </xdr:from>
        <xdr:to>
          <xdr:col>24</xdr:col>
          <xdr:colOff>532015</xdr:colOff>
          <xdr:row>0</xdr:row>
          <xdr:rowOff>440575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23" name="Button 559" hidden="1">
              <a:extLst>
                <a:ext uri="{63B3BB69-23CF-44E3-9099-C40C66FF867C}">
                  <a14:compatExt spid="_x0000_s165423"/>
                </a:ext>
                <a:ext uri="{FF2B5EF4-FFF2-40B4-BE49-F238E27FC236}">
                  <a16:creationId xmlns:a16="http://schemas.microsoft.com/office/drawing/2014/main" id="{00000000-0008-0000-0200-00002F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24" name="Button 560" hidden="1">
              <a:extLst>
                <a:ext uri="{63B3BB69-23CF-44E3-9099-C40C66FF867C}">
                  <a14:compatExt spid="_x0000_s165424"/>
                </a:ext>
                <a:ext uri="{FF2B5EF4-FFF2-40B4-BE49-F238E27FC236}">
                  <a16:creationId xmlns:a16="http://schemas.microsoft.com/office/drawing/2014/main" id="{00000000-0008-0000-0200-000030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27" name="Button 563" hidden="1">
              <a:extLst>
                <a:ext uri="{63B3BB69-23CF-44E3-9099-C40C66FF867C}">
                  <a14:compatExt spid="_x0000_s165427"/>
                </a:ext>
                <a:ext uri="{FF2B5EF4-FFF2-40B4-BE49-F238E27FC236}">
                  <a16:creationId xmlns:a16="http://schemas.microsoft.com/office/drawing/2014/main" id="{00000000-0008-0000-0200-000033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30" name="Button 566" hidden="1">
              <a:extLst>
                <a:ext uri="{63B3BB69-23CF-44E3-9099-C40C66FF867C}">
                  <a14:compatExt spid="_x0000_s165430"/>
                </a:ext>
                <a:ext uri="{FF2B5EF4-FFF2-40B4-BE49-F238E27FC236}">
                  <a16:creationId xmlns:a16="http://schemas.microsoft.com/office/drawing/2014/main" id="{00000000-0008-0000-0200-000036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33" name="Button 569" hidden="1">
              <a:extLst>
                <a:ext uri="{63B3BB69-23CF-44E3-9099-C40C66FF867C}">
                  <a14:compatExt spid="_x0000_s165433"/>
                </a:ext>
                <a:ext uri="{FF2B5EF4-FFF2-40B4-BE49-F238E27FC236}">
                  <a16:creationId xmlns:a16="http://schemas.microsoft.com/office/drawing/2014/main" id="{00000000-0008-0000-0200-000039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36" name="Button 572" hidden="1">
              <a:extLst>
                <a:ext uri="{63B3BB69-23CF-44E3-9099-C40C66FF867C}">
                  <a14:compatExt spid="_x0000_s165436"/>
                </a:ext>
                <a:ext uri="{FF2B5EF4-FFF2-40B4-BE49-F238E27FC236}">
                  <a16:creationId xmlns:a16="http://schemas.microsoft.com/office/drawing/2014/main" id="{00000000-0008-0000-0200-00003C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39" name="Button 575" hidden="1">
              <a:extLst>
                <a:ext uri="{63B3BB69-23CF-44E3-9099-C40C66FF867C}">
                  <a14:compatExt spid="_x0000_s165439"/>
                </a:ext>
                <a:ext uri="{FF2B5EF4-FFF2-40B4-BE49-F238E27FC236}">
                  <a16:creationId xmlns:a16="http://schemas.microsoft.com/office/drawing/2014/main" id="{00000000-0008-0000-0200-00003F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42" name="Button 578" hidden="1">
              <a:extLst>
                <a:ext uri="{63B3BB69-23CF-44E3-9099-C40C66FF867C}">
                  <a14:compatExt spid="_x0000_s165442"/>
                </a:ext>
                <a:ext uri="{FF2B5EF4-FFF2-40B4-BE49-F238E27FC236}">
                  <a16:creationId xmlns:a16="http://schemas.microsoft.com/office/drawing/2014/main" id="{00000000-0008-0000-0200-000042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45" name="Button 581" hidden="1">
              <a:extLst>
                <a:ext uri="{63B3BB69-23CF-44E3-9099-C40C66FF867C}">
                  <a14:compatExt spid="_x0000_s165445"/>
                </a:ext>
                <a:ext uri="{FF2B5EF4-FFF2-40B4-BE49-F238E27FC236}">
                  <a16:creationId xmlns:a16="http://schemas.microsoft.com/office/drawing/2014/main" id="{00000000-0008-0000-0200-000045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47" name="Button 583" hidden="1">
              <a:extLst>
                <a:ext uri="{63B3BB69-23CF-44E3-9099-C40C66FF867C}">
                  <a14:compatExt spid="_x0000_s165447"/>
                </a:ext>
                <a:ext uri="{FF2B5EF4-FFF2-40B4-BE49-F238E27FC236}">
                  <a16:creationId xmlns:a16="http://schemas.microsoft.com/office/drawing/2014/main" id="{00000000-0008-0000-0200-000047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50" name="Button 586" hidden="1">
              <a:extLst>
                <a:ext uri="{63B3BB69-23CF-44E3-9099-C40C66FF867C}">
                  <a14:compatExt spid="_x0000_s165450"/>
                </a:ext>
                <a:ext uri="{FF2B5EF4-FFF2-40B4-BE49-F238E27FC236}">
                  <a16:creationId xmlns:a16="http://schemas.microsoft.com/office/drawing/2014/main" id="{00000000-0008-0000-0200-00004A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53" name="Button 589" hidden="1">
              <a:extLst>
                <a:ext uri="{63B3BB69-23CF-44E3-9099-C40C66FF867C}">
                  <a14:compatExt spid="_x0000_s165453"/>
                </a:ext>
                <a:ext uri="{FF2B5EF4-FFF2-40B4-BE49-F238E27FC236}">
                  <a16:creationId xmlns:a16="http://schemas.microsoft.com/office/drawing/2014/main" id="{E4164459-F35B-1435-1BC7-AC6795794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3</xdr:row>
          <xdr:rowOff>8313</xdr:rowOff>
        </xdr:from>
        <xdr:to>
          <xdr:col>22</xdr:col>
          <xdr:colOff>1005840</xdr:colOff>
          <xdr:row>3</xdr:row>
          <xdr:rowOff>174567</xdr:rowOff>
        </xdr:to>
        <xdr:sp macro="" textlink="">
          <xdr:nvSpPr>
            <xdr:cNvPr id="165454" name="Button 590" hidden="1">
              <a:extLst>
                <a:ext uri="{63B3BB69-23CF-44E3-9099-C40C66FF867C}">
                  <a14:compatExt spid="_x0000_s165454"/>
                </a:ext>
                <a:ext uri="{FF2B5EF4-FFF2-40B4-BE49-F238E27FC236}">
                  <a16:creationId xmlns:a16="http://schemas.microsoft.com/office/drawing/2014/main" id="{165D85D4-DA75-7864-4E03-5B54A2FBC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4</xdr:row>
          <xdr:rowOff>8313</xdr:rowOff>
        </xdr:from>
        <xdr:to>
          <xdr:col>22</xdr:col>
          <xdr:colOff>1005840</xdr:colOff>
          <xdr:row>4</xdr:row>
          <xdr:rowOff>174567</xdr:rowOff>
        </xdr:to>
        <xdr:sp macro="" textlink="">
          <xdr:nvSpPr>
            <xdr:cNvPr id="165455" name="Button 591" hidden="1">
              <a:extLst>
                <a:ext uri="{63B3BB69-23CF-44E3-9099-C40C66FF867C}">
                  <a14:compatExt spid="_x0000_s165455"/>
                </a:ext>
                <a:ext uri="{FF2B5EF4-FFF2-40B4-BE49-F238E27FC236}">
                  <a16:creationId xmlns:a16="http://schemas.microsoft.com/office/drawing/2014/main" id="{6DE2A2E1-7804-52D9-9AD8-E468A7BF9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5</xdr:row>
          <xdr:rowOff>8313</xdr:rowOff>
        </xdr:from>
        <xdr:to>
          <xdr:col>22</xdr:col>
          <xdr:colOff>1005840</xdr:colOff>
          <xdr:row>5</xdr:row>
          <xdr:rowOff>174567</xdr:rowOff>
        </xdr:to>
        <xdr:sp macro="" textlink="">
          <xdr:nvSpPr>
            <xdr:cNvPr id="165456" name="Button 592" hidden="1">
              <a:extLst>
                <a:ext uri="{63B3BB69-23CF-44E3-9099-C40C66FF867C}">
                  <a14:compatExt spid="_x0000_s165456"/>
                </a:ext>
                <a:ext uri="{FF2B5EF4-FFF2-40B4-BE49-F238E27FC236}">
                  <a16:creationId xmlns:a16="http://schemas.microsoft.com/office/drawing/2014/main" id="{73979699-C70F-EB16-B5E2-374A3F939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6</xdr:row>
          <xdr:rowOff>8313</xdr:rowOff>
        </xdr:from>
        <xdr:to>
          <xdr:col>22</xdr:col>
          <xdr:colOff>1005840</xdr:colOff>
          <xdr:row>6</xdr:row>
          <xdr:rowOff>174567</xdr:rowOff>
        </xdr:to>
        <xdr:sp macro="" textlink="">
          <xdr:nvSpPr>
            <xdr:cNvPr id="165457" name="Button 593" hidden="1">
              <a:extLst>
                <a:ext uri="{63B3BB69-23CF-44E3-9099-C40C66FF867C}">
                  <a14:compatExt spid="_x0000_s165457"/>
                </a:ext>
                <a:ext uri="{FF2B5EF4-FFF2-40B4-BE49-F238E27FC236}">
                  <a16:creationId xmlns:a16="http://schemas.microsoft.com/office/drawing/2014/main" id="{C9D2B360-A826-A460-21BF-CA5CDB80F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7</xdr:row>
          <xdr:rowOff>8313</xdr:rowOff>
        </xdr:from>
        <xdr:to>
          <xdr:col>22</xdr:col>
          <xdr:colOff>1005840</xdr:colOff>
          <xdr:row>7</xdr:row>
          <xdr:rowOff>174567</xdr:rowOff>
        </xdr:to>
        <xdr:sp macro="" textlink="">
          <xdr:nvSpPr>
            <xdr:cNvPr id="165458" name="Button 594" hidden="1">
              <a:extLst>
                <a:ext uri="{63B3BB69-23CF-44E3-9099-C40C66FF867C}">
                  <a14:compatExt spid="_x0000_s165458"/>
                </a:ext>
                <a:ext uri="{FF2B5EF4-FFF2-40B4-BE49-F238E27FC236}">
                  <a16:creationId xmlns:a16="http://schemas.microsoft.com/office/drawing/2014/main" id="{7470AABD-4A93-8F42-45A4-0B3022F01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8</xdr:row>
          <xdr:rowOff>8313</xdr:rowOff>
        </xdr:from>
        <xdr:to>
          <xdr:col>22</xdr:col>
          <xdr:colOff>1005840</xdr:colOff>
          <xdr:row>8</xdr:row>
          <xdr:rowOff>174567</xdr:rowOff>
        </xdr:to>
        <xdr:sp macro="" textlink="">
          <xdr:nvSpPr>
            <xdr:cNvPr id="165459" name="Button 595" hidden="1">
              <a:extLst>
                <a:ext uri="{63B3BB69-23CF-44E3-9099-C40C66FF867C}">
                  <a14:compatExt spid="_x0000_s165459"/>
                </a:ext>
                <a:ext uri="{FF2B5EF4-FFF2-40B4-BE49-F238E27FC236}">
                  <a16:creationId xmlns:a16="http://schemas.microsoft.com/office/drawing/2014/main" id="{76898F48-6A72-B4F2-BC83-791A420AF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9</xdr:row>
          <xdr:rowOff>8313</xdr:rowOff>
        </xdr:from>
        <xdr:to>
          <xdr:col>22</xdr:col>
          <xdr:colOff>1005840</xdr:colOff>
          <xdr:row>9</xdr:row>
          <xdr:rowOff>174567</xdr:rowOff>
        </xdr:to>
        <xdr:sp macro="" textlink="">
          <xdr:nvSpPr>
            <xdr:cNvPr id="165460" name="Button 596" hidden="1">
              <a:extLst>
                <a:ext uri="{63B3BB69-23CF-44E3-9099-C40C66FF867C}">
                  <a14:compatExt spid="_x0000_s165460"/>
                </a:ext>
                <a:ext uri="{FF2B5EF4-FFF2-40B4-BE49-F238E27FC236}">
                  <a16:creationId xmlns:a16="http://schemas.microsoft.com/office/drawing/2014/main" id="{4FCC35CD-4B92-83CD-97BC-8B2438B21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10</xdr:row>
          <xdr:rowOff>8313</xdr:rowOff>
        </xdr:from>
        <xdr:to>
          <xdr:col>22</xdr:col>
          <xdr:colOff>1005840</xdr:colOff>
          <xdr:row>10</xdr:row>
          <xdr:rowOff>174567</xdr:rowOff>
        </xdr:to>
        <xdr:sp macro="" textlink="">
          <xdr:nvSpPr>
            <xdr:cNvPr id="165461" name="Button 597" hidden="1">
              <a:extLst>
                <a:ext uri="{63B3BB69-23CF-44E3-9099-C40C66FF867C}">
                  <a14:compatExt spid="_x0000_s165461"/>
                </a:ext>
                <a:ext uri="{FF2B5EF4-FFF2-40B4-BE49-F238E27FC236}">
                  <a16:creationId xmlns:a16="http://schemas.microsoft.com/office/drawing/2014/main" id="{EA5B14C1-2181-20C1-BC09-9147C3858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235701</xdr:colOff>
      <xdr:row>0</xdr:row>
      <xdr:rowOff>8312</xdr:rowOff>
    </xdr:from>
    <xdr:to>
      <xdr:col>37</xdr:col>
      <xdr:colOff>236485</xdr:colOff>
      <xdr:row>1</xdr:row>
      <xdr:rowOff>19050</xdr:rowOff>
    </xdr:to>
    <xdr:sp macro="[0]!ImportFromOld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602777" y="8312"/>
          <a:ext cx="1330821" cy="27674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Import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02753" name="Button 1" hidden="1">
              <a:extLst>
                <a:ext uri="{63B3BB69-23CF-44E3-9099-C40C66FF867C}">
                  <a14:compatExt spid="_x0000_s202753"/>
                </a:ext>
                <a:ext uri="{FF2B5EF4-FFF2-40B4-BE49-F238E27FC236}">
                  <a16:creationId xmlns:a16="http://schemas.microsoft.com/office/drawing/2014/main" id="{00000000-0008-0000-0400-000001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2754" name="Button 2" hidden="1">
              <a:extLst>
                <a:ext uri="{63B3BB69-23CF-44E3-9099-C40C66FF867C}">
                  <a14:compatExt spid="_x0000_s202754"/>
                </a:ext>
                <a:ext uri="{FF2B5EF4-FFF2-40B4-BE49-F238E27FC236}">
                  <a16:creationId xmlns:a16="http://schemas.microsoft.com/office/drawing/2014/main" id="{00000000-0008-0000-0400-000002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2755" name="Button 3" hidden="1">
              <a:extLst>
                <a:ext uri="{63B3BB69-23CF-44E3-9099-C40C66FF867C}">
                  <a14:compatExt spid="_x0000_s202755"/>
                </a:ext>
                <a:ext uri="{FF2B5EF4-FFF2-40B4-BE49-F238E27FC236}">
                  <a16:creationId xmlns:a16="http://schemas.microsoft.com/office/drawing/2014/main" id="{00000000-0008-0000-0400-000003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2756" name="Button 4" hidden="1">
              <a:extLst>
                <a:ext uri="{63B3BB69-23CF-44E3-9099-C40C66FF867C}">
                  <a14:compatExt spid="_x0000_s202756"/>
                </a:ext>
                <a:ext uri="{FF2B5EF4-FFF2-40B4-BE49-F238E27FC236}">
                  <a16:creationId xmlns:a16="http://schemas.microsoft.com/office/drawing/2014/main" id="{00000000-0008-0000-0400-000004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2757" name="Button 5" hidden="1">
              <a:extLst>
                <a:ext uri="{63B3BB69-23CF-44E3-9099-C40C66FF867C}">
                  <a14:compatExt spid="_x0000_s202757"/>
                </a:ext>
                <a:ext uri="{FF2B5EF4-FFF2-40B4-BE49-F238E27FC236}">
                  <a16:creationId xmlns:a16="http://schemas.microsoft.com/office/drawing/2014/main" id="{00000000-0008-0000-0400-000005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05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00000000-0008-0000-0500-00000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3779" name="Button 3" hidden="1">
              <a:extLst>
                <a:ext uri="{63B3BB69-23CF-44E3-9099-C40C66FF867C}">
                  <a14:compatExt spid="_x0000_s203779"/>
                </a:ext>
                <a:ext uri="{FF2B5EF4-FFF2-40B4-BE49-F238E27FC236}">
                  <a16:creationId xmlns:a16="http://schemas.microsoft.com/office/drawing/2014/main" id="{00000000-0008-0000-0500-000003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3780" name="Button 4" hidden="1">
              <a:extLst>
                <a:ext uri="{63B3BB69-23CF-44E3-9099-C40C66FF867C}">
                  <a14:compatExt spid="_x0000_s203780"/>
                </a:ext>
                <a:ext uri="{FF2B5EF4-FFF2-40B4-BE49-F238E27FC236}">
                  <a16:creationId xmlns:a16="http://schemas.microsoft.com/office/drawing/2014/main" id="{00000000-0008-0000-0500-000004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3781" name="Button 5" hidden="1">
              <a:extLst>
                <a:ext uri="{63B3BB69-23CF-44E3-9099-C40C66FF867C}">
                  <a14:compatExt spid="_x0000_s203781"/>
                </a:ext>
                <a:ext uri="{FF2B5EF4-FFF2-40B4-BE49-F238E27FC236}">
                  <a16:creationId xmlns:a16="http://schemas.microsoft.com/office/drawing/2014/main" id="{00000000-0008-0000-0500-000005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00000000-0008-0000-06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  <a:ext uri="{FF2B5EF4-FFF2-40B4-BE49-F238E27FC236}">
                  <a16:creationId xmlns:a16="http://schemas.microsoft.com/office/drawing/2014/main" id="{00000000-0008-0000-0600-00000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4803" name="Button 3" hidden="1">
              <a:extLst>
                <a:ext uri="{63B3BB69-23CF-44E3-9099-C40C66FF867C}">
                  <a14:compatExt spid="_x0000_s204803"/>
                </a:ext>
                <a:ext uri="{FF2B5EF4-FFF2-40B4-BE49-F238E27FC236}">
                  <a16:creationId xmlns:a16="http://schemas.microsoft.com/office/drawing/2014/main" id="{00000000-0008-0000-0600-000003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4804" name="Button 4" hidden="1">
              <a:extLst>
                <a:ext uri="{63B3BB69-23CF-44E3-9099-C40C66FF867C}">
                  <a14:compatExt spid="_x0000_s204804"/>
                </a:ext>
                <a:ext uri="{FF2B5EF4-FFF2-40B4-BE49-F238E27FC236}">
                  <a16:creationId xmlns:a16="http://schemas.microsoft.com/office/drawing/2014/main" id="{00000000-0008-0000-0600-000004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4805" name="Button 5" hidden="1">
              <a:extLst>
                <a:ext uri="{63B3BB69-23CF-44E3-9099-C40C66FF867C}">
                  <a14:compatExt spid="_x0000_s204805"/>
                </a:ext>
                <a:ext uri="{FF2B5EF4-FFF2-40B4-BE49-F238E27FC236}">
                  <a16:creationId xmlns:a16="http://schemas.microsoft.com/office/drawing/2014/main" id="{00000000-0008-0000-0600-000005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5827" name="Button 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5828" name="Button 4" hidden="1">
              <a:extLst>
                <a:ext uri="{63B3BB69-23CF-44E3-9099-C40C66FF867C}">
                  <a14:compatExt spid="_x0000_s205828"/>
                </a:ext>
                <a:ext uri="{FF2B5EF4-FFF2-40B4-BE49-F238E27FC236}">
                  <a16:creationId xmlns:a16="http://schemas.microsoft.com/office/drawing/2014/main" id="{00000000-0008-0000-0700-00000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5829" name="Button 5" hidden="1">
              <a:extLst>
                <a:ext uri="{63B3BB69-23CF-44E3-9099-C40C66FF867C}">
                  <a14:compatExt spid="_x0000_s205829"/>
                </a:ext>
                <a:ext uri="{FF2B5EF4-FFF2-40B4-BE49-F238E27FC236}">
                  <a16:creationId xmlns:a16="http://schemas.microsoft.com/office/drawing/2014/main" id="{00000000-0008-0000-0700-00000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08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08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08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00000000-0008-0000-0800-00000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6853" name="Button 5" hidden="1">
              <a:extLst>
                <a:ext uri="{63B3BB69-23CF-44E3-9099-C40C66FF867C}">
                  <a14:compatExt spid="_x0000_s206853"/>
                </a:ext>
                <a:ext uri="{FF2B5EF4-FFF2-40B4-BE49-F238E27FC236}">
                  <a16:creationId xmlns:a16="http://schemas.microsoft.com/office/drawing/2014/main" id="{00000000-0008-0000-0800-00000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09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09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7875" name="Button 3" hidden="1">
              <a:extLst>
                <a:ext uri="{63B3BB69-23CF-44E3-9099-C40C66FF867C}">
                  <a14:compatExt spid="_x0000_s207875"/>
                </a:ext>
                <a:ext uri="{FF2B5EF4-FFF2-40B4-BE49-F238E27FC236}">
                  <a16:creationId xmlns:a16="http://schemas.microsoft.com/office/drawing/2014/main" id="{00000000-0008-0000-0900-00000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7876" name="Button 4" hidden="1">
              <a:extLst>
                <a:ext uri="{63B3BB69-23CF-44E3-9099-C40C66FF867C}">
                  <a14:compatExt spid="_x0000_s207876"/>
                </a:ext>
                <a:ext uri="{FF2B5EF4-FFF2-40B4-BE49-F238E27FC236}">
                  <a16:creationId xmlns:a16="http://schemas.microsoft.com/office/drawing/2014/main" id="{00000000-0008-0000-0900-00000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7877" name="Button 5" hidden="1">
              <a:extLst>
                <a:ext uri="{63B3BB69-23CF-44E3-9099-C40C66FF867C}">
                  <a14:compatExt spid="_x0000_s207877"/>
                </a:ext>
                <a:ext uri="{FF2B5EF4-FFF2-40B4-BE49-F238E27FC236}">
                  <a16:creationId xmlns:a16="http://schemas.microsoft.com/office/drawing/2014/main" id="{00000000-0008-0000-0900-00000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A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A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A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8900" name="Button 4" hidden="1">
              <a:extLst>
                <a:ext uri="{63B3BB69-23CF-44E3-9099-C40C66FF867C}">
                  <a14:compatExt spid="_x0000_s208900"/>
                </a:ext>
                <a:ext uri="{FF2B5EF4-FFF2-40B4-BE49-F238E27FC236}">
                  <a16:creationId xmlns:a16="http://schemas.microsoft.com/office/drawing/2014/main" id="{00000000-0008-0000-0A00-00000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8901" name="Button 5" hidden="1">
              <a:extLst>
                <a:ext uri="{63B3BB69-23CF-44E3-9099-C40C66FF867C}">
                  <a14:compatExt spid="_x0000_s208901"/>
                </a:ext>
                <a:ext uri="{FF2B5EF4-FFF2-40B4-BE49-F238E27FC236}">
                  <a16:creationId xmlns:a16="http://schemas.microsoft.com/office/drawing/2014/main" id="{00000000-0008-0000-0A00-00000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B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B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0B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9924" name="Button 4" hidden="1">
              <a:extLst>
                <a:ext uri="{63B3BB69-23CF-44E3-9099-C40C66FF867C}">
                  <a14:compatExt spid="_x0000_s209924"/>
                </a:ext>
                <a:ext uri="{FF2B5EF4-FFF2-40B4-BE49-F238E27FC236}">
                  <a16:creationId xmlns:a16="http://schemas.microsoft.com/office/drawing/2014/main" id="{00000000-0008-0000-0B00-00000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9925" name="Button 5" hidden="1">
              <a:extLst>
                <a:ext uri="{63B3BB69-23CF-44E3-9099-C40C66FF867C}">
                  <a14:compatExt spid="_x0000_s209925"/>
                </a:ext>
                <a:ext uri="{FF2B5EF4-FFF2-40B4-BE49-F238E27FC236}">
                  <a16:creationId xmlns:a16="http://schemas.microsoft.com/office/drawing/2014/main" id="{00000000-0008-0000-0B00-00000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10945" name="Button 1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00000000-0008-0000-0C00-00000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10946" name="Button 2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00000000-0008-0000-0C00-00000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10947" name="Button 3" hidden="1">
              <a:extLst>
                <a:ext uri="{63B3BB69-23CF-44E3-9099-C40C66FF867C}">
                  <a14:compatExt spid="_x0000_s210947"/>
                </a:ext>
                <a:ext uri="{FF2B5EF4-FFF2-40B4-BE49-F238E27FC236}">
                  <a16:creationId xmlns:a16="http://schemas.microsoft.com/office/drawing/2014/main" id="{00000000-0008-0000-0C00-00000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0948" name="Button 4" hidden="1">
              <a:extLst>
                <a:ext uri="{63B3BB69-23CF-44E3-9099-C40C66FF867C}">
                  <a14:compatExt spid="_x0000_s210948"/>
                </a:ext>
                <a:ext uri="{FF2B5EF4-FFF2-40B4-BE49-F238E27FC236}">
                  <a16:creationId xmlns:a16="http://schemas.microsoft.com/office/drawing/2014/main" id="{00000000-0008-0000-0C00-000004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10949" name="Button 5" hidden="1">
              <a:extLst>
                <a:ext uri="{63B3BB69-23CF-44E3-9099-C40C66FF867C}">
                  <a14:compatExt spid="_x0000_s210949"/>
                </a:ext>
                <a:ext uri="{FF2B5EF4-FFF2-40B4-BE49-F238E27FC236}">
                  <a16:creationId xmlns:a16="http://schemas.microsoft.com/office/drawing/2014/main" id="{00000000-0008-0000-0C00-000005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D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D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D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D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D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2" totalsRowShown="0" headerRowDxfId="197" dataDxfId="195" headerRowBorderDxfId="196" tableBorderDxfId="194" totalsRowBorderDxfId="193" headerRowCellStyle="60% - Accent5">
  <autoFilter ref="A1:E12" xr:uid="{7E3155DF-3CB2-4063-8346-D3006162EB2E}"/>
  <sortState xmlns:xlrd2="http://schemas.microsoft.com/office/spreadsheetml/2017/richdata2" ref="A2:E12">
    <sortCondition ref="A1:A12"/>
  </sortState>
  <tableColumns count="5">
    <tableColumn id="1" xr3:uid="{4A3C96D4-74F9-46DA-B54B-0CD347E35136}" name="Surname" dataDxfId="192" dataCellStyle="Hyperlink"/>
    <tableColumn id="2" xr3:uid="{2B90B92F-5F96-4EDA-9BBB-0E797162ECC4}" name="First Name" dataDxfId="191" dataCellStyle="Hyperlink"/>
    <tableColumn id="8" xr3:uid="{CFE0A41F-FE26-4CF3-BAA8-F6CEC7B006D4}" name="Status" dataDxfId="190" dataCellStyle="Hyperlink"/>
    <tableColumn id="3" xr3:uid="{EBBDE5FC-4AD9-4996-A6CE-25D9B52D4D03}" name="Date" dataDxfId="189"/>
    <tableColumn id="4" xr3:uid="{854BBB0E-E50E-4F6C-90CC-6180E0CE5D32}" name="ID" dataDxfId="18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11" totalsRowShown="0" headerRowDxfId="187" dataDxfId="186">
  <autoFilter ref="A2:X11" xr:uid="{BBE43AA0-FEFE-4953-BA96-A0217731DC97}"/>
  <sortState xmlns:xlrd2="http://schemas.microsoft.com/office/spreadsheetml/2017/richdata2" ref="A2:W2">
    <sortCondition ref="A2"/>
  </sortState>
  <tableColumns count="24">
    <tableColumn id="1" xr3:uid="{77C7B428-E99D-49B8-8796-47FEBA3B8CD2}" name="Name" dataDxfId="108" dataCellStyle="Hyperlink"/>
    <tableColumn id="2" xr3:uid="{36FC8A03-C285-4FA4-AEC4-647B7067D01E}" name="Tunic" dataDxfId="109"/>
    <tableColumn id="3" xr3:uid="{E2B75A82-055F-492D-97B2-03C8E9C74CBF}" name="Collar Shirt" dataDxfId="130"/>
    <tableColumn id="4" xr3:uid="{89128C49-0667-4328-9CC8-935C76EB5CFF}" name="T-Shirt" dataDxfId="129"/>
    <tableColumn id="5" xr3:uid="{58E02DDF-FF68-4A85-A160-1478AFFC5301}" name="Dress Pants" dataDxfId="128"/>
    <tableColumn id="6" xr3:uid="{3C885A6D-7C6D-47FE-9D20-7FB555626C24}" name="Wedge" dataDxfId="127"/>
    <tableColumn id="7" xr3:uid="{650E09C5-6A05-4527-A321-E6D98102B309}" name="Tie" dataDxfId="126"/>
    <tableColumn id="8" xr3:uid="{B5F54AB4-5997-4EA8-AF06-4966A756DE93}" name="Belt" dataDxfId="125"/>
    <tableColumn id="9" xr3:uid="{8136261F-5775-4352-A73E-8E659AD02B53}" name="Socks" dataDxfId="124"/>
    <tableColumn id="10" xr3:uid="{9DEA83F4-EB2F-4D7E-9C9C-751F43044531}" name="Leather Boots" dataDxfId="123"/>
    <tableColumn id="11" xr3:uid="{1CEE23EA-B0BC-483E-BE3B-570F93C07C1A}" name="Leave Blank" dataDxfId="122"/>
    <tableColumn id="12" xr3:uid="{1D45495D-88A2-4A94-96C4-B047B6ED62D3}" name="Toque" dataDxfId="121"/>
    <tableColumn id="13" xr3:uid="{5954CB37-ED15-4CF3-A1FD-DCA35E0B036C}" name="Tilly" dataDxfId="120"/>
    <tableColumn id="14" xr3:uid="{4EB0159F-D44E-4237-807C-59C05B43CC3A}" name="Parka" dataDxfId="119"/>
    <tableColumn id="15" xr3:uid="{2D7F5042-3E7C-429C-8AFF-8601B19B8A0F}" name="Gloves" dataDxfId="118"/>
    <tableColumn id="16" xr3:uid="{D45A8E58-834C-42E4-980C-B85C418519A9}" name="Leave Blank2" dataDxfId="117"/>
    <tableColumn id="17" xr3:uid="{433672DD-A406-4334-A746-FB02B994A2E4}" name="Beret" dataDxfId="116"/>
    <tableColumn id="18" xr3:uid="{EE18EFD7-E877-490B-B14E-3FC28D0B1264}" name="FTU Tunic" dataDxfId="115"/>
    <tableColumn id="19" xr3:uid="{29AC551F-F02C-4401-9F86-D5A21F3B8962}" name="FTU Pants" dataDxfId="114"/>
    <tableColumn id="20" xr3:uid="{6DB4DDF9-B627-4BC2-B983-0DA0719B49B1}" name="FTU Boots" dataDxfId="113"/>
    <tableColumn id="27" xr3:uid="{84909A50-96B7-4616-B421-ACD5823BBA6B}" name="Column3" dataDxfId="112"/>
    <tableColumn id="26" xr3:uid="{0EFD58A3-59A1-406F-A3FD-C3E38DB387F2}" name="NameTag" dataDxfId="110"/>
    <tableColumn id="21" xr3:uid="{AEFDE823-D276-4BBA-8AAC-39096CA09601}" name="Toggle Done" dataDxfId="111"/>
    <tableColumn id="22" xr3:uid="{F911E964-47BC-4CDC-AAB6-614C3D5EDB11}" name="All Status" dataDxfId="18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14060-995A-453B-93EA-70F4C98490EC}" name="Isabella_Taylor_9380A782ExchangeTable" displayName="Isabella_Taylor_9380A782ExchangeTable" ref="A37:D38" insertRow="1" totalsRowShown="0" headerRowDxfId="184" dataDxfId="183">
  <autoFilter ref="A37:D38" xr:uid="{52014060-995A-453B-93EA-70F4C98490EC}"/>
  <tableColumns count="4">
    <tableColumn id="1" xr3:uid="{37412AF9-C760-4A75-8004-139DFF03007F}" name="Date" dataDxfId="182"/>
    <tableColumn id="2" xr3:uid="{BE73A8CE-B1A4-460D-B890-5090370E4B33}" name="Item" dataDxfId="181"/>
    <tableColumn id="3" xr3:uid="{D75A40E3-1CF1-4404-A5D0-04E05D3CF46B}" name="Old Size" dataDxfId="180"/>
    <tableColumn id="4" xr3:uid="{7375707B-10BD-460C-B1C6-2D6BA599B32F}" name="New Size" dataDxfId="179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A59D4E5-9D18-43A8-AB5F-AF98C6126AFC}" name="Grace_Williams_C724A790ExchangeTable" displayName="Grace_Williams_C724A790ExchangeTable" ref="A37:D38" insertRow="1" totalsRowShown="0" headerRowDxfId="178" dataDxfId="177">
  <autoFilter ref="A37:D38" xr:uid="{5A59D4E5-9D18-43A8-AB5F-AF98C6126AFC}"/>
  <tableColumns count="4">
    <tableColumn id="1" xr3:uid="{63B93990-0FFC-401C-92A0-CFCD42DA1C81}" name="Date" dataDxfId="176"/>
    <tableColumn id="2" xr3:uid="{2D62C699-9D3B-495D-B056-03D70557D45E}" name="Item" dataDxfId="175"/>
    <tableColumn id="3" xr3:uid="{CE1CFA16-1205-41B3-A2E6-23E094ACD319}" name="Old Size" dataDxfId="174"/>
    <tableColumn id="4" xr3:uid="{5F471B4C-5105-4D72-899A-14B4D32E8B25}" name="New Size" dataDxfId="173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ECA4DE6-CFA4-445D-81F5-59400ADEE2A0}" name="Peter sss_Wilson eee_C215BA97ExchangeTable" displayName="Peter_sss_Wilson_eee_C215BA97ExchangeTable" ref="A37:D38" insertRow="1" totalsRowShown="0" headerRowDxfId="172" dataDxfId="171">
  <autoFilter ref="A37:D38" xr:uid="{4ECA4DE6-CFA4-445D-81F5-59400ADEE2A0}"/>
  <tableColumns count="4">
    <tableColumn id="1" xr3:uid="{8D7F4708-24A9-414A-8D8E-79D6C8EAFC34}" name="Date" dataDxfId="170"/>
    <tableColumn id="2" xr3:uid="{C9138D8A-EE9A-4E8F-A728-E02CA443DFDD}" name="Item" dataDxfId="169"/>
    <tableColumn id="3" xr3:uid="{0783DF0D-574D-4617-B599-87F3FC6C7FA7}" name="Old Size" dataDxfId="168"/>
    <tableColumn id="4" xr3:uid="{1B79DD22-9FF9-43E1-A787-CD59C388C5E2}" name="New Size" dataDxfId="167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48CA2D9-1BCD-4E40-8AFF-095FA90D9668}" name="Wendy_Lee_5804A09CExchangeTable" displayName="Wendy_Lee_5804A09CExchangeTable" ref="A37:D38" insertRow="1" totalsRowShown="0" headerRowDxfId="166" dataDxfId="165">
  <autoFilter ref="A37:D38" xr:uid="{248CA2D9-1BCD-4E40-8AFF-095FA90D9668}"/>
  <tableColumns count="4">
    <tableColumn id="1" xr3:uid="{052DE64E-03C5-4F5C-ADD0-2B38FE6EFD41}" name="Date" dataDxfId="164"/>
    <tableColumn id="2" xr3:uid="{148D25A6-5354-4FA2-8867-F22376CADCFF}" name="Item" dataDxfId="163"/>
    <tableColumn id="3" xr3:uid="{71FE9197-93B4-4038-AF66-86D5A6ED75E5}" name="Old Size" dataDxfId="162"/>
    <tableColumn id="4" xr3:uid="{6B5FA38A-4AD4-4DD3-8CCE-47B88759EA18}" name="New Size" dataDxfId="161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E936018-AA4A-467A-8EAD-9569EAB1103D}" name="Henry_Lewis_31476B99ExchangeTable" displayName="Henry_Lewis_31476B99ExchangeTable" ref="A37:D38" insertRow="1" totalsRowShown="0" headerRowDxfId="160" dataDxfId="159">
  <autoFilter ref="A37:D38" xr:uid="{9E936018-AA4A-467A-8EAD-9569EAB1103D}"/>
  <tableColumns count="4">
    <tableColumn id="1" xr3:uid="{38D2FF16-0414-48F9-8D03-F611215FA12C}" name="Date" dataDxfId="158"/>
    <tableColumn id="2" xr3:uid="{F4069A5B-21EC-4C0D-8835-7F9C4C08555B}" name="Item" dataDxfId="157"/>
    <tableColumn id="3" xr3:uid="{641DBA50-00FE-413A-BE8F-16F3AA1E632E}" name="Old Size" dataDxfId="156"/>
    <tableColumn id="4" xr3:uid="{C406890B-3931-4383-A2D4-C56B6D8308D8}" name="New Size" dataDxfId="155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D2E8ED8-F9F9-4ABE-B7EB-B6F89532CC1A}" name="Wendy_Garcia_50637996ExchangeTable" displayName="Wendy_Garcia_50637996ExchangeTable" ref="A37:D38" insertRow="1" totalsRowShown="0" headerRowDxfId="154" dataDxfId="153">
  <autoFilter ref="A37:D38" xr:uid="{3D2E8ED8-F9F9-4ABE-B7EB-B6F89532CC1A}"/>
  <tableColumns count="4">
    <tableColumn id="1" xr3:uid="{D889BFB9-913F-4043-95F7-5E9978C3D1DC}" name="Date" dataDxfId="152"/>
    <tableColumn id="2" xr3:uid="{5D789C1F-91D0-470A-9413-6A27D53007C7}" name="Item" dataDxfId="151"/>
    <tableColumn id="3" xr3:uid="{F00DED85-6236-41C7-99FD-081B5C915930}" name="Old Size" dataDxfId="150"/>
    <tableColumn id="4" xr3:uid="{A9F9C001-DFEB-4DF8-89AC-17C4FFEE95C6}" name="New Size" dataDxfId="149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7BFE012-E3AE-421A-8EBC-67570530BC3B}" name="Xavier_Thompson_954159A5ExchangeTable" displayName="Xavier_Thompson_954159A5ExchangeTable" ref="A37:D38" insertRow="1" totalsRowShown="0" headerRowDxfId="148" dataDxfId="147">
  <autoFilter ref="A37:D38" xr:uid="{87BFE012-E3AE-421A-8EBC-67570530BC3B}"/>
  <tableColumns count="4">
    <tableColumn id="1" xr3:uid="{B2811361-547C-4D36-A496-8E85902347E1}" name="Date" dataDxfId="146"/>
    <tableColumn id="2" xr3:uid="{DB99C524-D09B-408A-B41A-E54414AB5948}" name="Item" dataDxfId="145"/>
    <tableColumn id="3" xr3:uid="{82A19D38-1633-408B-88E9-EB01B70D92A2}" name="Old Size" dataDxfId="144"/>
    <tableColumn id="4" xr3:uid="{6665DAA0-E175-49A8-A319-476607B2428F}" name="New Size" dataDxfId="143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6A5739-9B85-4C3A-9BCA-42234E129C92}" name="Henry_Martin_B648A7A7ExchangeTable" displayName="Henry_Martin_B648A7A7ExchangeTable" ref="A37:D38" insertRow="1" totalsRowShown="0" headerRowDxfId="142" dataDxfId="141">
  <autoFilter ref="A37:D38" xr:uid="{506A5739-9B85-4C3A-9BCA-42234E129C92}"/>
  <tableColumns count="4">
    <tableColumn id="1" xr3:uid="{1B2658E0-1B9B-4D4D-8ACF-18D269615CD4}" name="Date" dataDxfId="140"/>
    <tableColumn id="2" xr3:uid="{75C3F31D-9A02-4A6C-8272-B9C9C12A6718}" name="Item" dataDxfId="139"/>
    <tableColumn id="3" xr3:uid="{E05C80B9-0548-42D5-974D-C8A4DB0DBC59}" name="Old Size" dataDxfId="138"/>
    <tableColumn id="4" xr3:uid="{50C84146-C5FD-42F2-8118-88D261BABB8F}" name="New Size" dataDxfId="137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9B272E0-FE5A-40CA-AF19-19A87D0C8B4A}" name="Wendy_Thompson_6011A6AAExchangeTable" displayName="Wendy_Thompson_6011A6AAExchangeTable" ref="A37:D38" insertRow="1" totalsRowShown="0" headerRowDxfId="136" dataDxfId="135">
  <autoFilter ref="A37:D38" xr:uid="{E9B272E0-FE5A-40CA-AF19-19A87D0C8B4A}"/>
  <tableColumns count="4">
    <tableColumn id="1" xr3:uid="{98992B92-A6FB-4A78-A27E-9A41CFC459E2}" name="Date" dataDxfId="134"/>
    <tableColumn id="2" xr3:uid="{75E1B928-73DA-4CAF-82DA-015128E03FB3}" name="Item" dataDxfId="133"/>
    <tableColumn id="3" xr3:uid="{EA4BFA84-38FE-4247-B26D-E9263B89DF29}" name="Old Size" dataDxfId="132"/>
    <tableColumn id="4" xr3:uid="{C7115D6A-078E-4992-93C5-19CA475FC953}" name="New Size" dataDxfId="131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table" Target="../tables/table2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47.xml"/><Relationship Id="rId7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52.xml"/><Relationship Id="rId7" Type="http://schemas.openxmlformats.org/officeDocument/2006/relationships/ctrlProp" Target="../ctrlProps/ctrlProp5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7" Type="http://schemas.openxmlformats.org/officeDocument/2006/relationships/ctrlProp" Target="../ctrlProps/ctrlProp7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2"/>
  <sheetViews>
    <sheetView zoomScale="85" zoomScaleNormal="85" workbookViewId="0"/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4.05" customHeight="1" x14ac:dyDescent="0.3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51</v>
      </c>
    </row>
    <row r="2" spans="1:15" x14ac:dyDescent="0.3">
      <c r="A2" s="42" t="s">
        <v>218</v>
      </c>
      <c r="B2" s="28" t="s">
        <v>190</v>
      </c>
      <c r="C2" s="29" t="s">
        <v>260</v>
      </c>
      <c r="D2" s="43">
        <v>45432.032581018517</v>
      </c>
      <c r="E2" s="44">
        <v>50637996</v>
      </c>
    </row>
    <row r="3" spans="1:15" x14ac:dyDescent="0.3">
      <c r="A3" s="42" t="s">
        <v>189</v>
      </c>
      <c r="B3" s="28" t="s">
        <v>190</v>
      </c>
      <c r="C3" s="29" t="s">
        <v>260</v>
      </c>
      <c r="D3" s="43">
        <v>45432.032581018517</v>
      </c>
      <c r="E3" s="44" t="s">
        <v>191</v>
      </c>
    </row>
    <row r="4" spans="1:15" x14ac:dyDescent="0.3">
      <c r="A4" s="42" t="s">
        <v>201</v>
      </c>
      <c r="B4" s="28" t="s">
        <v>202</v>
      </c>
      <c r="C4" s="29" t="s">
        <v>261</v>
      </c>
      <c r="D4" s="43">
        <v>45432.032581018517</v>
      </c>
      <c r="E4" s="44" t="s">
        <v>203</v>
      </c>
    </row>
    <row r="5" spans="1:15" x14ac:dyDescent="0.3">
      <c r="A5" s="42" t="s">
        <v>245</v>
      </c>
      <c r="B5" s="28" t="s">
        <v>202</v>
      </c>
      <c r="C5" s="29" t="s">
        <v>262</v>
      </c>
      <c r="D5" s="43">
        <v>45432.032581018517</v>
      </c>
      <c r="E5" s="44" t="s">
        <v>246</v>
      </c>
    </row>
    <row r="6" spans="1:15" x14ac:dyDescent="0.3">
      <c r="A6" s="42" t="s">
        <v>93</v>
      </c>
      <c r="B6" s="28" t="s">
        <v>110</v>
      </c>
      <c r="C6" s="29" t="s">
        <v>260</v>
      </c>
      <c r="D6" s="43">
        <v>45432.032569444447</v>
      </c>
      <c r="E6" s="44" t="s">
        <v>111</v>
      </c>
    </row>
    <row r="7" spans="1:15" x14ac:dyDescent="0.3">
      <c r="A7" s="42" t="s">
        <v>234</v>
      </c>
      <c r="B7" s="28" t="s">
        <v>235</v>
      </c>
      <c r="C7" s="29" t="s">
        <v>262</v>
      </c>
      <c r="D7" s="43">
        <v>45432.032581018517</v>
      </c>
      <c r="E7" s="44" t="s">
        <v>236</v>
      </c>
    </row>
    <row r="8" spans="1:15" x14ac:dyDescent="0.3">
      <c r="A8" s="42" t="s">
        <v>234</v>
      </c>
      <c r="B8" s="28" t="s">
        <v>190</v>
      </c>
      <c r="C8" s="29" t="s">
        <v>260</v>
      </c>
      <c r="D8" s="43">
        <v>45432.032592592594</v>
      </c>
      <c r="E8" s="44" t="s">
        <v>254</v>
      </c>
    </row>
    <row r="9" spans="1:15" x14ac:dyDescent="0.3">
      <c r="A9" s="42" t="s">
        <v>153</v>
      </c>
      <c r="B9" s="28" t="s">
        <v>150</v>
      </c>
      <c r="C9" s="29" t="s">
        <v>261</v>
      </c>
      <c r="D9" s="43">
        <v>45432.032569444447</v>
      </c>
      <c r="E9" s="44" t="s">
        <v>154</v>
      </c>
    </row>
    <row r="10" spans="1:15" x14ac:dyDescent="0.3">
      <c r="A10" s="42" t="s">
        <v>177</v>
      </c>
      <c r="B10" s="28" t="s">
        <v>178</v>
      </c>
      <c r="C10" s="29" t="s">
        <v>261</v>
      </c>
      <c r="D10" s="43">
        <v>45432.032569444447</v>
      </c>
      <c r="E10" s="44" t="s">
        <v>179</v>
      </c>
    </row>
    <row r="11" spans="1:15" x14ac:dyDescent="0.3">
      <c r="A11" s="42"/>
      <c r="B11" s="28"/>
      <c r="C11" s="29"/>
      <c r="D11" s="43"/>
      <c r="E11" s="44"/>
    </row>
    <row r="12" spans="1:15" x14ac:dyDescent="0.3">
      <c r="A12" s="42"/>
      <c r="B12" s="28"/>
      <c r="C12" s="29"/>
      <c r="D12" s="43"/>
      <c r="E12" s="44"/>
    </row>
  </sheetData>
  <conditionalFormatting sqref="C2:C12">
    <cfRule type="cellIs" dxfId="107" priority="1" operator="equal">
      <formula>"S.O.S"</formula>
    </cfRule>
    <cfRule type="containsText" dxfId="106" priority="2" operator="containsText" text="UNP">
      <formula>NOT(ISERROR(SEARCH("UNP",C2)))</formula>
    </cfRule>
    <cfRule type="cellIs" dxfId="105" priority="3" operator="equal">
      <formula>"In Stock"</formula>
    </cfRule>
    <cfRule type="containsText" dxfId="104" priority="4" operator="containsText" text="Pick Up">
      <formula>NOT(ISERROR(SEARCH("Pick Up",C2)))</formula>
    </cfRule>
    <cfRule type="cellIs" dxfId="103" priority="9" operator="equal">
      <formula>"Ready To Order"</formula>
    </cfRule>
    <cfRule type="containsText" dxfId="102" priority="10" operator="containsText" text="Ordered">
      <formula>NOT(ISERROR(SEARCH("Ordered",C2)))</formula>
    </cfRule>
    <cfRule type="containsText" dxfId="101" priority="11" operator="containsText" text="Complete">
      <formula>NOT(ISERROR(SEARCH("Complete",C2)))</formula>
    </cfRule>
    <cfRule type="cellIs" dxfId="100" priority="12" operator="equal">
      <formula>"Returned"</formula>
    </cfRule>
  </conditionalFormatting>
  <hyperlinks>
    <hyperlink ref="A6" location="'Isabella_Taylor_9380A782'!A1" display="Taylor" xr:uid="{EA2CC8A3-DCC1-4AB1-86A2-63BD6CEE9091}"/>
    <hyperlink ref="A9" location="'Grace_Williams_C724A790'!A1" display="Williams" xr:uid="{6ACFE34A-89D5-4E08-A3C6-D45455BBC140}"/>
    <hyperlink ref="A10" location="'Peter sss_Wilson eee_C215BA97'!A1" display="Wilson eee" xr:uid="{496A7DBA-3735-4C16-A158-5A55867D6227}"/>
    <hyperlink ref="A3" location="'Wendy_Lee_5804A09C'!A1" display="Lee" xr:uid="{CAA80555-3F26-40DA-8617-206ACEC6CE7C}"/>
    <hyperlink ref="A4" location="'Henry_Lewis_31476B99'!A1" display="Lewis" xr:uid="{45D64B3A-CE48-4D53-B67B-858D36BB6BF0}"/>
    <hyperlink ref="A2" location="'Wendy_Garcia_50637996'!A1" display="Garcia" xr:uid="{809E0E35-FF98-44C9-80CC-5251A91D3505}"/>
    <hyperlink ref="A7" location="'Xavier_Thompson_954159A5'!A1" display="Thompson" xr:uid="{8D363889-E68D-4979-B78A-E52914CEA2A4}"/>
    <hyperlink ref="A5" location="'Henry_Martin_B648A7A7'!A1" display="Martin" xr:uid="{25AC8AA7-BF82-4244-B041-ED0BA16B9A38}"/>
    <hyperlink ref="A8" location="'Wendy_Thompson_6011A6AA'!A1" display="Thompson" xr:uid="{66B6977A-0F97-40D1-A4DE-784569DD97D1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1"/>
  <sheetViews>
    <sheetView workbookViewId="0">
      <selection activeCell="O22" sqref="O22"/>
    </sheetView>
  </sheetViews>
  <sheetFormatPr defaultRowHeight="15.05" x14ac:dyDescent="0.3"/>
  <cols>
    <col min="1" max="1" width="13.109375" customWidth="1"/>
    <col min="3" max="3" width="10.88671875" customWidth="1"/>
    <col min="4" max="4" width="7.5546875" customWidth="1"/>
    <col min="5" max="5" width="11.88671875" customWidth="1"/>
    <col min="6" max="6" width="7" customWidth="1"/>
    <col min="7" max="7" width="8.4414062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  <col min="26" max="26" width="16.88671875" customWidth="1"/>
  </cols>
  <sheetData>
    <row r="1" spans="1:25" ht="41.75" customHeight="1" x14ac:dyDescent="0.3">
      <c r="A1" s="31" t="s">
        <v>50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45</v>
      </c>
      <c r="T1" s="31" t="s">
        <v>32</v>
      </c>
      <c r="U1" s="31"/>
      <c r="V1" s="31" t="s">
        <v>64</v>
      </c>
      <c r="W1" s="30"/>
      <c r="X1" s="30"/>
      <c r="Y1" s="30"/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141316</xdr:colOff>
                    <xdr:row>0</xdr:row>
                    <xdr:rowOff>49876</xdr:rowOff>
                  </from>
                  <to>
                    <xdr:col>24</xdr:col>
                    <xdr:colOff>532015</xdr:colOff>
                    <xdr:row>0</xdr:row>
                    <xdr:rowOff>440575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11"/>
  <sheetViews>
    <sheetView zoomScaleNormal="100" workbookViewId="0"/>
  </sheetViews>
  <sheetFormatPr defaultRowHeight="15.05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85" customHeight="1" x14ac:dyDescent="0.3">
      <c r="A1" s="57" t="s">
        <v>42</v>
      </c>
      <c r="B1" s="32" t="s">
        <v>43</v>
      </c>
      <c r="C1" s="33" t="s">
        <v>57</v>
      </c>
      <c r="D1" s="58" t="s">
        <v>58</v>
      </c>
      <c r="E1" s="58"/>
      <c r="F1" s="37" t="s">
        <v>59</v>
      </c>
      <c r="G1" s="38" t="s">
        <v>54</v>
      </c>
      <c r="H1" s="34" t="s">
        <v>55</v>
      </c>
      <c r="I1" s="35" t="s">
        <v>60</v>
      </c>
      <c r="L1" s="36" t="s">
        <v>68</v>
      </c>
      <c r="M1" s="41" t="s">
        <v>65</v>
      </c>
      <c r="N1" s="40" t="s">
        <v>66</v>
      </c>
      <c r="O1" s="39" t="s">
        <v>67</v>
      </c>
    </row>
    <row r="2" spans="1:24" ht="37.35" customHeight="1" x14ac:dyDescent="0.3">
      <c r="A2" s="31" t="s">
        <v>50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61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62</v>
      </c>
      <c r="Q2" s="31" t="s">
        <v>33</v>
      </c>
      <c r="R2" s="31" t="s">
        <v>31</v>
      </c>
      <c r="S2" s="31" t="s">
        <v>45</v>
      </c>
      <c r="T2" s="31" t="s">
        <v>32</v>
      </c>
      <c r="U2" s="31" t="s">
        <v>63</v>
      </c>
      <c r="V2" s="31" t="s">
        <v>64</v>
      </c>
      <c r="W2" s="31" t="s">
        <v>56</v>
      </c>
      <c r="X2" s="50" t="s">
        <v>75</v>
      </c>
    </row>
    <row r="3" spans="1:24" x14ac:dyDescent="0.3">
      <c r="A3" s="53" t="s">
        <v>126</v>
      </c>
      <c r="B3" s="33">
        <v>5828</v>
      </c>
      <c r="C3" s="33">
        <v>18</v>
      </c>
      <c r="D3" s="33" t="s">
        <v>91</v>
      </c>
      <c r="E3" s="33">
        <v>6146</v>
      </c>
      <c r="F3" s="52">
        <v>6.375</v>
      </c>
      <c r="G3" s="33" t="s">
        <v>101</v>
      </c>
      <c r="H3" s="33" t="s">
        <v>83</v>
      </c>
      <c r="I3" s="32" t="s">
        <v>85</v>
      </c>
      <c r="J3" s="33" t="s">
        <v>99</v>
      </c>
      <c r="K3" s="45"/>
      <c r="L3" s="33" t="s">
        <v>87</v>
      </c>
      <c r="M3" s="33" t="s">
        <v>91</v>
      </c>
      <c r="N3" s="33">
        <v>6440</v>
      </c>
      <c r="O3" s="33" t="s">
        <v>121</v>
      </c>
      <c r="P3" s="45"/>
      <c r="Q3" s="72">
        <v>6.375</v>
      </c>
      <c r="R3" s="33">
        <v>6432</v>
      </c>
      <c r="S3" s="33">
        <v>7046</v>
      </c>
      <c r="T3" s="32"/>
      <c r="U3" s="54"/>
      <c r="V3" s="51" t="s">
        <v>93</v>
      </c>
      <c r="W3" s="55"/>
      <c r="X3" s="56" t="s">
        <v>109</v>
      </c>
    </row>
    <row r="4" spans="1:24" x14ac:dyDescent="0.3">
      <c r="A4" s="53" t="s">
        <v>167</v>
      </c>
      <c r="B4" s="33">
        <v>7030</v>
      </c>
      <c r="C4" s="34" t="s">
        <v>157</v>
      </c>
      <c r="D4" s="33" t="s">
        <v>91</v>
      </c>
      <c r="E4" s="33">
        <v>7042</v>
      </c>
      <c r="F4" s="52">
        <v>6.375</v>
      </c>
      <c r="G4" s="32" t="s">
        <v>141</v>
      </c>
      <c r="H4" s="33" t="s">
        <v>83</v>
      </c>
      <c r="I4" s="34" t="s">
        <v>151</v>
      </c>
      <c r="J4" s="33" t="s">
        <v>161</v>
      </c>
      <c r="K4" s="45"/>
      <c r="L4" s="33" t="s">
        <v>87</v>
      </c>
      <c r="M4" s="33" t="s">
        <v>91</v>
      </c>
      <c r="N4" s="33">
        <v>7036</v>
      </c>
      <c r="O4" s="33" t="s">
        <v>97</v>
      </c>
      <c r="P4" s="45"/>
      <c r="Q4" s="32">
        <v>7</v>
      </c>
      <c r="R4" s="33">
        <v>7036</v>
      </c>
      <c r="S4" s="33">
        <v>7042</v>
      </c>
      <c r="T4" s="34" t="s">
        <v>148</v>
      </c>
      <c r="U4" s="54"/>
      <c r="V4" s="51" t="s">
        <v>153</v>
      </c>
      <c r="W4" s="73"/>
      <c r="X4" s="74" t="s">
        <v>263</v>
      </c>
    </row>
    <row r="5" spans="1:24" x14ac:dyDescent="0.3">
      <c r="A5" s="53" t="s">
        <v>188</v>
      </c>
      <c r="B5" s="33">
        <v>6144</v>
      </c>
      <c r="C5" s="33" t="s">
        <v>182</v>
      </c>
      <c r="D5" s="33" t="s">
        <v>83</v>
      </c>
      <c r="E5" s="34" t="s">
        <v>184</v>
      </c>
      <c r="F5" s="52">
        <v>6.375</v>
      </c>
      <c r="G5" s="33" t="s">
        <v>101</v>
      </c>
      <c r="H5" s="34" t="s">
        <v>83</v>
      </c>
      <c r="I5" s="33" t="s">
        <v>171</v>
      </c>
      <c r="J5" s="33" t="s">
        <v>99</v>
      </c>
      <c r="K5" s="45"/>
      <c r="L5" s="33" t="s">
        <v>87</v>
      </c>
      <c r="M5" s="33" t="s">
        <v>91</v>
      </c>
      <c r="N5" s="33">
        <v>7648</v>
      </c>
      <c r="O5" s="33" t="s">
        <v>133</v>
      </c>
      <c r="P5" s="45"/>
      <c r="Q5" s="72">
        <v>6.375</v>
      </c>
      <c r="R5" s="33">
        <v>6744</v>
      </c>
      <c r="S5" s="33">
        <v>6742</v>
      </c>
      <c r="T5" s="32"/>
      <c r="U5" s="54"/>
      <c r="V5" s="51" t="s">
        <v>177</v>
      </c>
      <c r="W5" s="73"/>
      <c r="X5" s="74" t="s">
        <v>263</v>
      </c>
    </row>
    <row r="6" spans="1:24" x14ac:dyDescent="0.3">
      <c r="A6" s="53" t="s">
        <v>264</v>
      </c>
      <c r="B6" s="33">
        <v>6138</v>
      </c>
      <c r="C6" s="33" t="s">
        <v>194</v>
      </c>
      <c r="D6" s="33" t="s">
        <v>151</v>
      </c>
      <c r="E6" s="33">
        <v>6138</v>
      </c>
      <c r="F6" s="52">
        <v>6.375</v>
      </c>
      <c r="G6" s="33" t="s">
        <v>101</v>
      </c>
      <c r="H6" s="33" t="s">
        <v>95</v>
      </c>
      <c r="I6" s="33" t="s">
        <v>143</v>
      </c>
      <c r="J6" s="33" t="s">
        <v>197</v>
      </c>
      <c r="K6" s="45"/>
      <c r="L6" s="33" t="s">
        <v>87</v>
      </c>
      <c r="M6" s="33" t="s">
        <v>91</v>
      </c>
      <c r="N6" s="33">
        <v>6444</v>
      </c>
      <c r="O6" s="33" t="s">
        <v>173</v>
      </c>
      <c r="P6" s="45"/>
      <c r="Q6" s="72">
        <v>6.125</v>
      </c>
      <c r="R6" s="33">
        <v>6436</v>
      </c>
      <c r="S6" s="33">
        <v>6434</v>
      </c>
      <c r="T6" s="33" t="s">
        <v>175</v>
      </c>
      <c r="U6" s="54"/>
      <c r="V6" s="51" t="s">
        <v>189</v>
      </c>
      <c r="W6" s="73"/>
      <c r="X6" s="74" t="s">
        <v>109</v>
      </c>
    </row>
    <row r="7" spans="1:24" x14ac:dyDescent="0.3">
      <c r="A7" s="53" t="s">
        <v>265</v>
      </c>
      <c r="B7" s="33">
        <v>7332</v>
      </c>
      <c r="C7" s="34" t="s">
        <v>206</v>
      </c>
      <c r="D7" s="33" t="s">
        <v>139</v>
      </c>
      <c r="E7" s="33">
        <v>6436</v>
      </c>
      <c r="F7" s="52">
        <v>7.875</v>
      </c>
      <c r="G7" s="34" t="s">
        <v>101</v>
      </c>
      <c r="H7" s="33" t="s">
        <v>95</v>
      </c>
      <c r="I7" s="33" t="s">
        <v>151</v>
      </c>
      <c r="J7" s="33" t="s">
        <v>211</v>
      </c>
      <c r="K7" s="45"/>
      <c r="L7" s="33" t="s">
        <v>87</v>
      </c>
      <c r="M7" s="33" t="s">
        <v>105</v>
      </c>
      <c r="N7" s="33">
        <v>6440</v>
      </c>
      <c r="O7" s="33" t="s">
        <v>133</v>
      </c>
      <c r="P7" s="45"/>
      <c r="Q7" s="72">
        <v>7.875</v>
      </c>
      <c r="R7" s="33">
        <v>6432</v>
      </c>
      <c r="S7" s="33">
        <v>6738</v>
      </c>
      <c r="T7" s="33" t="s">
        <v>216</v>
      </c>
      <c r="U7" s="54"/>
      <c r="V7" s="51" t="s">
        <v>201</v>
      </c>
      <c r="W7" s="73"/>
      <c r="X7" s="74" t="s">
        <v>263</v>
      </c>
    </row>
    <row r="8" spans="1:24" x14ac:dyDescent="0.3">
      <c r="A8" s="53" t="s">
        <v>266</v>
      </c>
      <c r="B8" s="33">
        <v>7332</v>
      </c>
      <c r="C8" s="33">
        <v>17</v>
      </c>
      <c r="D8" s="33" t="s">
        <v>139</v>
      </c>
      <c r="E8" s="33">
        <v>7344</v>
      </c>
      <c r="F8" s="32"/>
      <c r="G8" s="32" t="s">
        <v>141</v>
      </c>
      <c r="H8" s="33" t="s">
        <v>83</v>
      </c>
      <c r="I8" s="33" t="s">
        <v>151</v>
      </c>
      <c r="J8" s="33" t="s">
        <v>221</v>
      </c>
      <c r="K8" s="45"/>
      <c r="L8" s="33" t="s">
        <v>87</v>
      </c>
      <c r="M8" s="33" t="s">
        <v>223</v>
      </c>
      <c r="N8" s="33">
        <v>7640</v>
      </c>
      <c r="O8" s="33" t="s">
        <v>133</v>
      </c>
      <c r="P8" s="45"/>
      <c r="Q8" s="32"/>
      <c r="R8" s="33">
        <v>7336</v>
      </c>
      <c r="S8" s="33">
        <v>7346</v>
      </c>
      <c r="T8" s="33">
        <v>7.5</v>
      </c>
      <c r="U8" s="54"/>
      <c r="V8" s="51" t="s">
        <v>218</v>
      </c>
      <c r="W8" s="73"/>
      <c r="X8" s="74" t="s">
        <v>109</v>
      </c>
    </row>
    <row r="9" spans="1:24" x14ac:dyDescent="0.3">
      <c r="A9" s="53" t="s">
        <v>267</v>
      </c>
      <c r="B9" s="33">
        <v>7036</v>
      </c>
      <c r="C9" s="33">
        <v>16</v>
      </c>
      <c r="D9" s="33" t="s">
        <v>151</v>
      </c>
      <c r="E9" s="33">
        <v>7042</v>
      </c>
      <c r="F9" s="52">
        <v>6.75</v>
      </c>
      <c r="G9" s="33" t="s">
        <v>141</v>
      </c>
      <c r="H9" s="33" t="s">
        <v>83</v>
      </c>
      <c r="I9" s="32" t="s">
        <v>85</v>
      </c>
      <c r="J9" s="33" t="s">
        <v>240</v>
      </c>
      <c r="K9" s="45"/>
      <c r="L9" s="33" t="s">
        <v>87</v>
      </c>
      <c r="M9" s="33" t="s">
        <v>139</v>
      </c>
      <c r="N9" s="33">
        <v>7040</v>
      </c>
      <c r="O9" s="33" t="s">
        <v>121</v>
      </c>
      <c r="P9" s="45"/>
      <c r="Q9" s="72">
        <v>6.75</v>
      </c>
      <c r="R9" s="33">
        <v>7036</v>
      </c>
      <c r="S9" s="33">
        <v>7042</v>
      </c>
      <c r="T9" s="33" t="s">
        <v>243</v>
      </c>
      <c r="U9" s="54"/>
      <c r="V9" s="51" t="s">
        <v>234</v>
      </c>
      <c r="W9" s="73"/>
      <c r="X9" s="74" t="s">
        <v>268</v>
      </c>
    </row>
    <row r="10" spans="1:24" x14ac:dyDescent="0.3">
      <c r="A10" s="53" t="s">
        <v>269</v>
      </c>
      <c r="B10" s="33">
        <v>6130</v>
      </c>
      <c r="C10" s="33" t="s">
        <v>249</v>
      </c>
      <c r="D10" s="33" t="s">
        <v>139</v>
      </c>
      <c r="E10" s="33" t="s">
        <v>251</v>
      </c>
      <c r="F10" s="52">
        <v>7.875</v>
      </c>
      <c r="G10" s="33" t="s">
        <v>101</v>
      </c>
      <c r="H10" s="33" t="s">
        <v>95</v>
      </c>
      <c r="I10" s="33" t="s">
        <v>151</v>
      </c>
      <c r="J10" s="33" t="s">
        <v>99</v>
      </c>
      <c r="K10" s="45"/>
      <c r="L10" s="33" t="s">
        <v>87</v>
      </c>
      <c r="M10" s="33" t="s">
        <v>105</v>
      </c>
      <c r="N10" s="33">
        <v>6440</v>
      </c>
      <c r="O10" s="33" t="s">
        <v>133</v>
      </c>
      <c r="P10" s="45"/>
      <c r="Q10" s="72">
        <v>7.875</v>
      </c>
      <c r="R10" s="33">
        <v>6432</v>
      </c>
      <c r="S10" s="33">
        <v>6434</v>
      </c>
      <c r="T10" s="32"/>
      <c r="U10" s="54"/>
      <c r="V10" s="51" t="s">
        <v>245</v>
      </c>
      <c r="W10" s="73"/>
      <c r="X10" s="74" t="s">
        <v>270</v>
      </c>
    </row>
    <row r="11" spans="1:24" x14ac:dyDescent="0.3">
      <c r="A11" s="53" t="s">
        <v>271</v>
      </c>
      <c r="B11" s="33">
        <v>7030</v>
      </c>
      <c r="C11" s="33">
        <v>16</v>
      </c>
      <c r="D11" s="33" t="s">
        <v>139</v>
      </c>
      <c r="E11" s="33">
        <v>7042</v>
      </c>
      <c r="F11" s="52">
        <v>7.875</v>
      </c>
      <c r="G11" s="32" t="s">
        <v>141</v>
      </c>
      <c r="H11" s="33" t="s">
        <v>83</v>
      </c>
      <c r="I11" s="32" t="s">
        <v>85</v>
      </c>
      <c r="J11" s="33" t="s">
        <v>255</v>
      </c>
      <c r="K11" s="45"/>
      <c r="L11" s="33" t="s">
        <v>87</v>
      </c>
      <c r="M11" s="33" t="s">
        <v>105</v>
      </c>
      <c r="N11" s="33">
        <v>7040</v>
      </c>
      <c r="O11" s="33" t="s">
        <v>121</v>
      </c>
      <c r="P11" s="45"/>
      <c r="Q11" s="72">
        <v>7.875</v>
      </c>
      <c r="R11" s="33">
        <v>7036</v>
      </c>
      <c r="S11" s="33">
        <v>7042</v>
      </c>
      <c r="T11" s="33" t="s">
        <v>257</v>
      </c>
      <c r="U11" s="54"/>
      <c r="V11" s="51" t="s">
        <v>234</v>
      </c>
      <c r="W11" s="73"/>
      <c r="X11" s="74" t="s">
        <v>109</v>
      </c>
    </row>
  </sheetData>
  <mergeCells count="1">
    <mergeCell ref="D1:E1"/>
  </mergeCells>
  <phoneticPr fontId="14" type="noConversion"/>
  <hyperlinks>
    <hyperlink ref="A1" location="Menu!A1" display="Back to Menu" xr:uid="{2F36453C-1B65-4911-A569-6D05EA005156}"/>
    <hyperlink ref="A3" location="Isabella_Taylor_9380A782!A1" display="Taylor, Isabella" xr:uid="{73984FE1-5252-440D-AD1C-CBF337585C15}"/>
    <hyperlink ref="A4" location="Grace_Williams_C724A790!A1" display="Williams, Grace" xr:uid="{45E6B877-7198-4E92-B341-2F5BAC686D82}"/>
    <hyperlink ref="A5" location="Peter sss_Wilson eee_C215BA97!A1" display="Wilson eee, Peter sss" xr:uid="{FBD7FBF8-4656-479B-BDBC-23814D7923E1}"/>
    <hyperlink ref="A6" location="Wendy_Lee_5804A09C!A1" display="Lee, Wendy" xr:uid="{CCD1134D-4E09-42C9-954C-E482230D0CDF}"/>
    <hyperlink ref="A7" location="Henry_Lewis_31476B99!A1" display="Lewis, Henry" xr:uid="{ECC89CA3-93FA-4048-A5D3-64B7C2554E60}"/>
    <hyperlink ref="A8" location="Wendy_Garcia_50637996!A1" display="Garcia, Wendy" xr:uid="{63B8EBCB-2FDC-4FEE-BD12-2D93AB240327}"/>
    <hyperlink ref="A9" location="Xavier_Thompson_954159A5!A1" display="Thompson, Xavier" xr:uid="{9F2088E9-74CA-4A70-AD6E-0BD3D002CA38}"/>
    <hyperlink ref="A10" location="Henry_Martin_B648A7A7!A1" display="Martin, Henry" xr:uid="{25A852C4-70B1-4F86-874C-06B9A5DC2DCF}"/>
    <hyperlink ref="A11" location="Wendy_Thompson_6011A6AA!A1" display="Thompson, Wendy" xr:uid="{39B743AF-1FC5-4162-90CF-9A4B781E924F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423" r:id="rId4" name="Button 559">
              <controlPr defaultSize="0" print="0" autoFill="0" autoPict="0" macro="[0]!'togglePersonAsComplete 3, &quot;Grace_Williams_C724A790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4" r:id="rId5" name="Button 560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7" r:id="rId6" name="Button 563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0" r:id="rId7" name="Button 566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3" r:id="rId8" name="Button 569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6" r:id="rId9" name="Button 572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9" r:id="rId10" name="Button 575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2" r:id="rId11" name="Button 578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5" r:id="rId12" name="Button 581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7" r:id="rId13" name="Button 583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0" r:id="rId14" name="Button 586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3" r:id="rId15" name="Button 589">
              <controlPr defaultSize="0" print="0" autoFill="0" autoPict="0" macro="[0]!'togglePersonAsComplete 3, &quot;Isabella_Taylor_9380A782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4" r:id="rId16" name="Button 590">
              <controlPr defaultSize="0" print="0" autoFill="0" autoPict="0" macro="[0]!'togglePersonAsComplete 4, &quot;Grace_Williams_C724A790&quot;'">
                <anchor moveWithCells="1" sizeWithCells="1">
                  <from>
                    <xdr:col>22</xdr:col>
                    <xdr:colOff>8313</xdr:colOff>
                    <xdr:row>3</xdr:row>
                    <xdr:rowOff>8313</xdr:rowOff>
                  </from>
                  <to>
                    <xdr:col>22</xdr:col>
                    <xdr:colOff>1005840</xdr:colOff>
                    <xdr:row>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5" r:id="rId17" name="Button 591">
              <controlPr defaultSize="0" print="0" autoFill="0" autoPict="0" macro="[0]!'togglePersonAsComplete 5, &quot;Peter sss_Wilson eee_C215BA97&quot;'">
                <anchor moveWithCells="1" sizeWithCells="1">
                  <from>
                    <xdr:col>22</xdr:col>
                    <xdr:colOff>8313</xdr:colOff>
                    <xdr:row>4</xdr:row>
                    <xdr:rowOff>8313</xdr:rowOff>
                  </from>
                  <to>
                    <xdr:col>22</xdr:col>
                    <xdr:colOff>1005840</xdr:colOff>
                    <xdr:row>4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6" r:id="rId18" name="Button 592">
              <controlPr defaultSize="0" print="0" autoFill="0" autoPict="0" macro="[0]!'togglePersonAsComplete 6, &quot;Wendy_Lee_5804A09C&quot;'">
                <anchor moveWithCells="1" sizeWithCells="1">
                  <from>
                    <xdr:col>22</xdr:col>
                    <xdr:colOff>8313</xdr:colOff>
                    <xdr:row>5</xdr:row>
                    <xdr:rowOff>8313</xdr:rowOff>
                  </from>
                  <to>
                    <xdr:col>22</xdr:col>
                    <xdr:colOff>1005840</xdr:colOff>
                    <xdr:row>5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7" r:id="rId19" name="Button 593">
              <controlPr defaultSize="0" print="0" autoFill="0" autoPict="0" macro="[0]!'togglePersonAsComplete 7, &quot;Henry_Lewis_31476B99&quot;'">
                <anchor moveWithCells="1" sizeWithCells="1">
                  <from>
                    <xdr:col>22</xdr:col>
                    <xdr:colOff>8313</xdr:colOff>
                    <xdr:row>6</xdr:row>
                    <xdr:rowOff>8313</xdr:rowOff>
                  </from>
                  <to>
                    <xdr:col>22</xdr:col>
                    <xdr:colOff>1005840</xdr:colOff>
                    <xdr:row>6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8" r:id="rId20" name="Button 594">
              <controlPr defaultSize="0" print="0" autoFill="0" autoPict="0" macro="[0]!'togglePersonAsComplete 8, &quot;Wendy_Garcia_50637996&quot;'">
                <anchor moveWithCells="1" sizeWithCells="1">
                  <from>
                    <xdr:col>22</xdr:col>
                    <xdr:colOff>8313</xdr:colOff>
                    <xdr:row>7</xdr:row>
                    <xdr:rowOff>8313</xdr:rowOff>
                  </from>
                  <to>
                    <xdr:col>22</xdr:col>
                    <xdr:colOff>1005840</xdr:colOff>
                    <xdr:row>7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9" r:id="rId21" name="Button 595">
              <controlPr defaultSize="0" print="0" autoFill="0" autoPict="0" macro="[0]!'togglePersonAsComplete 9, &quot;Xavier_Thompson_954159A5&quot;'">
                <anchor moveWithCells="1" sizeWithCells="1">
                  <from>
                    <xdr:col>22</xdr:col>
                    <xdr:colOff>8313</xdr:colOff>
                    <xdr:row>8</xdr:row>
                    <xdr:rowOff>8313</xdr:rowOff>
                  </from>
                  <to>
                    <xdr:col>22</xdr:col>
                    <xdr:colOff>1005840</xdr:colOff>
                    <xdr:row>8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0" r:id="rId22" name="Button 596">
              <controlPr defaultSize="0" print="0" autoFill="0" autoPict="0" macro="[0]!'togglePersonAsComplete 10, &quot;Henry_Martin_B648A7A7&quot;'">
                <anchor moveWithCells="1" sizeWithCells="1">
                  <from>
                    <xdr:col>22</xdr:col>
                    <xdr:colOff>8313</xdr:colOff>
                    <xdr:row>9</xdr:row>
                    <xdr:rowOff>8313</xdr:rowOff>
                  </from>
                  <to>
                    <xdr:col>22</xdr:col>
                    <xdr:colOff>1005840</xdr:colOff>
                    <xdr:row>9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1" r:id="rId23" name="Button 597">
              <controlPr defaultSize="0" print="0" autoFill="0" autoPict="0" macro="[0]!'togglePersonAsComplete 11, &quot;Wendy_Thompson_6011A6AA&quot;'">
                <anchor moveWithCells="1" sizeWithCells="1">
                  <from>
                    <xdr:col>22</xdr:col>
                    <xdr:colOff>8313</xdr:colOff>
                    <xdr:row>10</xdr:row>
                    <xdr:rowOff>8313</xdr:rowOff>
                  </from>
                  <to>
                    <xdr:col>22</xdr:col>
                    <xdr:colOff>1005840</xdr:colOff>
                    <xdr:row>10</xdr:row>
                    <xdr:rowOff>174567</xdr:rowOff>
                  </to>
                </anchor>
              </controlPr>
            </control>
          </mc:Choice>
        </mc:AlternateContent>
      </controls>
    </mc:Choice>
  </mc:AlternateContent>
  <tableParts count="1"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I1"/>
  <sheetViews>
    <sheetView topLeftCell="T1" workbookViewId="0">
      <selection activeCell="AI10" sqref="A2:AI10"/>
    </sheetView>
  </sheetViews>
  <sheetFormatPr defaultColWidth="8.88671875" defaultRowHeight="15.05" x14ac:dyDescent="0.3"/>
  <cols>
    <col min="1" max="28" width="8.88671875" style="36"/>
    <col min="29" max="29" width="10.109375" style="36" customWidth="1"/>
    <col min="30" max="16384" width="8.88671875" style="36"/>
  </cols>
  <sheetData>
    <row r="1" spans="1:35" ht="20.95" x14ac:dyDescent="0.3">
      <c r="A1" s="48" t="s">
        <v>69</v>
      </c>
      <c r="B1" s="48" t="s">
        <v>70</v>
      </c>
      <c r="C1" s="48" t="s">
        <v>5</v>
      </c>
      <c r="D1" s="49" t="s">
        <v>3</v>
      </c>
      <c r="E1" s="48" t="s">
        <v>41</v>
      </c>
      <c r="F1" s="48" t="s">
        <v>9</v>
      </c>
      <c r="G1" s="49" t="s">
        <v>11</v>
      </c>
      <c r="H1" s="49" t="s">
        <v>12</v>
      </c>
      <c r="I1" s="49" t="s">
        <v>13</v>
      </c>
      <c r="J1" s="49" t="s">
        <v>48</v>
      </c>
      <c r="K1" s="49" t="s">
        <v>15</v>
      </c>
      <c r="L1" s="49" t="s">
        <v>16</v>
      </c>
      <c r="M1" s="49" t="s">
        <v>17</v>
      </c>
      <c r="N1" s="49" t="s">
        <v>49</v>
      </c>
      <c r="O1" s="49" t="s">
        <v>18</v>
      </c>
      <c r="P1" s="49" t="s">
        <v>77</v>
      </c>
      <c r="Q1" s="49" t="s">
        <v>76</v>
      </c>
      <c r="R1" s="49" t="s">
        <v>71</v>
      </c>
      <c r="S1" s="49" t="s">
        <v>24</v>
      </c>
      <c r="T1" s="49" t="s">
        <v>23</v>
      </c>
      <c r="U1" s="49" t="s">
        <v>72</v>
      </c>
      <c r="V1" s="49" t="s">
        <v>26</v>
      </c>
      <c r="W1" s="49" t="s">
        <v>73</v>
      </c>
      <c r="X1" s="49" t="s">
        <v>74</v>
      </c>
      <c r="Y1" s="49" t="s">
        <v>45</v>
      </c>
      <c r="Z1" s="49" t="s">
        <v>32</v>
      </c>
      <c r="AA1" s="49" t="s">
        <v>33</v>
      </c>
      <c r="AB1" s="49" t="s">
        <v>29</v>
      </c>
      <c r="AC1" s="49" t="s">
        <v>30</v>
      </c>
      <c r="AD1" s="49" t="s">
        <v>28</v>
      </c>
      <c r="AE1" s="49" t="s">
        <v>22</v>
      </c>
      <c r="AF1" s="49" t="s">
        <v>64</v>
      </c>
      <c r="AG1" s="49" t="s">
        <v>46</v>
      </c>
      <c r="AH1" s="49" t="s">
        <v>253</v>
      </c>
      <c r="AI1" s="49" t="s">
        <v>78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5FBA4-B5D7-4B99-BA73-8BA59B0A1FF4}">
  <sheetPr codeName="Sheet16"/>
  <dimension ref="A1:L38"/>
  <sheetViews>
    <sheetView tabSelected="1" workbookViewId="0">
      <selection activeCell="R18" sqref="R18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93</v>
      </c>
      <c r="D2" s="61"/>
      <c r="E2" s="61" t="s">
        <v>110</v>
      </c>
      <c r="F2" s="61"/>
      <c r="G2" s="1" t="s">
        <v>111</v>
      </c>
      <c r="K2" s="4" t="s">
        <v>9</v>
      </c>
      <c r="L2" s="4">
        <v>20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17.600000000000001</v>
      </c>
    </row>
    <row r="4" spans="1:12" x14ac:dyDescent="0.3">
      <c r="A4" s="1" t="s">
        <v>39</v>
      </c>
      <c r="B4" s="66">
        <v>3501035278</v>
      </c>
      <c r="C4" s="66"/>
      <c r="D4" s="66"/>
      <c r="E4" s="61" t="s">
        <v>80</v>
      </c>
      <c r="F4" s="61"/>
      <c r="G4" s="1" t="s">
        <v>94</v>
      </c>
      <c r="K4" s="4" t="s">
        <v>12</v>
      </c>
      <c r="L4" s="4">
        <v>27.4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45</v>
      </c>
    </row>
    <row r="6" spans="1:12" x14ac:dyDescent="0.3">
      <c r="A6" s="3" t="s">
        <v>113</v>
      </c>
      <c r="B6" s="60" t="s">
        <v>18</v>
      </c>
      <c r="C6" s="60"/>
      <c r="D6" s="60"/>
      <c r="E6" s="46" t="s">
        <v>112</v>
      </c>
      <c r="F6" s="4">
        <v>1</v>
      </c>
      <c r="G6" s="23" t="s">
        <v>82</v>
      </c>
      <c r="H6" s="26" t="str">
        <f>HYPERLINK("#G6",CHAR(128))</f>
        <v>€</v>
      </c>
      <c r="K6" s="4" t="s">
        <v>14</v>
      </c>
      <c r="L6" s="4">
        <v>38.4</v>
      </c>
    </row>
    <row r="7" spans="1:12" x14ac:dyDescent="0.3">
      <c r="A7" s="2" t="s">
        <v>104</v>
      </c>
      <c r="B7" s="61" t="s">
        <v>21</v>
      </c>
      <c r="C7" s="61"/>
      <c r="D7" s="61"/>
      <c r="E7" s="47" t="s">
        <v>103</v>
      </c>
      <c r="F7" s="14">
        <v>1</v>
      </c>
      <c r="G7" s="23" t="s">
        <v>82</v>
      </c>
      <c r="H7" s="26" t="str">
        <f>HYPERLINK("#G7",CHAR(128))</f>
        <v>€</v>
      </c>
      <c r="K7" s="1" t="s">
        <v>15</v>
      </c>
      <c r="L7" s="1">
        <v>57.9</v>
      </c>
    </row>
    <row r="8" spans="1:12" x14ac:dyDescent="0.3">
      <c r="A8" s="3" t="s">
        <v>92</v>
      </c>
      <c r="B8" s="60" t="s">
        <v>19</v>
      </c>
      <c r="C8" s="60"/>
      <c r="D8" s="60"/>
      <c r="E8" s="46" t="s">
        <v>91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327</v>
      </c>
    </row>
    <row r="9" spans="1:12" x14ac:dyDescent="0.3">
      <c r="A9" s="2" t="s">
        <v>115</v>
      </c>
      <c r="B9" s="61" t="s">
        <v>20</v>
      </c>
      <c r="C9" s="61"/>
      <c r="D9" s="61"/>
      <c r="E9" s="47" t="s">
        <v>114</v>
      </c>
      <c r="F9" s="14">
        <v>1</v>
      </c>
      <c r="G9" s="23" t="s">
        <v>82</v>
      </c>
      <c r="H9" s="26" t="str">
        <f>HYPERLINK("#G9",CHAR(128))</f>
        <v>€</v>
      </c>
      <c r="I9" s="9"/>
      <c r="K9" s="1" t="s">
        <v>17</v>
      </c>
      <c r="L9" s="1">
        <v>117.7</v>
      </c>
    </row>
    <row r="10" spans="1:12" x14ac:dyDescent="0.3">
      <c r="A10" s="3" t="s">
        <v>117</v>
      </c>
      <c r="B10" s="60" t="s">
        <v>24</v>
      </c>
      <c r="C10" s="60"/>
      <c r="D10" s="60"/>
      <c r="E10" s="46" t="s">
        <v>116</v>
      </c>
      <c r="F10" s="4">
        <v>1</v>
      </c>
      <c r="G10" s="23" t="s">
        <v>82</v>
      </c>
      <c r="H10" s="26" t="str">
        <f>HYPERLINK("#G10",CHAR(128))</f>
        <v>€</v>
      </c>
      <c r="K10" s="13" t="s">
        <v>44</v>
      </c>
      <c r="L10" s="13">
        <v>7.5</v>
      </c>
    </row>
    <row r="11" spans="1:12" x14ac:dyDescent="0.3">
      <c r="A11" s="2" t="s">
        <v>102</v>
      </c>
      <c r="B11" s="61" t="s">
        <v>23</v>
      </c>
      <c r="C11" s="61"/>
      <c r="D11" s="61"/>
      <c r="E11" s="47" t="s">
        <v>101</v>
      </c>
      <c r="F11" s="14">
        <v>1</v>
      </c>
      <c r="G11" s="23" t="s">
        <v>82</v>
      </c>
      <c r="H11" s="26" t="str">
        <f>HYPERLINK("#G11",CHAR(128))</f>
        <v>€</v>
      </c>
    </row>
    <row r="12" spans="1:12" x14ac:dyDescent="0.3">
      <c r="A12" s="5" t="s">
        <v>84</v>
      </c>
      <c r="B12" s="60" t="s">
        <v>25</v>
      </c>
      <c r="C12" s="60"/>
      <c r="D12" s="60"/>
      <c r="E12" s="46" t="s">
        <v>83</v>
      </c>
      <c r="F12" s="4">
        <v>1</v>
      </c>
      <c r="G12" s="23" t="s">
        <v>82</v>
      </c>
      <c r="H12" s="26" t="str">
        <f>HYPERLINK("#G12",CHAR(128))</f>
        <v>€</v>
      </c>
    </row>
    <row r="13" spans="1:12" x14ac:dyDescent="0.3">
      <c r="A13" s="2" t="s">
        <v>86</v>
      </c>
      <c r="B13" s="61" t="s">
        <v>26</v>
      </c>
      <c r="C13" s="61"/>
      <c r="D13" s="61"/>
      <c r="E13" s="47" t="s">
        <v>85</v>
      </c>
      <c r="F13" s="14">
        <v>1</v>
      </c>
      <c r="G13" s="23" t="s">
        <v>43</v>
      </c>
      <c r="H13" s="26" t="str">
        <f>HYPERLINK("#G13",CHAR(128))</f>
        <v>€</v>
      </c>
    </row>
    <row r="14" spans="1:12" x14ac:dyDescent="0.3">
      <c r="A14" s="5" t="s">
        <v>100</v>
      </c>
      <c r="B14" s="60" t="s">
        <v>27</v>
      </c>
      <c r="C14" s="60"/>
      <c r="D14" s="60"/>
      <c r="E14" s="46" t="s">
        <v>99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118</v>
      </c>
      <c r="B17" s="61" t="s">
        <v>22</v>
      </c>
      <c r="C17" s="61"/>
      <c r="D17" s="61"/>
      <c r="E17" s="47" t="s">
        <v>91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120</v>
      </c>
      <c r="B18" s="60" t="s">
        <v>29</v>
      </c>
      <c r="C18" s="60"/>
      <c r="D18" s="60"/>
      <c r="E18" s="46" t="s">
        <v>119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122</v>
      </c>
      <c r="B19" s="61" t="s">
        <v>30</v>
      </c>
      <c r="C19" s="61"/>
      <c r="D19" s="61"/>
      <c r="E19" s="47" t="s">
        <v>121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123</v>
      </c>
      <c r="B21" s="61" t="s">
        <v>33</v>
      </c>
      <c r="C21" s="61"/>
      <c r="D21" s="61"/>
      <c r="E21" s="47" t="s">
        <v>116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108</v>
      </c>
      <c r="B22" s="60" t="s">
        <v>31</v>
      </c>
      <c r="C22" s="60"/>
      <c r="D22" s="60"/>
      <c r="E22" s="46" t="s">
        <v>107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125</v>
      </c>
      <c r="B23" s="61" t="s">
        <v>45</v>
      </c>
      <c r="C23" s="61"/>
      <c r="D23" s="61"/>
      <c r="E23" s="47" t="s">
        <v>124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/>
      <c r="B24" s="60" t="s">
        <v>32</v>
      </c>
      <c r="C24" s="60"/>
      <c r="D24" s="60"/>
      <c r="E24" s="46"/>
      <c r="F24" s="4">
        <v>1</v>
      </c>
      <c r="G24" s="23" t="s">
        <v>43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Taylor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99" priority="3" operator="equal">
      <formula>"Returned"</formula>
    </cfRule>
    <cfRule type="cellIs" dxfId="98" priority="6" operator="equal">
      <formula>"Ready To Order"</formula>
    </cfRule>
    <cfRule type="cellIs" dxfId="97" priority="7" operator="equal">
      <formula>"UNP"</formula>
    </cfRule>
    <cfRule type="containsText" dxfId="96" priority="8" operator="containsText" text="Ordered">
      <formula>NOT(ISERROR(SEARCH("Ordered",G6)))</formula>
    </cfRule>
    <cfRule type="containsText" dxfId="95" priority="9" operator="containsText" text="Pick Up">
      <formula>NOT(ISERROR(SEARCH("Pick Up",G6)))</formula>
    </cfRule>
    <cfRule type="containsText" dxfId="94" priority="10" operator="containsText" text="Complete">
      <formula>NOT(ISERROR(SEARCH("Complete",G6)))</formula>
    </cfRule>
  </conditionalFormatting>
  <conditionalFormatting sqref="G30:G33">
    <cfRule type="containsText" dxfId="93" priority="5" operator="containsText" text="Given">
      <formula>NOT(ISERROR(SEARCH("Given",G30)))</formula>
    </cfRule>
  </conditionalFormatting>
  <conditionalFormatting sqref="G30:G34">
    <cfRule type="containsText" dxfId="92" priority="4" operator="containsText" text="Returned">
      <formula>NOT(ISERROR(SEARCH("Returned",G30)))</formula>
    </cfRule>
  </conditionalFormatting>
  <conditionalFormatting sqref="G6:G14 G21:G26 G16:G19">
    <cfRule type="cellIs" dxfId="91" priority="2" operator="equal">
      <formula>"In Stock"</formula>
    </cfRule>
  </conditionalFormatting>
  <conditionalFormatting sqref="G6:G14 G16:G19 G21:G24 G26">
    <cfRule type="cellIs" dxfId="90" priority="1" operator="equal">
      <formula>"Unknown"</formula>
    </cfRule>
  </conditionalFormatting>
  <dataValidations count="3">
    <dataValidation type="list" allowBlank="1" showInputMessage="1" showErrorMessage="1" sqref="G6:G14 G16:G19 G21:G24 G26" xr:uid="{5485EFE2-EDE3-43F6-9C91-A4C4EEA704A8}">
      <formula1>"UNP, Ready To Order, Ordered, In Stock, Pick Up, Complete, Returned, Unknown"</formula1>
    </dataValidation>
    <dataValidation type="list" allowBlank="1" showInputMessage="1" showErrorMessage="1" sqref="G30:G34" xr:uid="{9F0CFA97-95B9-4449-BC45-D9D600F4499F}">
      <formula1>"--,Returned, Given"</formula1>
    </dataValidation>
    <dataValidation type="decimal" allowBlank="1" showInputMessage="1" showErrorMessage="1" sqref="L2" xr:uid="{EDD282BF-FC07-45D4-A9DD-B7E04926DDD1}">
      <formula1>19</formula1>
      <formula2>26</formula2>
    </dataValidation>
  </dataValidations>
  <hyperlinks>
    <hyperlink ref="A1:A2" location="Menu!A1" display="Back to Menu" xr:uid="{34E460EB-6199-4F89-BB9B-2FAFA24038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1C73-ED5B-4827-985E-C468F7DEB502}">
  <sheetPr codeName="Sheet17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153</v>
      </c>
      <c r="D2" s="61"/>
      <c r="E2" s="61" t="s">
        <v>150</v>
      </c>
      <c r="F2" s="61"/>
      <c r="G2" s="1" t="s">
        <v>154</v>
      </c>
      <c r="K2" s="4" t="s">
        <v>9</v>
      </c>
      <c r="L2" s="4">
        <v>26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15.1</v>
      </c>
    </row>
    <row r="4" spans="1:12" x14ac:dyDescent="0.3">
      <c r="A4" s="1" t="s">
        <v>39</v>
      </c>
      <c r="B4" s="66">
        <v>7345806215</v>
      </c>
      <c r="C4" s="66"/>
      <c r="D4" s="66"/>
      <c r="E4" s="61" t="s">
        <v>80</v>
      </c>
      <c r="F4" s="61"/>
      <c r="G4" s="1" t="s">
        <v>94</v>
      </c>
      <c r="K4" s="4" t="s">
        <v>12</v>
      </c>
      <c r="L4" s="4">
        <v>24.2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40.700000000000003</v>
      </c>
    </row>
    <row r="6" spans="1:12" x14ac:dyDescent="0.3">
      <c r="A6" s="3" t="s">
        <v>156</v>
      </c>
      <c r="B6" s="60" t="s">
        <v>18</v>
      </c>
      <c r="C6" s="60"/>
      <c r="D6" s="60"/>
      <c r="E6" s="46" t="s">
        <v>155</v>
      </c>
      <c r="F6" s="4">
        <v>1</v>
      </c>
      <c r="G6" s="23" t="s">
        <v>82</v>
      </c>
      <c r="H6" s="26" t="str">
        <f>HYPERLINK("#G6",CHAR(128))</f>
        <v>€</v>
      </c>
      <c r="K6" s="4" t="s">
        <v>14</v>
      </c>
      <c r="L6" s="4">
        <v>34.6</v>
      </c>
    </row>
    <row r="7" spans="1:12" x14ac:dyDescent="0.3">
      <c r="A7" s="2" t="s">
        <v>158</v>
      </c>
      <c r="B7" s="61" t="s">
        <v>21</v>
      </c>
      <c r="C7" s="61"/>
      <c r="D7" s="61"/>
      <c r="E7" s="47" t="s">
        <v>157</v>
      </c>
      <c r="F7" s="14">
        <v>1</v>
      </c>
      <c r="G7" s="23" t="s">
        <v>55</v>
      </c>
      <c r="H7" s="26" t="str">
        <f>HYPERLINK("#G7",CHAR(128))</f>
        <v>€</v>
      </c>
      <c r="K7" s="1" t="s">
        <v>15</v>
      </c>
      <c r="L7" s="1">
        <v>68.3</v>
      </c>
    </row>
    <row r="8" spans="1:12" x14ac:dyDescent="0.3">
      <c r="A8" s="3" t="s">
        <v>92</v>
      </c>
      <c r="B8" s="60" t="s">
        <v>19</v>
      </c>
      <c r="C8" s="60"/>
      <c r="D8" s="60"/>
      <c r="E8" s="46" t="s">
        <v>91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245.6</v>
      </c>
    </row>
    <row r="9" spans="1:12" x14ac:dyDescent="0.3">
      <c r="A9" s="2" t="s">
        <v>160</v>
      </c>
      <c r="B9" s="61" t="s">
        <v>20</v>
      </c>
      <c r="C9" s="61"/>
      <c r="D9" s="61"/>
      <c r="E9" s="47" t="s">
        <v>159</v>
      </c>
      <c r="F9" s="14">
        <v>1</v>
      </c>
      <c r="G9" s="23" t="s">
        <v>82</v>
      </c>
      <c r="H9" s="26" t="str">
        <f>HYPERLINK("#G9",CHAR(128))</f>
        <v>€</v>
      </c>
      <c r="I9" s="9"/>
      <c r="K9" s="1" t="s">
        <v>17</v>
      </c>
      <c r="L9" s="1">
        <v>86.9</v>
      </c>
    </row>
    <row r="10" spans="1:12" x14ac:dyDescent="0.3">
      <c r="A10" s="3" t="s">
        <v>117</v>
      </c>
      <c r="B10" s="60" t="s">
        <v>24</v>
      </c>
      <c r="C10" s="60"/>
      <c r="D10" s="60"/>
      <c r="E10" s="46" t="s">
        <v>116</v>
      </c>
      <c r="F10" s="4">
        <v>1</v>
      </c>
      <c r="G10" s="23" t="s">
        <v>82</v>
      </c>
      <c r="H10" s="26" t="str">
        <f>HYPERLINK("#G10",CHAR(128))</f>
        <v>€</v>
      </c>
      <c r="K10" s="13" t="s">
        <v>44</v>
      </c>
      <c r="L10" s="13">
        <v>9.3000000000000007</v>
      </c>
    </row>
    <row r="11" spans="1:12" x14ac:dyDescent="0.3">
      <c r="A11" s="2" t="s">
        <v>142</v>
      </c>
      <c r="B11" s="61" t="s">
        <v>23</v>
      </c>
      <c r="C11" s="61"/>
      <c r="D11" s="61"/>
      <c r="E11" s="47" t="s">
        <v>141</v>
      </c>
      <c r="F11" s="14">
        <v>1</v>
      </c>
      <c r="G11" s="23" t="s">
        <v>43</v>
      </c>
      <c r="H11" s="26" t="str">
        <f>HYPERLINK("#G11",CHAR(128))</f>
        <v>€</v>
      </c>
    </row>
    <row r="12" spans="1:12" x14ac:dyDescent="0.3">
      <c r="A12" s="5" t="s">
        <v>84</v>
      </c>
      <c r="B12" s="60" t="s">
        <v>25</v>
      </c>
      <c r="C12" s="60"/>
      <c r="D12" s="60"/>
      <c r="E12" s="46" t="s">
        <v>83</v>
      </c>
      <c r="F12" s="4">
        <v>1</v>
      </c>
      <c r="G12" s="23" t="s">
        <v>82</v>
      </c>
      <c r="H12" s="26" t="str">
        <f>HYPERLINK("#G12",CHAR(128))</f>
        <v>€</v>
      </c>
    </row>
    <row r="13" spans="1:12" x14ac:dyDescent="0.3">
      <c r="A13" s="2" t="s">
        <v>152</v>
      </c>
      <c r="B13" s="61" t="s">
        <v>26</v>
      </c>
      <c r="C13" s="61"/>
      <c r="D13" s="61"/>
      <c r="E13" s="47" t="s">
        <v>151</v>
      </c>
      <c r="F13" s="14">
        <v>1</v>
      </c>
      <c r="G13" s="23" t="s">
        <v>55</v>
      </c>
      <c r="H13" s="26" t="str">
        <f>HYPERLINK("#G13",CHAR(128))</f>
        <v>€</v>
      </c>
    </row>
    <row r="14" spans="1:12" x14ac:dyDescent="0.3">
      <c r="A14" s="5" t="s">
        <v>162</v>
      </c>
      <c r="B14" s="60" t="s">
        <v>27</v>
      </c>
      <c r="C14" s="60"/>
      <c r="D14" s="60"/>
      <c r="E14" s="46" t="s">
        <v>161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118</v>
      </c>
      <c r="B17" s="61" t="s">
        <v>22</v>
      </c>
      <c r="C17" s="61"/>
      <c r="D17" s="61"/>
      <c r="E17" s="47" t="s">
        <v>91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163</v>
      </c>
      <c r="B18" s="60" t="s">
        <v>29</v>
      </c>
      <c r="C18" s="60"/>
      <c r="D18" s="60"/>
      <c r="E18" s="46" t="s">
        <v>140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98</v>
      </c>
      <c r="B19" s="61" t="s">
        <v>30</v>
      </c>
      <c r="C19" s="61"/>
      <c r="D19" s="61"/>
      <c r="E19" s="47" t="s">
        <v>97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259</v>
      </c>
      <c r="B21" s="61" t="s">
        <v>33</v>
      </c>
      <c r="C21" s="61"/>
      <c r="D21" s="61"/>
      <c r="E21" s="47" t="s">
        <v>128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147</v>
      </c>
      <c r="B22" s="60" t="s">
        <v>31</v>
      </c>
      <c r="C22" s="60"/>
      <c r="D22" s="60"/>
      <c r="E22" s="46" t="s">
        <v>140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166</v>
      </c>
      <c r="B23" s="61" t="s">
        <v>45</v>
      </c>
      <c r="C23" s="61"/>
      <c r="D23" s="61"/>
      <c r="E23" s="47" t="s">
        <v>159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 t="s">
        <v>149</v>
      </c>
      <c r="B24" s="60" t="s">
        <v>32</v>
      </c>
      <c r="C24" s="60"/>
      <c r="D24" s="60"/>
      <c r="E24" s="46" t="s">
        <v>148</v>
      </c>
      <c r="F24" s="4">
        <v>1</v>
      </c>
      <c r="G24" s="23" t="s">
        <v>55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Williams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9" priority="3" operator="equal">
      <formula>"Returned"</formula>
    </cfRule>
    <cfRule type="cellIs" dxfId="88" priority="6" operator="equal">
      <formula>"Ready To Order"</formula>
    </cfRule>
    <cfRule type="cellIs" dxfId="87" priority="7" operator="equal">
      <formula>"UNP"</formula>
    </cfRule>
    <cfRule type="containsText" dxfId="86" priority="8" operator="containsText" text="Ordered">
      <formula>NOT(ISERROR(SEARCH("Ordered",G6)))</formula>
    </cfRule>
    <cfRule type="containsText" dxfId="85" priority="9" operator="containsText" text="Pick Up">
      <formula>NOT(ISERROR(SEARCH("Pick Up",G6)))</formula>
    </cfRule>
    <cfRule type="containsText" dxfId="84" priority="10" operator="containsText" text="Complete">
      <formula>NOT(ISERROR(SEARCH("Complete",G6)))</formula>
    </cfRule>
  </conditionalFormatting>
  <conditionalFormatting sqref="G30:G33">
    <cfRule type="containsText" dxfId="83" priority="5" operator="containsText" text="Given">
      <formula>NOT(ISERROR(SEARCH("Given",G30)))</formula>
    </cfRule>
  </conditionalFormatting>
  <conditionalFormatting sqref="G30:G34">
    <cfRule type="containsText" dxfId="82" priority="4" operator="containsText" text="Returned">
      <formula>NOT(ISERROR(SEARCH("Returned",G30)))</formula>
    </cfRule>
  </conditionalFormatting>
  <conditionalFormatting sqref="G6:G14 G21:G26 G16:G19">
    <cfRule type="cellIs" dxfId="81" priority="2" operator="equal">
      <formula>"In Stock"</formula>
    </cfRule>
  </conditionalFormatting>
  <conditionalFormatting sqref="G6:G14 G16:G19 G21:G24 G26">
    <cfRule type="cellIs" dxfId="80" priority="1" operator="equal">
      <formula>"Unknown"</formula>
    </cfRule>
  </conditionalFormatting>
  <dataValidations count="3">
    <dataValidation type="list" allowBlank="1" showInputMessage="1" showErrorMessage="1" sqref="G6:G14 G16:G19 G21:G24 G26" xr:uid="{FF6E70D8-7FFF-48FE-9214-673EE2DB1BC8}">
      <formula1>"UNP, Ready To Order, Ordered, In Stock, Pick Up, Complete, Returned, Unknown"</formula1>
    </dataValidation>
    <dataValidation type="list" allowBlank="1" showInputMessage="1" showErrorMessage="1" sqref="G30:G34" xr:uid="{5BC40A95-D2C6-49C2-BD2D-3F62C9336EC2}">
      <formula1>"--,Returned, Given"</formula1>
    </dataValidation>
    <dataValidation type="decimal" allowBlank="1" showInputMessage="1" showErrorMessage="1" sqref="L2" xr:uid="{AE8E38DA-DDE1-4BDC-AEE3-43D47C424A4D}">
      <formula1>19</formula1>
      <formula2>26</formula2>
    </dataValidation>
  </dataValidations>
  <hyperlinks>
    <hyperlink ref="A1:A2" location="Menu!A1" display="Back to Menu" xr:uid="{0B1537A5-A98E-4B2A-ACF7-8D8FADF7F68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1E8F0-3EA9-4E94-8CF3-9349D31CF0B2}">
  <sheetPr codeName="Sheet18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177</v>
      </c>
      <c r="D2" s="61"/>
      <c r="E2" s="61" t="s">
        <v>178</v>
      </c>
      <c r="F2" s="61"/>
      <c r="G2" s="1" t="s">
        <v>179</v>
      </c>
      <c r="K2" s="4" t="s">
        <v>9</v>
      </c>
      <c r="L2" s="4">
        <v>19.899999999999999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15.5</v>
      </c>
    </row>
    <row r="4" spans="1:12" x14ac:dyDescent="0.3">
      <c r="A4" s="1" t="s">
        <v>39</v>
      </c>
      <c r="B4" s="66">
        <v>8766307378</v>
      </c>
      <c r="C4" s="66"/>
      <c r="D4" s="66"/>
      <c r="E4" s="61" t="s">
        <v>80</v>
      </c>
      <c r="F4" s="61"/>
      <c r="G4" s="1" t="s">
        <v>81</v>
      </c>
      <c r="K4" s="4" t="s">
        <v>12</v>
      </c>
      <c r="L4" s="4">
        <v>42.7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41.4</v>
      </c>
    </row>
    <row r="6" spans="1:12" x14ac:dyDescent="0.3">
      <c r="A6" s="3" t="s">
        <v>181</v>
      </c>
      <c r="B6" s="60" t="s">
        <v>18</v>
      </c>
      <c r="C6" s="60"/>
      <c r="D6" s="60"/>
      <c r="E6" s="46" t="s">
        <v>180</v>
      </c>
      <c r="F6" s="4">
        <v>1</v>
      </c>
      <c r="G6" s="23" t="s">
        <v>82</v>
      </c>
      <c r="H6" s="26" t="str">
        <f>HYPERLINK("#G6",CHAR(128))</f>
        <v>€</v>
      </c>
      <c r="K6" s="4" t="s">
        <v>14</v>
      </c>
      <c r="L6" s="4">
        <v>31.8</v>
      </c>
    </row>
    <row r="7" spans="1:12" x14ac:dyDescent="0.3">
      <c r="A7" s="2" t="s">
        <v>183</v>
      </c>
      <c r="B7" s="61" t="s">
        <v>21</v>
      </c>
      <c r="C7" s="61"/>
      <c r="D7" s="61"/>
      <c r="E7" s="47" t="s">
        <v>182</v>
      </c>
      <c r="F7" s="14">
        <v>1</v>
      </c>
      <c r="G7" s="23" t="s">
        <v>82</v>
      </c>
      <c r="H7" s="26" t="str">
        <f>HYPERLINK("#G7",CHAR(128))</f>
        <v>€</v>
      </c>
      <c r="K7" s="1" t="s">
        <v>15</v>
      </c>
      <c r="L7" s="1">
        <v>60.7</v>
      </c>
    </row>
    <row r="8" spans="1:12" x14ac:dyDescent="0.3">
      <c r="A8" s="3" t="s">
        <v>127</v>
      </c>
      <c r="B8" s="60" t="s">
        <v>19</v>
      </c>
      <c r="C8" s="60"/>
      <c r="D8" s="60"/>
      <c r="E8" s="46" t="s">
        <v>83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266.8</v>
      </c>
    </row>
    <row r="9" spans="1:12" x14ac:dyDescent="0.3">
      <c r="A9" s="2" t="s">
        <v>185</v>
      </c>
      <c r="B9" s="61" t="s">
        <v>20</v>
      </c>
      <c r="C9" s="61"/>
      <c r="D9" s="61"/>
      <c r="E9" s="47" t="s">
        <v>184</v>
      </c>
      <c r="F9" s="14">
        <v>1</v>
      </c>
      <c r="G9" s="23" t="s">
        <v>55</v>
      </c>
      <c r="H9" s="26" t="str">
        <f>HYPERLINK("#G9",CHAR(128))</f>
        <v>€</v>
      </c>
      <c r="I9" s="9"/>
      <c r="K9" s="1" t="s">
        <v>17</v>
      </c>
      <c r="L9" s="1">
        <v>126.2</v>
      </c>
    </row>
    <row r="10" spans="1:12" x14ac:dyDescent="0.3">
      <c r="A10" s="3" t="s">
        <v>117</v>
      </c>
      <c r="B10" s="60" t="s">
        <v>24</v>
      </c>
      <c r="C10" s="60"/>
      <c r="D10" s="60"/>
      <c r="E10" s="46" t="s">
        <v>116</v>
      </c>
      <c r="F10" s="4">
        <v>1</v>
      </c>
      <c r="G10" s="23" t="s">
        <v>82</v>
      </c>
      <c r="H10" s="26" t="str">
        <f>HYPERLINK("#G10",CHAR(128))</f>
        <v>€</v>
      </c>
      <c r="K10" s="13" t="s">
        <v>44</v>
      </c>
      <c r="L10" s="13">
        <v>6.1</v>
      </c>
    </row>
    <row r="11" spans="1:12" x14ac:dyDescent="0.3">
      <c r="A11" s="2" t="s">
        <v>102</v>
      </c>
      <c r="B11" s="61" t="s">
        <v>23</v>
      </c>
      <c r="C11" s="61"/>
      <c r="D11" s="61"/>
      <c r="E11" s="47" t="s">
        <v>101</v>
      </c>
      <c r="F11" s="14">
        <v>1</v>
      </c>
      <c r="G11" s="23" t="s">
        <v>82</v>
      </c>
      <c r="H11" s="26" t="str">
        <f>HYPERLINK("#G11",CHAR(128))</f>
        <v>€</v>
      </c>
    </row>
    <row r="12" spans="1:12" x14ac:dyDescent="0.3">
      <c r="A12" s="5" t="s">
        <v>84</v>
      </c>
      <c r="B12" s="60" t="s">
        <v>25</v>
      </c>
      <c r="C12" s="60"/>
      <c r="D12" s="60"/>
      <c r="E12" s="46" t="s">
        <v>83</v>
      </c>
      <c r="F12" s="4">
        <v>1</v>
      </c>
      <c r="G12" s="23" t="s">
        <v>55</v>
      </c>
      <c r="H12" s="26" t="str">
        <f>HYPERLINK("#G12",CHAR(128))</f>
        <v>€</v>
      </c>
    </row>
    <row r="13" spans="1:12" x14ac:dyDescent="0.3">
      <c r="A13" s="2" t="s">
        <v>172</v>
      </c>
      <c r="B13" s="61" t="s">
        <v>26</v>
      </c>
      <c r="C13" s="61"/>
      <c r="D13" s="61"/>
      <c r="E13" s="47" t="s">
        <v>171</v>
      </c>
      <c r="F13" s="14">
        <v>1</v>
      </c>
      <c r="G13" s="23" t="s">
        <v>82</v>
      </c>
      <c r="H13" s="26" t="str">
        <f>HYPERLINK("#G13",CHAR(128))</f>
        <v>€</v>
      </c>
    </row>
    <row r="14" spans="1:12" x14ac:dyDescent="0.3">
      <c r="A14" s="5" t="s">
        <v>100</v>
      </c>
      <c r="B14" s="60" t="s">
        <v>27</v>
      </c>
      <c r="C14" s="60"/>
      <c r="D14" s="60"/>
      <c r="E14" s="46" t="s">
        <v>99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118</v>
      </c>
      <c r="B17" s="61" t="s">
        <v>22</v>
      </c>
      <c r="C17" s="61"/>
      <c r="D17" s="61"/>
      <c r="E17" s="47" t="s">
        <v>91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90</v>
      </c>
      <c r="B18" s="60" t="s">
        <v>29</v>
      </c>
      <c r="C18" s="60"/>
      <c r="D18" s="60"/>
      <c r="E18" s="46" t="s">
        <v>89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134</v>
      </c>
      <c r="B19" s="61" t="s">
        <v>30</v>
      </c>
      <c r="C19" s="61"/>
      <c r="D19" s="61"/>
      <c r="E19" s="47" t="s">
        <v>133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123</v>
      </c>
      <c r="B21" s="61" t="s">
        <v>33</v>
      </c>
      <c r="C21" s="61"/>
      <c r="D21" s="61"/>
      <c r="E21" s="47" t="s">
        <v>116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187</v>
      </c>
      <c r="B22" s="60" t="s">
        <v>31</v>
      </c>
      <c r="C22" s="60"/>
      <c r="D22" s="60"/>
      <c r="E22" s="46" t="s">
        <v>186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136</v>
      </c>
      <c r="B23" s="61" t="s">
        <v>45</v>
      </c>
      <c r="C23" s="61"/>
      <c r="D23" s="61"/>
      <c r="E23" s="47" t="s">
        <v>135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/>
      <c r="B24" s="60" t="s">
        <v>32</v>
      </c>
      <c r="C24" s="60"/>
      <c r="D24" s="60"/>
      <c r="E24" s="46"/>
      <c r="F24" s="4">
        <v>1</v>
      </c>
      <c r="G24" s="23" t="s">
        <v>43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Wilson eee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79" priority="3" operator="equal">
      <formula>"Returned"</formula>
    </cfRule>
    <cfRule type="cellIs" dxfId="78" priority="6" operator="equal">
      <formula>"Ready To Order"</formula>
    </cfRule>
    <cfRule type="cellIs" dxfId="77" priority="7" operator="equal">
      <formula>"UNP"</formula>
    </cfRule>
    <cfRule type="containsText" dxfId="76" priority="8" operator="containsText" text="Ordered">
      <formula>NOT(ISERROR(SEARCH("Ordered",G6)))</formula>
    </cfRule>
    <cfRule type="containsText" dxfId="75" priority="9" operator="containsText" text="Pick Up">
      <formula>NOT(ISERROR(SEARCH("Pick Up",G6)))</formula>
    </cfRule>
    <cfRule type="containsText" dxfId="74" priority="10" operator="containsText" text="Complete">
      <formula>NOT(ISERROR(SEARCH("Complete",G6)))</formula>
    </cfRule>
  </conditionalFormatting>
  <conditionalFormatting sqref="G30:G33">
    <cfRule type="containsText" dxfId="73" priority="5" operator="containsText" text="Given">
      <formula>NOT(ISERROR(SEARCH("Given",G30)))</formula>
    </cfRule>
  </conditionalFormatting>
  <conditionalFormatting sqref="G30:G34">
    <cfRule type="containsText" dxfId="72" priority="4" operator="containsText" text="Returned">
      <formula>NOT(ISERROR(SEARCH("Returned",G30)))</formula>
    </cfRule>
  </conditionalFormatting>
  <conditionalFormatting sqref="G6:G14 G21:G26 G16:G19">
    <cfRule type="cellIs" dxfId="71" priority="2" operator="equal">
      <formula>"In Stock"</formula>
    </cfRule>
  </conditionalFormatting>
  <conditionalFormatting sqref="G6:G14 G16:G19 G21:G24 G26">
    <cfRule type="cellIs" dxfId="70" priority="1" operator="equal">
      <formula>"Unknown"</formula>
    </cfRule>
  </conditionalFormatting>
  <dataValidations count="3">
    <dataValidation type="list" allowBlank="1" showInputMessage="1" showErrorMessage="1" sqref="G6:G14 G16:G19 G21:G24 G26" xr:uid="{A49564F5-9271-4F63-95DE-8A0CB50CEDE8}">
      <formula1>"UNP, Ready To Order, Ordered, In Stock, Pick Up, Complete, Returned, Unknown"</formula1>
    </dataValidation>
    <dataValidation type="list" allowBlank="1" showInputMessage="1" showErrorMessage="1" sqref="G30:G34" xr:uid="{5BEA7F6A-78FF-40D7-BF8A-9DE806B87315}">
      <formula1>"--,Returned, Given"</formula1>
    </dataValidation>
    <dataValidation type="decimal" allowBlank="1" showInputMessage="1" showErrorMessage="1" sqref="L2" xr:uid="{7F48C2F5-05F9-471B-8C1F-B0FA324EF255}">
      <formula1>19</formula1>
      <formula2>26</formula2>
    </dataValidation>
  </dataValidations>
  <hyperlinks>
    <hyperlink ref="A1:A2" location="Menu!A1" display="Back to Menu" xr:uid="{4F25BF7E-1A71-4DC0-A27F-13DE5972B4E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3134E-3572-4AAA-A746-656D53F7CCC8}">
  <sheetPr codeName="Sheet19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189</v>
      </c>
      <c r="D2" s="61"/>
      <c r="E2" s="61" t="s">
        <v>190</v>
      </c>
      <c r="F2" s="61"/>
      <c r="G2" s="1" t="s">
        <v>191</v>
      </c>
      <c r="K2" s="4" t="s">
        <v>9</v>
      </c>
      <c r="L2" s="4">
        <v>19.2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13.9</v>
      </c>
    </row>
    <row r="4" spans="1:12" x14ac:dyDescent="0.3">
      <c r="A4" s="1" t="s">
        <v>39</v>
      </c>
      <c r="B4" s="66"/>
      <c r="C4" s="66"/>
      <c r="D4" s="66"/>
      <c r="E4" s="61"/>
      <c r="F4" s="61"/>
      <c r="G4" s="1" t="s">
        <v>94</v>
      </c>
      <c r="K4" s="4" t="s">
        <v>12</v>
      </c>
      <c r="L4" s="4">
        <v>36.5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32.299999999999997</v>
      </c>
    </row>
    <row r="6" spans="1:12" x14ac:dyDescent="0.3">
      <c r="A6" s="3" t="s">
        <v>193</v>
      </c>
      <c r="B6" s="60" t="s">
        <v>18</v>
      </c>
      <c r="C6" s="60"/>
      <c r="D6" s="60"/>
      <c r="E6" s="46" t="s">
        <v>192</v>
      </c>
      <c r="F6" s="4">
        <v>1</v>
      </c>
      <c r="G6" s="23" t="s">
        <v>82</v>
      </c>
      <c r="H6" s="26" t="str">
        <f>HYPERLINK("#G6",CHAR(128))</f>
        <v>€</v>
      </c>
      <c r="K6" s="4" t="s">
        <v>14</v>
      </c>
      <c r="L6" s="4">
        <v>42.1</v>
      </c>
    </row>
    <row r="7" spans="1:12" x14ac:dyDescent="0.3">
      <c r="A7" s="2" t="s">
        <v>195</v>
      </c>
      <c r="B7" s="61" t="s">
        <v>21</v>
      </c>
      <c r="C7" s="61"/>
      <c r="D7" s="61"/>
      <c r="E7" s="47" t="s">
        <v>194</v>
      </c>
      <c r="F7" s="14">
        <v>1</v>
      </c>
      <c r="G7" s="23" t="s">
        <v>82</v>
      </c>
      <c r="H7" s="26" t="str">
        <f>HYPERLINK("#G7",CHAR(128))</f>
        <v>€</v>
      </c>
      <c r="K7" s="1" t="s">
        <v>15</v>
      </c>
      <c r="L7" s="1">
        <v>55</v>
      </c>
    </row>
    <row r="8" spans="1:12" x14ac:dyDescent="0.3">
      <c r="A8" s="3" t="s">
        <v>170</v>
      </c>
      <c r="B8" s="60" t="s">
        <v>19</v>
      </c>
      <c r="C8" s="60"/>
      <c r="D8" s="60"/>
      <c r="E8" s="46" t="s">
        <v>151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218.9</v>
      </c>
    </row>
    <row r="9" spans="1:12" x14ac:dyDescent="0.3">
      <c r="A9" s="2" t="s">
        <v>196</v>
      </c>
      <c r="B9" s="61" t="s">
        <v>20</v>
      </c>
      <c r="C9" s="61"/>
      <c r="D9" s="61"/>
      <c r="E9" s="47" t="s">
        <v>192</v>
      </c>
      <c r="F9" s="14">
        <v>1</v>
      </c>
      <c r="G9" s="23" t="s">
        <v>82</v>
      </c>
      <c r="H9" s="26" t="str">
        <f>HYPERLINK("#G9",CHAR(128))</f>
        <v>€</v>
      </c>
      <c r="I9" s="9"/>
      <c r="K9" s="1" t="s">
        <v>17</v>
      </c>
      <c r="L9" s="1">
        <v>102.6</v>
      </c>
    </row>
    <row r="10" spans="1:12" x14ac:dyDescent="0.3">
      <c r="A10" s="3" t="s">
        <v>117</v>
      </c>
      <c r="B10" s="60" t="s">
        <v>24</v>
      </c>
      <c r="C10" s="60"/>
      <c r="D10" s="60"/>
      <c r="E10" s="46" t="s">
        <v>116</v>
      </c>
      <c r="F10" s="4">
        <v>1</v>
      </c>
      <c r="G10" s="23" t="s">
        <v>82</v>
      </c>
      <c r="H10" s="26" t="str">
        <f>HYPERLINK("#G10",CHAR(128))</f>
        <v>€</v>
      </c>
      <c r="K10" s="13" t="s">
        <v>44</v>
      </c>
      <c r="L10" s="13">
        <v>8.3000000000000007</v>
      </c>
    </row>
    <row r="11" spans="1:12" x14ac:dyDescent="0.3">
      <c r="A11" s="2" t="s">
        <v>102</v>
      </c>
      <c r="B11" s="61" t="s">
        <v>23</v>
      </c>
      <c r="C11" s="61"/>
      <c r="D11" s="61"/>
      <c r="E11" s="47" t="s">
        <v>101</v>
      </c>
      <c r="F11" s="14">
        <v>1</v>
      </c>
      <c r="G11" s="23" t="s">
        <v>82</v>
      </c>
      <c r="H11" s="26" t="str">
        <f>HYPERLINK("#G11",CHAR(128))</f>
        <v>€</v>
      </c>
    </row>
    <row r="12" spans="1:12" x14ac:dyDescent="0.3">
      <c r="A12" s="5" t="s">
        <v>96</v>
      </c>
      <c r="B12" s="60" t="s">
        <v>25</v>
      </c>
      <c r="C12" s="60"/>
      <c r="D12" s="60"/>
      <c r="E12" s="46" t="s">
        <v>95</v>
      </c>
      <c r="F12" s="4">
        <v>1</v>
      </c>
      <c r="G12" s="23" t="s">
        <v>82</v>
      </c>
      <c r="H12" s="26" t="str">
        <f>HYPERLINK("#G12",CHAR(128))</f>
        <v>€</v>
      </c>
    </row>
    <row r="13" spans="1:12" x14ac:dyDescent="0.3">
      <c r="A13" s="2" t="s">
        <v>144</v>
      </c>
      <c r="B13" s="61" t="s">
        <v>26</v>
      </c>
      <c r="C13" s="61"/>
      <c r="D13" s="61"/>
      <c r="E13" s="47" t="s">
        <v>143</v>
      </c>
      <c r="F13" s="14">
        <v>1</v>
      </c>
      <c r="G13" s="23" t="s">
        <v>82</v>
      </c>
      <c r="H13" s="26" t="str">
        <f>HYPERLINK("#G13",CHAR(128))</f>
        <v>€</v>
      </c>
    </row>
    <row r="14" spans="1:12" x14ac:dyDescent="0.3">
      <c r="A14" s="5" t="s">
        <v>198</v>
      </c>
      <c r="B14" s="60" t="s">
        <v>27</v>
      </c>
      <c r="C14" s="60"/>
      <c r="D14" s="60"/>
      <c r="E14" s="46" t="s">
        <v>197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118</v>
      </c>
      <c r="B17" s="61" t="s">
        <v>22</v>
      </c>
      <c r="C17" s="61"/>
      <c r="D17" s="61"/>
      <c r="E17" s="47" t="s">
        <v>91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132</v>
      </c>
      <c r="B18" s="60" t="s">
        <v>29</v>
      </c>
      <c r="C18" s="60"/>
      <c r="D18" s="60"/>
      <c r="E18" s="46" t="s">
        <v>131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174</v>
      </c>
      <c r="B19" s="61" t="s">
        <v>30</v>
      </c>
      <c r="C19" s="61"/>
      <c r="D19" s="61"/>
      <c r="E19" s="47" t="s">
        <v>173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165</v>
      </c>
      <c r="B21" s="61" t="s">
        <v>33</v>
      </c>
      <c r="C21" s="61"/>
      <c r="D21" s="61"/>
      <c r="E21" s="47" t="s">
        <v>164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200</v>
      </c>
      <c r="B22" s="60" t="s">
        <v>31</v>
      </c>
      <c r="C22" s="60"/>
      <c r="D22" s="60"/>
      <c r="E22" s="46" t="s">
        <v>199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130</v>
      </c>
      <c r="B23" s="61" t="s">
        <v>45</v>
      </c>
      <c r="C23" s="61"/>
      <c r="D23" s="61"/>
      <c r="E23" s="47" t="s">
        <v>129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 t="s">
        <v>176</v>
      </c>
      <c r="B24" s="60" t="s">
        <v>32</v>
      </c>
      <c r="C24" s="60"/>
      <c r="D24" s="60"/>
      <c r="E24" s="46" t="s">
        <v>175</v>
      </c>
      <c r="F24" s="4">
        <v>1</v>
      </c>
      <c r="G24" s="23" t="s">
        <v>82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Lee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69" priority="3" operator="equal">
      <formula>"Returned"</formula>
    </cfRule>
    <cfRule type="cellIs" dxfId="68" priority="6" operator="equal">
      <formula>"Ready To Order"</formula>
    </cfRule>
    <cfRule type="cellIs" dxfId="67" priority="7" operator="equal">
      <formula>"UNP"</formula>
    </cfRule>
    <cfRule type="containsText" dxfId="66" priority="8" operator="containsText" text="Ordered">
      <formula>NOT(ISERROR(SEARCH("Ordered",G6)))</formula>
    </cfRule>
    <cfRule type="containsText" dxfId="65" priority="9" operator="containsText" text="Pick Up">
      <formula>NOT(ISERROR(SEARCH("Pick Up",G6)))</formula>
    </cfRule>
    <cfRule type="containsText" dxfId="64" priority="10" operator="containsText" text="Complete">
      <formula>NOT(ISERROR(SEARCH("Complete",G6)))</formula>
    </cfRule>
  </conditionalFormatting>
  <conditionalFormatting sqref="G30:G33">
    <cfRule type="containsText" dxfId="63" priority="5" operator="containsText" text="Given">
      <formula>NOT(ISERROR(SEARCH("Given",G30)))</formula>
    </cfRule>
  </conditionalFormatting>
  <conditionalFormatting sqref="G30:G34">
    <cfRule type="containsText" dxfId="62" priority="4" operator="containsText" text="Returned">
      <formula>NOT(ISERROR(SEARCH("Returned",G30)))</formula>
    </cfRule>
  </conditionalFormatting>
  <conditionalFormatting sqref="G6:G14 G21:G26 G16:G19">
    <cfRule type="cellIs" dxfId="61" priority="2" operator="equal">
      <formula>"In Stock"</formula>
    </cfRule>
  </conditionalFormatting>
  <conditionalFormatting sqref="G6:G14 G16:G19 G21:G24 G26">
    <cfRule type="cellIs" dxfId="60" priority="1" operator="equal">
      <formula>"Unknown"</formula>
    </cfRule>
  </conditionalFormatting>
  <dataValidations count="3">
    <dataValidation type="list" allowBlank="1" showInputMessage="1" showErrorMessage="1" sqref="G6:G14 G16:G19 G21:G24 G26" xr:uid="{71B4E978-0098-474E-80F5-2E0178FE8BE0}">
      <formula1>"UNP, Ready To Order, Ordered, In Stock, Pick Up, Complete, Returned, Unknown"</formula1>
    </dataValidation>
    <dataValidation type="list" allowBlank="1" showInputMessage="1" showErrorMessage="1" sqref="G30:G34" xr:uid="{0F2D9955-F037-4451-9D1E-0BA027F61A50}">
      <formula1>"--,Returned, Given"</formula1>
    </dataValidation>
    <dataValidation type="decimal" allowBlank="1" showInputMessage="1" showErrorMessage="1" sqref="L2" xr:uid="{406C72D2-9128-417F-B06B-6B9CFC83F350}">
      <formula1>19</formula1>
      <formula2>26</formula2>
    </dataValidation>
  </dataValidations>
  <hyperlinks>
    <hyperlink ref="A1:A2" location="Menu!A1" display="Back to Menu" xr:uid="{2380FB52-927B-44B1-90B2-48D7466072E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7A0A8-EE26-4032-86EC-A35AECFD2ECB}">
  <sheetPr codeName="Sheet20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201</v>
      </c>
      <c r="D2" s="61"/>
      <c r="E2" s="61" t="s">
        <v>202</v>
      </c>
      <c r="F2" s="61"/>
      <c r="G2" s="1" t="s">
        <v>203</v>
      </c>
      <c r="K2" s="4" t="s">
        <v>9</v>
      </c>
      <c r="L2" s="4">
        <v>24.4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19.3</v>
      </c>
    </row>
    <row r="4" spans="1:12" x14ac:dyDescent="0.3">
      <c r="A4" s="1" t="s">
        <v>39</v>
      </c>
      <c r="B4" s="66"/>
      <c r="C4" s="66"/>
      <c r="D4" s="66"/>
      <c r="E4" s="61"/>
      <c r="F4" s="61"/>
      <c r="G4" s="1" t="s">
        <v>94</v>
      </c>
      <c r="K4" s="4" t="s">
        <v>12</v>
      </c>
      <c r="L4" s="4">
        <v>32.200000000000003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35.700000000000003</v>
      </c>
    </row>
    <row r="6" spans="1:12" x14ac:dyDescent="0.3">
      <c r="A6" s="3" t="s">
        <v>205</v>
      </c>
      <c r="B6" s="60" t="s">
        <v>18</v>
      </c>
      <c r="C6" s="60"/>
      <c r="D6" s="60"/>
      <c r="E6" s="46" t="s">
        <v>204</v>
      </c>
      <c r="F6" s="4">
        <v>1</v>
      </c>
      <c r="G6" s="23" t="s">
        <v>82</v>
      </c>
      <c r="H6" s="26" t="str">
        <f>HYPERLINK("#G6",CHAR(128))</f>
        <v>€</v>
      </c>
      <c r="K6" s="4" t="s">
        <v>14</v>
      </c>
      <c r="L6" s="4">
        <v>41.5</v>
      </c>
    </row>
    <row r="7" spans="1:12" x14ac:dyDescent="0.3">
      <c r="A7" s="2" t="s">
        <v>207</v>
      </c>
      <c r="B7" s="61" t="s">
        <v>21</v>
      </c>
      <c r="C7" s="61"/>
      <c r="D7" s="61"/>
      <c r="E7" s="47" t="s">
        <v>206</v>
      </c>
      <c r="F7" s="14">
        <v>1</v>
      </c>
      <c r="G7" s="23" t="s">
        <v>55</v>
      </c>
      <c r="H7" s="26" t="str">
        <f>HYPERLINK("#G7",CHAR(128))</f>
        <v>€</v>
      </c>
      <c r="K7" s="1" t="s">
        <v>15</v>
      </c>
      <c r="L7" s="1">
        <v>62.6</v>
      </c>
    </row>
    <row r="8" spans="1:12" x14ac:dyDescent="0.3">
      <c r="A8" s="3" t="s">
        <v>92</v>
      </c>
      <c r="B8" s="60" t="s">
        <v>19</v>
      </c>
      <c r="C8" s="60"/>
      <c r="D8" s="60"/>
      <c r="E8" s="46" t="s">
        <v>139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250</v>
      </c>
    </row>
    <row r="9" spans="1:12" x14ac:dyDescent="0.3">
      <c r="A9" s="2" t="s">
        <v>208</v>
      </c>
      <c r="B9" s="61" t="s">
        <v>20</v>
      </c>
      <c r="C9" s="61"/>
      <c r="D9" s="61"/>
      <c r="E9" s="47" t="s">
        <v>199</v>
      </c>
      <c r="F9" s="14">
        <v>1</v>
      </c>
      <c r="G9" s="23" t="s">
        <v>82</v>
      </c>
      <c r="H9" s="26" t="str">
        <f>HYPERLINK("#G9",CHAR(128))</f>
        <v>€</v>
      </c>
      <c r="I9" s="9"/>
      <c r="K9" s="1" t="s">
        <v>17</v>
      </c>
      <c r="L9" s="1">
        <v>94.5</v>
      </c>
    </row>
    <row r="10" spans="1:12" x14ac:dyDescent="0.3">
      <c r="A10" s="3" t="s">
        <v>210</v>
      </c>
      <c r="B10" s="60" t="s">
        <v>24</v>
      </c>
      <c r="C10" s="60"/>
      <c r="D10" s="60"/>
      <c r="E10" s="46" t="s">
        <v>209</v>
      </c>
      <c r="F10" s="4">
        <v>1</v>
      </c>
      <c r="G10" s="23" t="s">
        <v>82</v>
      </c>
      <c r="H10" s="26" t="str">
        <f>HYPERLINK("#G10",CHAR(128))</f>
        <v>€</v>
      </c>
      <c r="K10" s="13" t="s">
        <v>44</v>
      </c>
      <c r="L10" s="13">
        <v>7</v>
      </c>
    </row>
    <row r="11" spans="1:12" x14ac:dyDescent="0.3">
      <c r="A11" s="2" t="s">
        <v>102</v>
      </c>
      <c r="B11" s="61" t="s">
        <v>23</v>
      </c>
      <c r="C11" s="61"/>
      <c r="D11" s="61"/>
      <c r="E11" s="47" t="s">
        <v>101</v>
      </c>
      <c r="F11" s="14">
        <v>1</v>
      </c>
      <c r="G11" s="23" t="s">
        <v>55</v>
      </c>
      <c r="H11" s="26" t="str">
        <f>HYPERLINK("#G11",CHAR(128))</f>
        <v>€</v>
      </c>
    </row>
    <row r="12" spans="1:12" x14ac:dyDescent="0.3">
      <c r="A12" s="5" t="s">
        <v>96</v>
      </c>
      <c r="B12" s="60" t="s">
        <v>25</v>
      </c>
      <c r="C12" s="60"/>
      <c r="D12" s="60"/>
      <c r="E12" s="46" t="s">
        <v>95</v>
      </c>
      <c r="F12" s="4">
        <v>1</v>
      </c>
      <c r="G12" s="23" t="s">
        <v>82</v>
      </c>
      <c r="H12" s="26" t="str">
        <f>HYPERLINK("#G12",CHAR(128))</f>
        <v>€</v>
      </c>
    </row>
    <row r="13" spans="1:12" x14ac:dyDescent="0.3">
      <c r="A13" s="2" t="s">
        <v>152</v>
      </c>
      <c r="B13" s="61" t="s">
        <v>26</v>
      </c>
      <c r="C13" s="61"/>
      <c r="D13" s="61"/>
      <c r="E13" s="47" t="s">
        <v>151</v>
      </c>
      <c r="F13" s="14">
        <v>1</v>
      </c>
      <c r="G13" s="23" t="s">
        <v>82</v>
      </c>
      <c r="H13" s="26" t="str">
        <f>HYPERLINK("#G13",CHAR(128))</f>
        <v>€</v>
      </c>
    </row>
    <row r="14" spans="1:12" x14ac:dyDescent="0.3">
      <c r="A14" s="5" t="s">
        <v>212</v>
      </c>
      <c r="B14" s="60" t="s">
        <v>27</v>
      </c>
      <c r="C14" s="60"/>
      <c r="D14" s="60"/>
      <c r="E14" s="46" t="s">
        <v>211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106</v>
      </c>
      <c r="B17" s="61" t="s">
        <v>22</v>
      </c>
      <c r="C17" s="61"/>
      <c r="D17" s="61"/>
      <c r="E17" s="47" t="s">
        <v>105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120</v>
      </c>
      <c r="B18" s="60" t="s">
        <v>29</v>
      </c>
      <c r="C18" s="60"/>
      <c r="D18" s="60"/>
      <c r="E18" s="46" t="s">
        <v>119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134</v>
      </c>
      <c r="B19" s="61" t="s">
        <v>30</v>
      </c>
      <c r="C19" s="61"/>
      <c r="D19" s="61"/>
      <c r="E19" s="47" t="s">
        <v>133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213</v>
      </c>
      <c r="B21" s="61" t="s">
        <v>33</v>
      </c>
      <c r="C21" s="61"/>
      <c r="D21" s="61"/>
      <c r="E21" s="47" t="s">
        <v>209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108</v>
      </c>
      <c r="B22" s="60" t="s">
        <v>31</v>
      </c>
      <c r="C22" s="60"/>
      <c r="D22" s="60"/>
      <c r="E22" s="46" t="s">
        <v>107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215</v>
      </c>
      <c r="B23" s="61" t="s">
        <v>45</v>
      </c>
      <c r="C23" s="61"/>
      <c r="D23" s="61"/>
      <c r="E23" s="47" t="s">
        <v>214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 t="s">
        <v>217</v>
      </c>
      <c r="B24" s="60" t="s">
        <v>32</v>
      </c>
      <c r="C24" s="60"/>
      <c r="D24" s="60"/>
      <c r="E24" s="46" t="s">
        <v>216</v>
      </c>
      <c r="F24" s="4">
        <v>1</v>
      </c>
      <c r="G24" s="23" t="s">
        <v>82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Lewis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9" priority="3" operator="equal">
      <formula>"Returned"</formula>
    </cfRule>
    <cfRule type="cellIs" dxfId="58" priority="6" operator="equal">
      <formula>"Ready To Order"</formula>
    </cfRule>
    <cfRule type="cellIs" dxfId="57" priority="7" operator="equal">
      <formula>"UNP"</formula>
    </cfRule>
    <cfRule type="containsText" dxfId="56" priority="8" operator="containsText" text="Ordered">
      <formula>NOT(ISERROR(SEARCH("Ordered",G6)))</formula>
    </cfRule>
    <cfRule type="containsText" dxfId="55" priority="9" operator="containsText" text="Pick Up">
      <formula>NOT(ISERROR(SEARCH("Pick Up",G6)))</formula>
    </cfRule>
    <cfRule type="containsText" dxfId="54" priority="10" operator="containsText" text="Complete">
      <formula>NOT(ISERROR(SEARCH("Complete",G6)))</formula>
    </cfRule>
  </conditionalFormatting>
  <conditionalFormatting sqref="G30:G33">
    <cfRule type="containsText" dxfId="53" priority="5" operator="containsText" text="Given">
      <formula>NOT(ISERROR(SEARCH("Given",G30)))</formula>
    </cfRule>
  </conditionalFormatting>
  <conditionalFormatting sqref="G30:G34">
    <cfRule type="containsText" dxfId="52" priority="4" operator="containsText" text="Returned">
      <formula>NOT(ISERROR(SEARCH("Returned",G30)))</formula>
    </cfRule>
  </conditionalFormatting>
  <conditionalFormatting sqref="G6:G14 G21:G26 G16:G19">
    <cfRule type="cellIs" dxfId="51" priority="2" operator="equal">
      <formula>"In Stock"</formula>
    </cfRule>
  </conditionalFormatting>
  <conditionalFormatting sqref="G6:G14 G16:G19 G21:G24 G26">
    <cfRule type="cellIs" dxfId="50" priority="1" operator="equal">
      <formula>"Unknown"</formula>
    </cfRule>
  </conditionalFormatting>
  <dataValidations count="3">
    <dataValidation type="list" allowBlank="1" showInputMessage="1" showErrorMessage="1" sqref="G6:G14 G16:G19 G21:G24 G26" xr:uid="{EFF9E246-625A-4602-B667-DD83940BB487}">
      <formula1>"UNP, Ready To Order, Ordered, In Stock, Pick Up, Complete, Returned, Unknown"</formula1>
    </dataValidation>
    <dataValidation type="list" allowBlank="1" showInputMessage="1" showErrorMessage="1" sqref="G30:G34" xr:uid="{8CA987F4-4141-477D-BE74-90851BFE256A}">
      <formula1>"--,Returned, Given"</formula1>
    </dataValidation>
    <dataValidation type="decimal" allowBlank="1" showInputMessage="1" showErrorMessage="1" sqref="L2" xr:uid="{E7A8FAF4-0636-42B7-AEA7-8FAFF5B591F0}">
      <formula1>19</formula1>
      <formula2>26</formula2>
    </dataValidation>
  </dataValidations>
  <hyperlinks>
    <hyperlink ref="A1:A2" location="Menu!A1" display="Back to Menu" xr:uid="{999559A7-CBD0-464C-A1C0-51FB7690E12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B4C9-0420-4876-951F-5895F4D7E144}">
  <sheetPr codeName="Sheet21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218</v>
      </c>
      <c r="D2" s="61"/>
      <c r="E2" s="61" t="s">
        <v>190</v>
      </c>
      <c r="F2" s="61"/>
      <c r="G2" s="1">
        <v>50637996</v>
      </c>
      <c r="K2" s="4" t="s">
        <v>9</v>
      </c>
      <c r="L2" s="4">
        <v>25.5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16.600000000000001</v>
      </c>
    </row>
    <row r="4" spans="1:12" x14ac:dyDescent="0.3">
      <c r="A4" s="1" t="s">
        <v>39</v>
      </c>
      <c r="B4" s="66">
        <v>2222222</v>
      </c>
      <c r="C4" s="66"/>
      <c r="D4" s="66"/>
      <c r="E4" s="61"/>
      <c r="F4" s="61"/>
      <c r="G4" s="1" t="s">
        <v>94</v>
      </c>
      <c r="K4" s="4" t="s">
        <v>12</v>
      </c>
      <c r="L4" s="4">
        <v>30.7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43.7</v>
      </c>
    </row>
    <row r="6" spans="1:12" x14ac:dyDescent="0.3">
      <c r="A6" s="3" t="s">
        <v>205</v>
      </c>
      <c r="B6" s="60" t="s">
        <v>18</v>
      </c>
      <c r="C6" s="60"/>
      <c r="D6" s="60"/>
      <c r="E6" s="46" t="s">
        <v>204</v>
      </c>
      <c r="F6" s="4">
        <v>1</v>
      </c>
      <c r="G6" s="23" t="s">
        <v>82</v>
      </c>
      <c r="H6" s="26" t="str">
        <f>HYPERLINK("#G6",CHAR(128))</f>
        <v>€</v>
      </c>
      <c r="K6" s="4" t="s">
        <v>14</v>
      </c>
      <c r="L6" s="4">
        <v>30.9</v>
      </c>
    </row>
    <row r="7" spans="1:12" x14ac:dyDescent="0.3">
      <c r="A7" s="2" t="s">
        <v>169</v>
      </c>
      <c r="B7" s="61" t="s">
        <v>21</v>
      </c>
      <c r="C7" s="61"/>
      <c r="D7" s="61"/>
      <c r="E7" s="47" t="s">
        <v>168</v>
      </c>
      <c r="F7" s="14">
        <v>1</v>
      </c>
      <c r="G7" s="23" t="s">
        <v>82</v>
      </c>
      <c r="H7" s="26" t="str">
        <f>HYPERLINK("#G7",CHAR(128))</f>
        <v>€</v>
      </c>
      <c r="K7" s="1" t="s">
        <v>15</v>
      </c>
      <c r="L7" s="1">
        <v>70.400000000000006</v>
      </c>
    </row>
    <row r="8" spans="1:12" x14ac:dyDescent="0.3">
      <c r="A8" s="3" t="s">
        <v>92</v>
      </c>
      <c r="B8" s="60" t="s">
        <v>19</v>
      </c>
      <c r="C8" s="60"/>
      <c r="D8" s="60"/>
      <c r="E8" s="46" t="s">
        <v>139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251.2</v>
      </c>
    </row>
    <row r="9" spans="1:12" x14ac:dyDescent="0.3">
      <c r="A9" s="2" t="s">
        <v>220</v>
      </c>
      <c r="B9" s="61" t="s">
        <v>20</v>
      </c>
      <c r="C9" s="61"/>
      <c r="D9" s="61"/>
      <c r="E9" s="47" t="s">
        <v>219</v>
      </c>
      <c r="F9" s="14">
        <v>1</v>
      </c>
      <c r="G9" s="23" t="s">
        <v>82</v>
      </c>
      <c r="H9" s="26" t="str">
        <f>HYPERLINK("#G9",CHAR(128))</f>
        <v>€</v>
      </c>
      <c r="I9" s="9"/>
      <c r="K9" s="1" t="s">
        <v>17</v>
      </c>
      <c r="L9" s="1">
        <v>92.3</v>
      </c>
    </row>
    <row r="10" spans="1:12" x14ac:dyDescent="0.3">
      <c r="A10" s="3"/>
      <c r="B10" s="60" t="s">
        <v>24</v>
      </c>
      <c r="C10" s="60"/>
      <c r="D10" s="60"/>
      <c r="E10" s="46"/>
      <c r="F10" s="4">
        <v>1</v>
      </c>
      <c r="G10" s="23" t="s">
        <v>43</v>
      </c>
      <c r="H10" s="26" t="str">
        <f>HYPERLINK("#G10",CHAR(128))</f>
        <v>€</v>
      </c>
      <c r="K10" s="13" t="s">
        <v>44</v>
      </c>
      <c r="L10" s="13">
        <v>6.8</v>
      </c>
    </row>
    <row r="11" spans="1:12" x14ac:dyDescent="0.3">
      <c r="A11" s="2" t="s">
        <v>142</v>
      </c>
      <c r="B11" s="61" t="s">
        <v>23</v>
      </c>
      <c r="C11" s="61"/>
      <c r="D11" s="61"/>
      <c r="E11" s="47" t="s">
        <v>141</v>
      </c>
      <c r="F11" s="14">
        <v>1</v>
      </c>
      <c r="G11" s="23" t="s">
        <v>43</v>
      </c>
      <c r="H11" s="26" t="str">
        <f>HYPERLINK("#G11",CHAR(128))</f>
        <v>€</v>
      </c>
    </row>
    <row r="12" spans="1:12" x14ac:dyDescent="0.3">
      <c r="A12" s="5" t="s">
        <v>84</v>
      </c>
      <c r="B12" s="60" t="s">
        <v>25</v>
      </c>
      <c r="C12" s="60"/>
      <c r="D12" s="60"/>
      <c r="E12" s="46" t="s">
        <v>83</v>
      </c>
      <c r="F12" s="4">
        <v>1</v>
      </c>
      <c r="G12" s="23" t="s">
        <v>82</v>
      </c>
      <c r="H12" s="26" t="str">
        <f>HYPERLINK("#G12",CHAR(128))</f>
        <v>€</v>
      </c>
    </row>
    <row r="13" spans="1:12" x14ac:dyDescent="0.3">
      <c r="A13" s="2" t="s">
        <v>152</v>
      </c>
      <c r="B13" s="61" t="s">
        <v>26</v>
      </c>
      <c r="C13" s="61"/>
      <c r="D13" s="61"/>
      <c r="E13" s="47" t="s">
        <v>151</v>
      </c>
      <c r="F13" s="14">
        <v>1</v>
      </c>
      <c r="G13" s="23" t="s">
        <v>82</v>
      </c>
      <c r="H13" s="26" t="str">
        <f>HYPERLINK("#G13",CHAR(128))</f>
        <v>€</v>
      </c>
    </row>
    <row r="14" spans="1:12" x14ac:dyDescent="0.3">
      <c r="A14" s="5" t="s">
        <v>222</v>
      </c>
      <c r="B14" s="60" t="s">
        <v>27</v>
      </c>
      <c r="C14" s="60"/>
      <c r="D14" s="60"/>
      <c r="E14" s="46" t="s">
        <v>221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224</v>
      </c>
      <c r="B17" s="61" t="s">
        <v>22</v>
      </c>
      <c r="C17" s="61"/>
      <c r="D17" s="61"/>
      <c r="E17" s="47" t="s">
        <v>223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226</v>
      </c>
      <c r="B18" s="60" t="s">
        <v>29</v>
      </c>
      <c r="C18" s="60"/>
      <c r="D18" s="60"/>
      <c r="E18" s="46" t="s">
        <v>225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134</v>
      </c>
      <c r="B19" s="61" t="s">
        <v>30</v>
      </c>
      <c r="C19" s="61"/>
      <c r="D19" s="61"/>
      <c r="E19" s="47" t="s">
        <v>133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/>
      <c r="B21" s="61" t="s">
        <v>33</v>
      </c>
      <c r="C21" s="61"/>
      <c r="D21" s="61"/>
      <c r="E21" s="47"/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228</v>
      </c>
      <c r="B22" s="60" t="s">
        <v>31</v>
      </c>
      <c r="C22" s="60"/>
      <c r="D22" s="60"/>
      <c r="E22" s="46" t="s">
        <v>227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230</v>
      </c>
      <c r="B23" s="61" t="s">
        <v>45</v>
      </c>
      <c r="C23" s="61"/>
      <c r="D23" s="61"/>
      <c r="E23" s="47" t="s">
        <v>229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 t="s">
        <v>232</v>
      </c>
      <c r="B24" s="60" t="s">
        <v>32</v>
      </c>
      <c r="C24" s="60"/>
      <c r="D24" s="60"/>
      <c r="E24" s="46" t="s">
        <v>231</v>
      </c>
      <c r="F24" s="4">
        <v>1</v>
      </c>
      <c r="G24" s="23" t="s">
        <v>82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Garcia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49" priority="3" operator="equal">
      <formula>"Returned"</formula>
    </cfRule>
    <cfRule type="cellIs" dxfId="48" priority="6" operator="equal">
      <formula>"Ready To Order"</formula>
    </cfRule>
    <cfRule type="cellIs" dxfId="47" priority="7" operator="equal">
      <formula>"UNP"</formula>
    </cfRule>
    <cfRule type="containsText" dxfId="46" priority="8" operator="containsText" text="Ordered">
      <formula>NOT(ISERROR(SEARCH("Ordered",G6)))</formula>
    </cfRule>
    <cfRule type="containsText" dxfId="45" priority="9" operator="containsText" text="Pick Up">
      <formula>NOT(ISERROR(SEARCH("Pick Up",G6)))</formula>
    </cfRule>
    <cfRule type="containsText" dxfId="44" priority="10" operator="containsText" text="Complete">
      <formula>NOT(ISERROR(SEARCH("Complete",G6)))</formula>
    </cfRule>
  </conditionalFormatting>
  <conditionalFormatting sqref="G30:G33">
    <cfRule type="containsText" dxfId="43" priority="5" operator="containsText" text="Given">
      <formula>NOT(ISERROR(SEARCH("Given",G30)))</formula>
    </cfRule>
  </conditionalFormatting>
  <conditionalFormatting sqref="G30:G34">
    <cfRule type="containsText" dxfId="42" priority="4" operator="containsText" text="Returned">
      <formula>NOT(ISERROR(SEARCH("Returned",G30)))</formula>
    </cfRule>
  </conditionalFormatting>
  <conditionalFormatting sqref="G6:G14 G21:G26 G16:G19">
    <cfRule type="cellIs" dxfId="41" priority="2" operator="equal">
      <formula>"In Stock"</formula>
    </cfRule>
  </conditionalFormatting>
  <conditionalFormatting sqref="G6:G14 G16:G19 G21:G24 G26">
    <cfRule type="cellIs" dxfId="40" priority="1" operator="equal">
      <formula>"Unknown"</formula>
    </cfRule>
  </conditionalFormatting>
  <dataValidations count="3">
    <dataValidation type="list" allowBlank="1" showInputMessage="1" showErrorMessage="1" sqref="G6:G14 G16:G19 G21:G24 G26" xr:uid="{C9514230-8884-4DCA-A725-268ACFA38FD8}">
      <formula1>"UNP, Ready To Order, Ordered, In Stock, Pick Up, Complete, Returned, Unknown"</formula1>
    </dataValidation>
    <dataValidation type="list" allowBlank="1" showInputMessage="1" showErrorMessage="1" sqref="G30:G34" xr:uid="{91CA0F31-57D7-4D08-AC35-FEB180CB6842}">
      <formula1>"--,Returned, Given"</formula1>
    </dataValidation>
    <dataValidation type="decimal" allowBlank="1" showInputMessage="1" showErrorMessage="1" sqref="L2" xr:uid="{9ADE349F-6047-4038-9AD5-84336DAB5446}">
      <formula1>19</formula1>
      <formula2>26</formula2>
    </dataValidation>
  </dataValidations>
  <hyperlinks>
    <hyperlink ref="A1:A2" location="Menu!A1" display="Back to Menu" xr:uid="{654D1300-9408-4DB1-995F-304302E4B77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FE940-D799-4612-BAF9-11987EC75B31}">
  <sheetPr codeName="Sheet22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234</v>
      </c>
      <c r="D2" s="61"/>
      <c r="E2" s="61" t="s">
        <v>235</v>
      </c>
      <c r="F2" s="61"/>
      <c r="G2" s="1" t="s">
        <v>236</v>
      </c>
      <c r="K2" s="4" t="s">
        <v>9</v>
      </c>
      <c r="L2" s="4">
        <v>20.9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15.6</v>
      </c>
    </row>
    <row r="4" spans="1:12" x14ac:dyDescent="0.3">
      <c r="A4" s="1" t="s">
        <v>39</v>
      </c>
      <c r="B4" s="66">
        <v>1715121351</v>
      </c>
      <c r="C4" s="66"/>
      <c r="D4" s="66"/>
      <c r="E4" s="61" t="s">
        <v>80</v>
      </c>
      <c r="F4" s="61"/>
      <c r="G4" s="1" t="s">
        <v>94</v>
      </c>
      <c r="K4" s="4" t="s">
        <v>12</v>
      </c>
      <c r="L4" s="4">
        <v>34.299999999999997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42.5</v>
      </c>
    </row>
    <row r="6" spans="1:12" x14ac:dyDescent="0.3">
      <c r="A6" s="3" t="s">
        <v>237</v>
      </c>
      <c r="B6" s="60" t="s">
        <v>18</v>
      </c>
      <c r="C6" s="60"/>
      <c r="D6" s="60"/>
      <c r="E6" s="46" t="s">
        <v>140</v>
      </c>
      <c r="F6" s="4">
        <v>1</v>
      </c>
      <c r="G6" s="23" t="s">
        <v>82</v>
      </c>
      <c r="H6" s="26" t="str">
        <f>HYPERLINK("#G6",CHAR(128))</f>
        <v>€</v>
      </c>
      <c r="K6" s="4" t="s">
        <v>14</v>
      </c>
      <c r="L6" s="4">
        <v>32.200000000000003</v>
      </c>
    </row>
    <row r="7" spans="1:12" x14ac:dyDescent="0.3">
      <c r="A7" s="2" t="s">
        <v>138</v>
      </c>
      <c r="B7" s="61" t="s">
        <v>21</v>
      </c>
      <c r="C7" s="61"/>
      <c r="D7" s="61"/>
      <c r="E7" s="47" t="s">
        <v>137</v>
      </c>
      <c r="F7" s="14">
        <v>1</v>
      </c>
      <c r="G7" s="23" t="s">
        <v>82</v>
      </c>
      <c r="H7" s="26" t="str">
        <f>HYPERLINK("#G7",CHAR(128))</f>
        <v>€</v>
      </c>
      <c r="K7" s="1" t="s">
        <v>15</v>
      </c>
      <c r="L7" s="1">
        <v>68.7</v>
      </c>
    </row>
    <row r="8" spans="1:12" x14ac:dyDescent="0.3">
      <c r="A8" s="3" t="s">
        <v>170</v>
      </c>
      <c r="B8" s="60" t="s">
        <v>19</v>
      </c>
      <c r="C8" s="60"/>
      <c r="D8" s="60"/>
      <c r="E8" s="46" t="s">
        <v>151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271.10000000000002</v>
      </c>
    </row>
    <row r="9" spans="1:12" x14ac:dyDescent="0.3">
      <c r="A9" s="2" t="s">
        <v>160</v>
      </c>
      <c r="B9" s="61" t="s">
        <v>20</v>
      </c>
      <c r="C9" s="61"/>
      <c r="D9" s="61"/>
      <c r="E9" s="47" t="s">
        <v>159</v>
      </c>
      <c r="F9" s="14">
        <v>1</v>
      </c>
      <c r="G9" s="23" t="s">
        <v>82</v>
      </c>
      <c r="H9" s="26" t="str">
        <f>HYPERLINK("#G9",CHAR(128))</f>
        <v>€</v>
      </c>
      <c r="I9" s="9"/>
      <c r="K9" s="1" t="s">
        <v>17</v>
      </c>
      <c r="L9" s="1">
        <v>101.4</v>
      </c>
    </row>
    <row r="10" spans="1:12" x14ac:dyDescent="0.3">
      <c r="A10" s="3" t="s">
        <v>239</v>
      </c>
      <c r="B10" s="60" t="s">
        <v>24</v>
      </c>
      <c r="C10" s="60"/>
      <c r="D10" s="60"/>
      <c r="E10" s="46" t="s">
        <v>238</v>
      </c>
      <c r="F10" s="4">
        <v>1</v>
      </c>
      <c r="G10" s="23" t="s">
        <v>82</v>
      </c>
      <c r="H10" s="26" t="str">
        <f>HYPERLINK("#G10",CHAR(128))</f>
        <v>€</v>
      </c>
      <c r="K10" s="13" t="s">
        <v>44</v>
      </c>
      <c r="L10" s="13">
        <v>7.3</v>
      </c>
    </row>
    <row r="11" spans="1:12" x14ac:dyDescent="0.3">
      <c r="A11" s="2" t="s">
        <v>142</v>
      </c>
      <c r="B11" s="61" t="s">
        <v>23</v>
      </c>
      <c r="C11" s="61"/>
      <c r="D11" s="61"/>
      <c r="E11" s="47" t="s">
        <v>141</v>
      </c>
      <c r="F11" s="14">
        <v>1</v>
      </c>
      <c r="G11" s="23" t="s">
        <v>233</v>
      </c>
      <c r="H11" s="26" t="str">
        <f>HYPERLINK("#G11",CHAR(128))</f>
        <v>€</v>
      </c>
    </row>
    <row r="12" spans="1:12" x14ac:dyDescent="0.3">
      <c r="A12" s="5" t="s">
        <v>84</v>
      </c>
      <c r="B12" s="60" t="s">
        <v>25</v>
      </c>
      <c r="C12" s="60"/>
      <c r="D12" s="60"/>
      <c r="E12" s="46" t="s">
        <v>83</v>
      </c>
      <c r="F12" s="4">
        <v>1</v>
      </c>
      <c r="G12" s="23" t="s">
        <v>82</v>
      </c>
      <c r="H12" s="26" t="str">
        <f>HYPERLINK("#G12",CHAR(128))</f>
        <v>€</v>
      </c>
    </row>
    <row r="13" spans="1:12" x14ac:dyDescent="0.3">
      <c r="A13" s="2" t="s">
        <v>86</v>
      </c>
      <c r="B13" s="61" t="s">
        <v>26</v>
      </c>
      <c r="C13" s="61"/>
      <c r="D13" s="61"/>
      <c r="E13" s="47" t="s">
        <v>85</v>
      </c>
      <c r="F13" s="14">
        <v>1</v>
      </c>
      <c r="G13" s="23" t="s">
        <v>43</v>
      </c>
      <c r="H13" s="26" t="str">
        <f>HYPERLINK("#G13",CHAR(128))</f>
        <v>€</v>
      </c>
    </row>
    <row r="14" spans="1:12" x14ac:dyDescent="0.3">
      <c r="A14" s="5" t="s">
        <v>241</v>
      </c>
      <c r="B14" s="60" t="s">
        <v>27</v>
      </c>
      <c r="C14" s="60"/>
      <c r="D14" s="60"/>
      <c r="E14" s="46" t="s">
        <v>240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118</v>
      </c>
      <c r="B17" s="61" t="s">
        <v>22</v>
      </c>
      <c r="C17" s="61"/>
      <c r="D17" s="61"/>
      <c r="E17" s="47" t="s">
        <v>139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146</v>
      </c>
      <c r="B18" s="60" t="s">
        <v>29</v>
      </c>
      <c r="C18" s="60"/>
      <c r="D18" s="60"/>
      <c r="E18" s="46" t="s">
        <v>145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122</v>
      </c>
      <c r="B19" s="61" t="s">
        <v>30</v>
      </c>
      <c r="C19" s="61"/>
      <c r="D19" s="61"/>
      <c r="E19" s="47" t="s">
        <v>121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242</v>
      </c>
      <c r="B21" s="61" t="s">
        <v>33</v>
      </c>
      <c r="C21" s="61"/>
      <c r="D21" s="61"/>
      <c r="E21" s="47" t="s">
        <v>238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147</v>
      </c>
      <c r="B22" s="60" t="s">
        <v>31</v>
      </c>
      <c r="C22" s="60"/>
      <c r="D22" s="60"/>
      <c r="E22" s="46" t="s">
        <v>140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166</v>
      </c>
      <c r="B23" s="61" t="s">
        <v>45</v>
      </c>
      <c r="C23" s="61"/>
      <c r="D23" s="61"/>
      <c r="E23" s="47" t="s">
        <v>159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 t="s">
        <v>244</v>
      </c>
      <c r="B24" s="60" t="s">
        <v>32</v>
      </c>
      <c r="C24" s="60"/>
      <c r="D24" s="60"/>
      <c r="E24" s="46" t="s">
        <v>243</v>
      </c>
      <c r="F24" s="4">
        <v>1</v>
      </c>
      <c r="G24" s="23" t="s">
        <v>82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Thompson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9" priority="3" operator="equal">
      <formula>"Returned"</formula>
    </cfRule>
    <cfRule type="cellIs" dxfId="38" priority="6" operator="equal">
      <formula>"Ready To Order"</formula>
    </cfRule>
    <cfRule type="cellIs" dxfId="37" priority="7" operator="equal">
      <formula>"UNP"</formula>
    </cfRule>
    <cfRule type="containsText" dxfId="36" priority="8" operator="containsText" text="Ordered">
      <formula>NOT(ISERROR(SEARCH("Ordered",G6)))</formula>
    </cfRule>
    <cfRule type="containsText" dxfId="35" priority="9" operator="containsText" text="Pick Up">
      <formula>NOT(ISERROR(SEARCH("Pick Up",G6)))</formula>
    </cfRule>
    <cfRule type="containsText" dxfId="34" priority="10" operator="containsText" text="Complete">
      <formula>NOT(ISERROR(SEARCH("Complete",G6)))</formula>
    </cfRule>
  </conditionalFormatting>
  <conditionalFormatting sqref="G30:G33">
    <cfRule type="containsText" dxfId="33" priority="5" operator="containsText" text="Given">
      <formula>NOT(ISERROR(SEARCH("Given",G30)))</formula>
    </cfRule>
  </conditionalFormatting>
  <conditionalFormatting sqref="G30:G34">
    <cfRule type="containsText" dxfId="32" priority="4" operator="containsText" text="Returned">
      <formula>NOT(ISERROR(SEARCH("Returned",G30)))</formula>
    </cfRule>
  </conditionalFormatting>
  <conditionalFormatting sqref="G6:G14 G21:G26 G16:G19">
    <cfRule type="cellIs" dxfId="31" priority="2" operator="equal">
      <formula>"In Stock"</formula>
    </cfRule>
  </conditionalFormatting>
  <conditionalFormatting sqref="G6:G14 G16:G19 G21:G24 G26">
    <cfRule type="cellIs" dxfId="30" priority="1" operator="equal">
      <formula>"Unknown"</formula>
    </cfRule>
  </conditionalFormatting>
  <dataValidations count="3">
    <dataValidation type="list" allowBlank="1" showInputMessage="1" showErrorMessage="1" sqref="G6:G14 G16:G19 G21:G24 G26" xr:uid="{F10E3A32-8B3C-4774-A8CF-C7EAD83D2990}">
      <formula1>"UNP, Ready To Order, Ordered, In Stock, Pick Up, Complete, Returned, Unknown"</formula1>
    </dataValidation>
    <dataValidation type="list" allowBlank="1" showInputMessage="1" showErrorMessage="1" sqref="G30:G34" xr:uid="{A19E5DC5-3896-48F7-908F-62E1FE257DD5}">
      <formula1>"--,Returned, Given"</formula1>
    </dataValidation>
    <dataValidation type="decimal" allowBlank="1" showInputMessage="1" showErrorMessage="1" sqref="L2" xr:uid="{76807F0C-EB60-4783-B4EA-C284D73E16B6}">
      <formula1>19</formula1>
      <formula2>26</formula2>
    </dataValidation>
  </dataValidations>
  <hyperlinks>
    <hyperlink ref="A1:A2" location="Menu!A1" display="Back to Menu" xr:uid="{E4433B8B-6855-4F94-974D-667E4CCD181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715C0-10B9-4DF5-BBE8-1ECEFCD9AABE}">
  <sheetPr codeName="Sheet23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245</v>
      </c>
      <c r="D2" s="61"/>
      <c r="E2" s="61" t="s">
        <v>202</v>
      </c>
      <c r="F2" s="61"/>
      <c r="G2" s="1" t="s">
        <v>246</v>
      </c>
      <c r="K2" s="4" t="s">
        <v>9</v>
      </c>
      <c r="L2" s="4">
        <v>24.3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19.3</v>
      </c>
    </row>
    <row r="4" spans="1:12" x14ac:dyDescent="0.3">
      <c r="A4" s="1" t="s">
        <v>39</v>
      </c>
      <c r="B4" s="66">
        <v>7853667770</v>
      </c>
      <c r="C4" s="66"/>
      <c r="D4" s="66"/>
      <c r="E4" s="61" t="s">
        <v>80</v>
      </c>
      <c r="F4" s="61"/>
      <c r="G4" s="1" t="s">
        <v>81</v>
      </c>
      <c r="K4" s="4" t="s">
        <v>12</v>
      </c>
      <c r="L4" s="4">
        <v>29.6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33.200000000000003</v>
      </c>
    </row>
    <row r="6" spans="1:12" x14ac:dyDescent="0.3">
      <c r="A6" s="3" t="s">
        <v>248</v>
      </c>
      <c r="B6" s="60" t="s">
        <v>18</v>
      </c>
      <c r="C6" s="60"/>
      <c r="D6" s="60"/>
      <c r="E6" s="46" t="s">
        <v>247</v>
      </c>
      <c r="F6" s="4">
        <v>1</v>
      </c>
      <c r="G6" s="23" t="s">
        <v>233</v>
      </c>
      <c r="H6" s="26" t="str">
        <f>HYPERLINK("#G6",CHAR(128))</f>
        <v>€</v>
      </c>
      <c r="K6" s="4" t="s">
        <v>14</v>
      </c>
      <c r="L6" s="4">
        <v>41.2</v>
      </c>
    </row>
    <row r="7" spans="1:12" x14ac:dyDescent="0.3">
      <c r="A7" s="2" t="s">
        <v>250</v>
      </c>
      <c r="B7" s="61" t="s">
        <v>21</v>
      </c>
      <c r="C7" s="61"/>
      <c r="D7" s="61"/>
      <c r="E7" s="47" t="s">
        <v>249</v>
      </c>
      <c r="F7" s="14">
        <v>1</v>
      </c>
      <c r="G7" s="23" t="s">
        <v>233</v>
      </c>
      <c r="H7" s="26" t="str">
        <f>HYPERLINK("#G7",CHAR(128))</f>
        <v>€</v>
      </c>
      <c r="K7" s="1" t="s">
        <v>15</v>
      </c>
      <c r="L7" s="1">
        <v>57.9</v>
      </c>
    </row>
    <row r="8" spans="1:12" x14ac:dyDescent="0.3">
      <c r="A8" s="3" t="s">
        <v>92</v>
      </c>
      <c r="B8" s="60" t="s">
        <v>19</v>
      </c>
      <c r="C8" s="60"/>
      <c r="D8" s="60"/>
      <c r="E8" s="46" t="s">
        <v>139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245.4</v>
      </c>
    </row>
    <row r="9" spans="1:12" x14ac:dyDescent="0.3">
      <c r="A9" s="2" t="s">
        <v>252</v>
      </c>
      <c r="B9" s="61" t="s">
        <v>20</v>
      </c>
      <c r="C9" s="61"/>
      <c r="D9" s="61"/>
      <c r="E9" s="47" t="s">
        <v>251</v>
      </c>
      <c r="F9" s="14">
        <v>1</v>
      </c>
      <c r="G9" s="23" t="s">
        <v>82</v>
      </c>
      <c r="H9" s="26" t="str">
        <f>HYPERLINK("#G9",CHAR(128))</f>
        <v>€</v>
      </c>
      <c r="I9" s="9"/>
      <c r="K9" s="1" t="s">
        <v>17</v>
      </c>
      <c r="L9" s="1">
        <v>128.1</v>
      </c>
    </row>
    <row r="10" spans="1:12" x14ac:dyDescent="0.3">
      <c r="A10" s="3" t="s">
        <v>210</v>
      </c>
      <c r="B10" s="60" t="s">
        <v>24</v>
      </c>
      <c r="C10" s="60"/>
      <c r="D10" s="60"/>
      <c r="E10" s="46" t="s">
        <v>209</v>
      </c>
      <c r="F10" s="4">
        <v>1</v>
      </c>
      <c r="G10" s="23" t="s">
        <v>82</v>
      </c>
      <c r="H10" s="26" t="str">
        <f>HYPERLINK("#G10",CHAR(128))</f>
        <v>€</v>
      </c>
      <c r="K10" s="13" t="s">
        <v>44</v>
      </c>
      <c r="L10" s="13">
        <v>6.3</v>
      </c>
    </row>
    <row r="11" spans="1:12" x14ac:dyDescent="0.3">
      <c r="A11" s="2" t="s">
        <v>102</v>
      </c>
      <c r="B11" s="61" t="s">
        <v>23</v>
      </c>
      <c r="C11" s="61"/>
      <c r="D11" s="61"/>
      <c r="E11" s="47" t="s">
        <v>101</v>
      </c>
      <c r="F11" s="14">
        <v>1</v>
      </c>
      <c r="G11" s="23" t="s">
        <v>82</v>
      </c>
      <c r="H11" s="26" t="str">
        <f>HYPERLINK("#G11",CHAR(128))</f>
        <v>€</v>
      </c>
    </row>
    <row r="12" spans="1:12" x14ac:dyDescent="0.3">
      <c r="A12" s="5" t="s">
        <v>96</v>
      </c>
      <c r="B12" s="60" t="s">
        <v>25</v>
      </c>
      <c r="C12" s="60"/>
      <c r="D12" s="60"/>
      <c r="E12" s="46" t="s">
        <v>95</v>
      </c>
      <c r="F12" s="4">
        <v>1</v>
      </c>
      <c r="G12" s="23" t="s">
        <v>82</v>
      </c>
      <c r="H12" s="26" t="str">
        <f>HYPERLINK("#G12",CHAR(128))</f>
        <v>€</v>
      </c>
    </row>
    <row r="13" spans="1:12" x14ac:dyDescent="0.3">
      <c r="A13" s="2" t="s">
        <v>152</v>
      </c>
      <c r="B13" s="61" t="s">
        <v>26</v>
      </c>
      <c r="C13" s="61"/>
      <c r="D13" s="61"/>
      <c r="E13" s="47" t="s">
        <v>151</v>
      </c>
      <c r="F13" s="14">
        <v>1</v>
      </c>
      <c r="G13" s="23" t="s">
        <v>82</v>
      </c>
      <c r="H13" s="26" t="str">
        <f>HYPERLINK("#G13",CHAR(128))</f>
        <v>€</v>
      </c>
    </row>
    <row r="14" spans="1:12" x14ac:dyDescent="0.3">
      <c r="A14" s="5" t="s">
        <v>100</v>
      </c>
      <c r="B14" s="60" t="s">
        <v>27</v>
      </c>
      <c r="C14" s="60"/>
      <c r="D14" s="60"/>
      <c r="E14" s="46" t="s">
        <v>99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106</v>
      </c>
      <c r="B17" s="61" t="s">
        <v>22</v>
      </c>
      <c r="C17" s="61"/>
      <c r="D17" s="61"/>
      <c r="E17" s="47" t="s">
        <v>105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120</v>
      </c>
      <c r="B18" s="60" t="s">
        <v>29</v>
      </c>
      <c r="C18" s="60"/>
      <c r="D18" s="60"/>
      <c r="E18" s="46" t="s">
        <v>119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134</v>
      </c>
      <c r="B19" s="61" t="s">
        <v>30</v>
      </c>
      <c r="C19" s="61"/>
      <c r="D19" s="61"/>
      <c r="E19" s="47" t="s">
        <v>133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213</v>
      </c>
      <c r="B21" s="61" t="s">
        <v>33</v>
      </c>
      <c r="C21" s="61"/>
      <c r="D21" s="61"/>
      <c r="E21" s="47" t="s">
        <v>209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108</v>
      </c>
      <c r="B22" s="60" t="s">
        <v>31</v>
      </c>
      <c r="C22" s="60"/>
      <c r="D22" s="60"/>
      <c r="E22" s="46" t="s">
        <v>107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130</v>
      </c>
      <c r="B23" s="61" t="s">
        <v>45</v>
      </c>
      <c r="C23" s="61"/>
      <c r="D23" s="61"/>
      <c r="E23" s="47" t="s">
        <v>129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/>
      <c r="B24" s="60" t="s">
        <v>32</v>
      </c>
      <c r="C24" s="60"/>
      <c r="D24" s="60"/>
      <c r="E24" s="46"/>
      <c r="F24" s="4">
        <v>1</v>
      </c>
      <c r="G24" s="23" t="s">
        <v>43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Martin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9" priority="3" operator="equal">
      <formula>"Returned"</formula>
    </cfRule>
    <cfRule type="cellIs" dxfId="28" priority="6" operator="equal">
      <formula>"Ready To Order"</formula>
    </cfRule>
    <cfRule type="cellIs" dxfId="27" priority="7" operator="equal">
      <formula>"UNP"</formula>
    </cfRule>
    <cfRule type="containsText" dxfId="26" priority="8" operator="containsText" text="Ordered">
      <formula>NOT(ISERROR(SEARCH("Ordered",G6)))</formula>
    </cfRule>
    <cfRule type="containsText" dxfId="25" priority="9" operator="containsText" text="Pick Up">
      <formula>NOT(ISERROR(SEARCH("Pick Up",G6)))</formula>
    </cfRule>
    <cfRule type="containsText" dxfId="24" priority="10" operator="containsText" text="Complete">
      <formula>NOT(ISERROR(SEARCH("Complete",G6)))</formula>
    </cfRule>
  </conditionalFormatting>
  <conditionalFormatting sqref="G30:G33">
    <cfRule type="containsText" dxfId="23" priority="5" operator="containsText" text="Given">
      <formula>NOT(ISERROR(SEARCH("Given",G30)))</formula>
    </cfRule>
  </conditionalFormatting>
  <conditionalFormatting sqref="G30:G34">
    <cfRule type="containsText" dxfId="22" priority="4" operator="containsText" text="Returned">
      <formula>NOT(ISERROR(SEARCH("Returned",G30)))</formula>
    </cfRule>
  </conditionalFormatting>
  <conditionalFormatting sqref="G6:G14 G21:G26 G16:G19">
    <cfRule type="cellIs" dxfId="21" priority="2" operator="equal">
      <formula>"In Stock"</formula>
    </cfRule>
  </conditionalFormatting>
  <conditionalFormatting sqref="G6:G14 G16:G19 G21:G24 G26">
    <cfRule type="cellIs" dxfId="20" priority="1" operator="equal">
      <formula>"Unknown"</formula>
    </cfRule>
  </conditionalFormatting>
  <dataValidations count="3">
    <dataValidation type="list" allowBlank="1" showInputMessage="1" showErrorMessage="1" sqref="G6:G14 G16:G19 G21:G24 G26" xr:uid="{5542EF56-3F4A-4206-8899-D5BBC7E5CFE1}">
      <formula1>"UNP, Ready To Order, Ordered, In Stock, Pick Up, Complete, Returned, Unknown"</formula1>
    </dataValidation>
    <dataValidation type="list" allowBlank="1" showInputMessage="1" showErrorMessage="1" sqref="G30:G34" xr:uid="{CBB54791-AB72-4ACA-B3D8-D354598CBC92}">
      <formula1>"--,Returned, Given"</formula1>
    </dataValidation>
    <dataValidation type="decimal" allowBlank="1" showInputMessage="1" showErrorMessage="1" sqref="L2" xr:uid="{01050539-47CC-47B5-AF72-387083D19180}">
      <formula1>19</formula1>
      <formula2>26</formula2>
    </dataValidation>
  </dataValidations>
  <hyperlinks>
    <hyperlink ref="A1:A2" location="Menu!A1" display="Back to Menu" xr:uid="{1AC68EC0-8317-4D04-8983-523E7384AEB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A77C3-4C2D-4E25-9899-9B5018A89613}">
  <sheetPr codeName="Sheet24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234</v>
      </c>
      <c r="D2" s="61"/>
      <c r="E2" s="61" t="s">
        <v>190</v>
      </c>
      <c r="F2" s="61"/>
      <c r="G2" s="1" t="s">
        <v>254</v>
      </c>
      <c r="K2" s="4" t="s">
        <v>9</v>
      </c>
      <c r="L2" s="4">
        <v>24.3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15.9</v>
      </c>
    </row>
    <row r="4" spans="1:12" x14ac:dyDescent="0.3">
      <c r="A4" s="1" t="s">
        <v>39</v>
      </c>
      <c r="B4" s="66">
        <v>7345806215</v>
      </c>
      <c r="C4" s="66"/>
      <c r="D4" s="66"/>
      <c r="E4" s="61" t="s">
        <v>80</v>
      </c>
      <c r="F4" s="61"/>
      <c r="G4" s="1" t="s">
        <v>94</v>
      </c>
      <c r="K4" s="4" t="s">
        <v>12</v>
      </c>
      <c r="L4" s="4">
        <v>29.6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40.9</v>
      </c>
    </row>
    <row r="6" spans="1:12" x14ac:dyDescent="0.3">
      <c r="A6" s="3" t="s">
        <v>156</v>
      </c>
      <c r="B6" s="60" t="s">
        <v>18</v>
      </c>
      <c r="C6" s="60"/>
      <c r="D6" s="60"/>
      <c r="E6" s="46" t="s">
        <v>155</v>
      </c>
      <c r="F6" s="4">
        <v>1</v>
      </c>
      <c r="G6" s="23" t="s">
        <v>82</v>
      </c>
      <c r="H6" s="26" t="str">
        <f>HYPERLINK("#G6",CHAR(128))</f>
        <v>€</v>
      </c>
      <c r="K6" s="4" t="s">
        <v>14</v>
      </c>
      <c r="L6" s="4">
        <v>39.799999999999997</v>
      </c>
    </row>
    <row r="7" spans="1:12" x14ac:dyDescent="0.3">
      <c r="A7" s="2" t="s">
        <v>138</v>
      </c>
      <c r="B7" s="61" t="s">
        <v>21</v>
      </c>
      <c r="C7" s="61"/>
      <c r="D7" s="61"/>
      <c r="E7" s="47" t="s">
        <v>137</v>
      </c>
      <c r="F7" s="14">
        <v>1</v>
      </c>
      <c r="G7" s="23" t="s">
        <v>82</v>
      </c>
      <c r="H7" s="26" t="str">
        <f>HYPERLINK("#G7",CHAR(128))</f>
        <v>€</v>
      </c>
      <c r="K7" s="1" t="s">
        <v>15</v>
      </c>
      <c r="L7" s="1">
        <v>69.7</v>
      </c>
    </row>
    <row r="8" spans="1:12" x14ac:dyDescent="0.3">
      <c r="A8" s="3" t="s">
        <v>92</v>
      </c>
      <c r="B8" s="60" t="s">
        <v>19</v>
      </c>
      <c r="C8" s="60"/>
      <c r="D8" s="60"/>
      <c r="E8" s="46" t="s">
        <v>139</v>
      </c>
      <c r="F8" s="4">
        <v>1</v>
      </c>
      <c r="G8" s="23" t="s">
        <v>82</v>
      </c>
      <c r="H8" s="26" t="str">
        <f>HYPERLINK("#G8",CHAR(128))</f>
        <v>€</v>
      </c>
      <c r="K8" s="4" t="s">
        <v>16</v>
      </c>
      <c r="L8" s="4">
        <v>305.10000000000002</v>
      </c>
    </row>
    <row r="9" spans="1:12" x14ac:dyDescent="0.3">
      <c r="A9" s="2" t="s">
        <v>160</v>
      </c>
      <c r="B9" s="61" t="s">
        <v>20</v>
      </c>
      <c r="C9" s="61"/>
      <c r="D9" s="61"/>
      <c r="E9" s="47" t="s">
        <v>159</v>
      </c>
      <c r="F9" s="14">
        <v>1</v>
      </c>
      <c r="G9" s="23" t="s">
        <v>82</v>
      </c>
      <c r="H9" s="26" t="str">
        <f>HYPERLINK("#G9",CHAR(128))</f>
        <v>€</v>
      </c>
      <c r="I9" s="9"/>
      <c r="K9" s="1" t="s">
        <v>17</v>
      </c>
      <c r="L9" s="1">
        <v>92.2</v>
      </c>
    </row>
    <row r="10" spans="1:12" x14ac:dyDescent="0.3">
      <c r="A10" s="3" t="s">
        <v>210</v>
      </c>
      <c r="B10" s="60" t="s">
        <v>24</v>
      </c>
      <c r="C10" s="60"/>
      <c r="D10" s="60"/>
      <c r="E10" s="46" t="s">
        <v>209</v>
      </c>
      <c r="F10" s="4">
        <v>1</v>
      </c>
      <c r="G10" s="23" t="s">
        <v>82</v>
      </c>
      <c r="H10" s="26" t="str">
        <f>HYPERLINK("#G10",CHAR(128))</f>
        <v>€</v>
      </c>
      <c r="K10" s="13" t="s">
        <v>44</v>
      </c>
      <c r="L10" s="13">
        <v>8</v>
      </c>
    </row>
    <row r="11" spans="1:12" x14ac:dyDescent="0.3">
      <c r="A11" s="2" t="s">
        <v>142</v>
      </c>
      <c r="B11" s="61" t="s">
        <v>23</v>
      </c>
      <c r="C11" s="61"/>
      <c r="D11" s="61"/>
      <c r="E11" s="47" t="s">
        <v>141</v>
      </c>
      <c r="F11" s="14">
        <v>1</v>
      </c>
      <c r="G11" s="23" t="s">
        <v>43</v>
      </c>
      <c r="H11" s="26" t="str">
        <f>HYPERLINK("#G11",CHAR(128))</f>
        <v>€</v>
      </c>
    </row>
    <row r="12" spans="1:12" x14ac:dyDescent="0.3">
      <c r="A12" s="5" t="s">
        <v>84</v>
      </c>
      <c r="B12" s="60" t="s">
        <v>25</v>
      </c>
      <c r="C12" s="60"/>
      <c r="D12" s="60"/>
      <c r="E12" s="46" t="s">
        <v>83</v>
      </c>
      <c r="F12" s="4">
        <v>1</v>
      </c>
      <c r="G12" s="23" t="s">
        <v>82</v>
      </c>
      <c r="H12" s="26" t="str">
        <f>HYPERLINK("#G12",CHAR(128))</f>
        <v>€</v>
      </c>
    </row>
    <row r="13" spans="1:12" x14ac:dyDescent="0.3">
      <c r="A13" s="2" t="s">
        <v>86</v>
      </c>
      <c r="B13" s="61" t="s">
        <v>26</v>
      </c>
      <c r="C13" s="61"/>
      <c r="D13" s="61"/>
      <c r="E13" s="47" t="s">
        <v>85</v>
      </c>
      <c r="F13" s="14">
        <v>1</v>
      </c>
      <c r="G13" s="23" t="s">
        <v>43</v>
      </c>
      <c r="H13" s="26" t="str">
        <f>HYPERLINK("#G13",CHAR(128))</f>
        <v>€</v>
      </c>
    </row>
    <row r="14" spans="1:12" x14ac:dyDescent="0.3">
      <c r="A14" s="5" t="s">
        <v>256</v>
      </c>
      <c r="B14" s="60" t="s">
        <v>27</v>
      </c>
      <c r="C14" s="60"/>
      <c r="D14" s="60"/>
      <c r="E14" s="46" t="s">
        <v>255</v>
      </c>
      <c r="F14" s="4">
        <v>1</v>
      </c>
      <c r="G14" s="23" t="s">
        <v>82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88</v>
      </c>
      <c r="B16" s="60" t="s">
        <v>28</v>
      </c>
      <c r="C16" s="60"/>
      <c r="D16" s="60"/>
      <c r="E16" s="46" t="s">
        <v>87</v>
      </c>
      <c r="F16" s="4">
        <v>1</v>
      </c>
      <c r="G16" s="23" t="s">
        <v>82</v>
      </c>
      <c r="H16" s="21" t="str">
        <f>HYPERLINK("#G16",CHAR(128))</f>
        <v>€</v>
      </c>
    </row>
    <row r="17" spans="1:10" x14ac:dyDescent="0.3">
      <c r="A17" s="2" t="s">
        <v>106</v>
      </c>
      <c r="B17" s="61" t="s">
        <v>22</v>
      </c>
      <c r="C17" s="61"/>
      <c r="D17" s="61"/>
      <c r="E17" s="47" t="s">
        <v>105</v>
      </c>
      <c r="F17" s="14">
        <v>1</v>
      </c>
      <c r="G17" s="23" t="s">
        <v>82</v>
      </c>
      <c r="H17" s="21" t="str">
        <f>HYPERLINK("#G17",CHAR(128))</f>
        <v>€</v>
      </c>
    </row>
    <row r="18" spans="1:10" x14ac:dyDescent="0.3">
      <c r="A18" s="5" t="s">
        <v>146</v>
      </c>
      <c r="B18" s="60" t="s">
        <v>29</v>
      </c>
      <c r="C18" s="60"/>
      <c r="D18" s="60"/>
      <c r="E18" s="46" t="s">
        <v>145</v>
      </c>
      <c r="F18" s="4">
        <v>1</v>
      </c>
      <c r="G18" s="23" t="s">
        <v>82</v>
      </c>
      <c r="H18" s="21" t="str">
        <f>HYPERLINK("#G18",CHAR(128))</f>
        <v>€</v>
      </c>
    </row>
    <row r="19" spans="1:10" x14ac:dyDescent="0.3">
      <c r="A19" s="2" t="s">
        <v>122</v>
      </c>
      <c r="B19" s="61" t="s">
        <v>30</v>
      </c>
      <c r="C19" s="61"/>
      <c r="D19" s="61"/>
      <c r="E19" s="47" t="s">
        <v>121</v>
      </c>
      <c r="F19" s="14">
        <v>1</v>
      </c>
      <c r="G19" s="23" t="s">
        <v>82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213</v>
      </c>
      <c r="B21" s="61" t="s">
        <v>33</v>
      </c>
      <c r="C21" s="61"/>
      <c r="D21" s="61"/>
      <c r="E21" s="47" t="s">
        <v>209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147</v>
      </c>
      <c r="B22" s="60" t="s">
        <v>31</v>
      </c>
      <c r="C22" s="60"/>
      <c r="D22" s="60"/>
      <c r="E22" s="46" t="s">
        <v>140</v>
      </c>
      <c r="F22" s="4">
        <v>1</v>
      </c>
      <c r="G22" s="23" t="s">
        <v>82</v>
      </c>
      <c r="H22" s="21" t="str">
        <f>HYPERLINK("#G22",CHAR(128))</f>
        <v>€</v>
      </c>
    </row>
    <row r="23" spans="1:10" x14ac:dyDescent="0.3">
      <c r="A23" s="2" t="s">
        <v>166</v>
      </c>
      <c r="B23" s="61" t="s">
        <v>45</v>
      </c>
      <c r="C23" s="61"/>
      <c r="D23" s="61"/>
      <c r="E23" s="47" t="s">
        <v>159</v>
      </c>
      <c r="F23" s="14">
        <v>1</v>
      </c>
      <c r="G23" s="23" t="s">
        <v>82</v>
      </c>
      <c r="H23" s="20" t="str">
        <f>HYPERLINK("#G23",CHAR(128))</f>
        <v>€</v>
      </c>
    </row>
    <row r="24" spans="1:10" x14ac:dyDescent="0.3">
      <c r="A24" s="5" t="s">
        <v>258</v>
      </c>
      <c r="B24" s="60" t="s">
        <v>32</v>
      </c>
      <c r="C24" s="60"/>
      <c r="D24" s="60"/>
      <c r="E24" s="46" t="s">
        <v>257</v>
      </c>
      <c r="F24" s="4">
        <v>1</v>
      </c>
      <c r="G24" s="23" t="s">
        <v>82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Thompson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8947964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9" priority="3" operator="equal">
      <formula>"Returned"</formula>
    </cfRule>
    <cfRule type="cellIs" dxfId="18" priority="6" operator="equal">
      <formula>"Ready To Order"</formula>
    </cfRule>
    <cfRule type="cellIs" dxfId="17" priority="7" operator="equal">
      <formula>"UNP"</formula>
    </cfRule>
    <cfRule type="containsText" dxfId="16" priority="8" operator="containsText" text="Ordered">
      <formula>NOT(ISERROR(SEARCH("Ordered",G6)))</formula>
    </cfRule>
    <cfRule type="containsText" dxfId="15" priority="9" operator="containsText" text="Pick Up">
      <formula>NOT(ISERROR(SEARCH("Pick Up",G6)))</formula>
    </cfRule>
    <cfRule type="containsText" dxfId="14" priority="10" operator="containsText" text="Complete">
      <formula>NOT(ISERROR(SEARCH("Complete",G6)))</formula>
    </cfRule>
  </conditionalFormatting>
  <conditionalFormatting sqref="G30:G33">
    <cfRule type="containsText" dxfId="13" priority="5" operator="containsText" text="Given">
      <formula>NOT(ISERROR(SEARCH("Given",G30)))</formula>
    </cfRule>
  </conditionalFormatting>
  <conditionalFormatting sqref="G30:G34">
    <cfRule type="containsText" dxfId="12" priority="4" operator="containsText" text="Returned">
      <formula>NOT(ISERROR(SEARCH("Returned",G30)))</formula>
    </cfRule>
  </conditionalFormatting>
  <conditionalFormatting sqref="G6:G14 G21:G26 G16:G19">
    <cfRule type="cellIs" dxfId="11" priority="2" operator="equal">
      <formula>"In Stock"</formula>
    </cfRule>
  </conditionalFormatting>
  <conditionalFormatting sqref="G6:G14 G16:G19 G21:G24 G26">
    <cfRule type="cellIs" dxfId="10" priority="1" operator="equal">
      <formula>"Unknown"</formula>
    </cfRule>
  </conditionalFormatting>
  <dataValidations count="3">
    <dataValidation type="list" allowBlank="1" showInputMessage="1" showErrorMessage="1" sqref="G6:G14 G16:G19 G21:G24 G26" xr:uid="{86FAE380-4772-4163-B6AD-DA7444B3401D}">
      <formula1>"UNP, Ready To Order, Ordered, In Stock, Pick Up, Complete, Returned, Unknown"</formula1>
    </dataValidation>
    <dataValidation type="list" allowBlank="1" showInputMessage="1" showErrorMessage="1" sqref="G30:G34" xr:uid="{50499D73-6587-4212-86FC-E98B4738BAFB}">
      <formula1>"--,Returned, Given"</formula1>
    </dataValidation>
    <dataValidation type="decimal" allowBlank="1" showInputMessage="1" showErrorMessage="1" sqref="L2" xr:uid="{3BDA6CD7-FAFC-491D-BADA-818D40397927}">
      <formula1>19</formula1>
      <formula2>26</formula2>
    </dataValidation>
  </dataValidations>
  <hyperlinks>
    <hyperlink ref="A1:A2" location="Menu!A1" display="Back to Menu" xr:uid="{6FF96A7E-F5BB-489F-AD14-C84F78F9197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5.05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" customHeight="1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ht="17.2" customHeight="1" x14ac:dyDescent="0.3">
      <c r="A2" s="68"/>
      <c r="B2" s="2"/>
      <c r="C2" s="61"/>
      <c r="D2" s="61"/>
      <c r="E2" s="61"/>
      <c r="F2" s="61"/>
      <c r="G2" s="1"/>
      <c r="K2" s="4" t="s">
        <v>9</v>
      </c>
      <c r="L2" s="4"/>
    </row>
    <row r="3" spans="1:12" ht="17.2" customHeight="1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66"/>
      <c r="C4" s="66"/>
      <c r="D4" s="66"/>
      <c r="E4" s="61"/>
      <c r="F4" s="61"/>
      <c r="G4" s="1"/>
      <c r="K4" s="4" t="s">
        <v>12</v>
      </c>
      <c r="L4" s="4"/>
    </row>
    <row r="5" spans="1:12" ht="17.2" customHeight="1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" customHeight="1" x14ac:dyDescent="0.3">
      <c r="A6" s="3"/>
      <c r="B6" s="60" t="s">
        <v>18</v>
      </c>
      <c r="C6" s="60"/>
      <c r="D6" s="60"/>
      <c r="E6" s="46"/>
      <c r="F6" s="4">
        <v>1</v>
      </c>
      <c r="G6" s="23" t="s">
        <v>43</v>
      </c>
      <c r="H6" s="26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61" t="s">
        <v>21</v>
      </c>
      <c r="C7" s="61"/>
      <c r="D7" s="61"/>
      <c r="E7" s="47"/>
      <c r="F7" s="14">
        <v>1</v>
      </c>
      <c r="G7" s="23" t="s">
        <v>43</v>
      </c>
      <c r="H7" s="26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60" t="s">
        <v>19</v>
      </c>
      <c r="C8" s="60"/>
      <c r="D8" s="60"/>
      <c r="E8" s="46"/>
      <c r="F8" s="4">
        <v>1</v>
      </c>
      <c r="G8" s="23" t="s">
        <v>43</v>
      </c>
      <c r="H8" s="26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61" t="s">
        <v>20</v>
      </c>
      <c r="C9" s="61"/>
      <c r="D9" s="61"/>
      <c r="E9" s="47"/>
      <c r="F9" s="14">
        <v>1</v>
      </c>
      <c r="G9" s="23" t="s">
        <v>43</v>
      </c>
      <c r="H9" s="26" t="str">
        <f>HYPERLINK("#G9",CHAR(128))</f>
        <v>€</v>
      </c>
      <c r="I9" s="9"/>
      <c r="K9" s="1" t="s">
        <v>17</v>
      </c>
      <c r="L9" s="1"/>
    </row>
    <row r="10" spans="1:12" ht="17.2" customHeight="1" x14ac:dyDescent="0.3">
      <c r="A10" s="3"/>
      <c r="B10" s="60" t="s">
        <v>24</v>
      </c>
      <c r="C10" s="60"/>
      <c r="D10" s="60"/>
      <c r="E10" s="46"/>
      <c r="F10" s="4">
        <v>1</v>
      </c>
      <c r="G10" s="23" t="s">
        <v>43</v>
      </c>
      <c r="H10" s="26" t="str">
        <f>HYPERLINK("#G10",CHAR(128))</f>
        <v>€</v>
      </c>
      <c r="K10" s="13" t="s">
        <v>44</v>
      </c>
      <c r="L10" s="13"/>
    </row>
    <row r="11" spans="1:12" ht="17.2" customHeight="1" x14ac:dyDescent="0.3">
      <c r="A11" s="2"/>
      <c r="B11" s="61" t="s">
        <v>23</v>
      </c>
      <c r="C11" s="61"/>
      <c r="D11" s="61"/>
      <c r="E11" s="47"/>
      <c r="F11" s="14">
        <v>1</v>
      </c>
      <c r="G11" s="23" t="s">
        <v>43</v>
      </c>
      <c r="H11" s="26" t="str">
        <f>HYPERLINK("#G11",CHAR(128))</f>
        <v>€</v>
      </c>
    </row>
    <row r="12" spans="1:12" ht="17.2" customHeight="1" x14ac:dyDescent="0.3">
      <c r="A12" s="5"/>
      <c r="B12" s="60" t="s">
        <v>25</v>
      </c>
      <c r="C12" s="60"/>
      <c r="D12" s="60"/>
      <c r="E12" s="46"/>
      <c r="F12" s="4">
        <v>1</v>
      </c>
      <c r="G12" s="23" t="s">
        <v>43</v>
      </c>
      <c r="H12" s="26" t="str">
        <f>HYPERLINK("#G12",CHAR(128))</f>
        <v>€</v>
      </c>
    </row>
    <row r="13" spans="1:12" ht="17.2" customHeight="1" x14ac:dyDescent="0.3">
      <c r="A13" s="2"/>
      <c r="B13" s="61" t="s">
        <v>26</v>
      </c>
      <c r="C13" s="61"/>
      <c r="D13" s="61"/>
      <c r="E13" s="47"/>
      <c r="F13" s="14">
        <v>1</v>
      </c>
      <c r="G13" s="23" t="s">
        <v>43</v>
      </c>
      <c r="H13" s="26" t="str">
        <f>HYPERLINK("#G13",CHAR(128))</f>
        <v>€</v>
      </c>
    </row>
    <row r="14" spans="1:12" ht="17.2" customHeight="1" x14ac:dyDescent="0.3">
      <c r="A14" s="5"/>
      <c r="B14" s="60" t="s">
        <v>27</v>
      </c>
      <c r="C14" s="60"/>
      <c r="D14" s="60"/>
      <c r="E14" s="46"/>
      <c r="F14" s="4">
        <v>1</v>
      </c>
      <c r="G14" s="23" t="s">
        <v>43</v>
      </c>
      <c r="H14" s="26" t="str">
        <f>HYPERLINK("#G14",CHAR(128))</f>
        <v>€</v>
      </c>
    </row>
    <row r="15" spans="1:12" ht="17.2" customHeight="1" x14ac:dyDescent="0.3">
      <c r="A15" s="2"/>
      <c r="B15" s="62"/>
      <c r="C15" s="62"/>
      <c r="D15" s="62"/>
      <c r="E15" s="47"/>
      <c r="F15" s="14"/>
      <c r="G15" s="14"/>
      <c r="H15" s="12"/>
    </row>
    <row r="16" spans="1:12" ht="17.2" customHeight="1" x14ac:dyDescent="0.3">
      <c r="A16" s="5"/>
      <c r="B16" s="60" t="s">
        <v>28</v>
      </c>
      <c r="C16" s="60"/>
      <c r="D16" s="60"/>
      <c r="E16" s="46"/>
      <c r="F16" s="4">
        <v>1</v>
      </c>
      <c r="G16" s="23" t="s">
        <v>43</v>
      </c>
      <c r="H16" s="21" t="str">
        <f>HYPERLINK("#G16",CHAR(128))</f>
        <v>€</v>
      </c>
    </row>
    <row r="17" spans="1:14" ht="17.2" customHeight="1" x14ac:dyDescent="0.3">
      <c r="A17" s="2"/>
      <c r="B17" s="61" t="s">
        <v>22</v>
      </c>
      <c r="C17" s="61"/>
      <c r="D17" s="61"/>
      <c r="E17" s="47"/>
      <c r="F17" s="14">
        <v>1</v>
      </c>
      <c r="G17" s="23" t="s">
        <v>43</v>
      </c>
      <c r="H17" s="21" t="str">
        <f>HYPERLINK("#G17",CHAR(128))</f>
        <v>€</v>
      </c>
    </row>
    <row r="18" spans="1:14" ht="17.2" customHeight="1" x14ac:dyDescent="0.3">
      <c r="A18" s="5"/>
      <c r="B18" s="60" t="s">
        <v>29</v>
      </c>
      <c r="C18" s="60"/>
      <c r="D18" s="60"/>
      <c r="E18" s="46"/>
      <c r="F18" s="4">
        <v>1</v>
      </c>
      <c r="G18" s="23" t="s">
        <v>43</v>
      </c>
      <c r="H18" s="21" t="str">
        <f>HYPERLINK("#G18",CHAR(128))</f>
        <v>€</v>
      </c>
    </row>
    <row r="19" spans="1:14" ht="17.2" customHeight="1" x14ac:dyDescent="0.3">
      <c r="A19" s="2"/>
      <c r="B19" s="61" t="s">
        <v>30</v>
      </c>
      <c r="C19" s="61"/>
      <c r="D19" s="61"/>
      <c r="E19" s="47"/>
      <c r="F19" s="14">
        <v>1</v>
      </c>
      <c r="G19" s="23" t="s">
        <v>43</v>
      </c>
      <c r="H19" s="21" t="str">
        <f>HYPERLINK("#G19",CHAR(128))</f>
        <v>€</v>
      </c>
    </row>
    <row r="20" spans="1:14" ht="17.2" customHeight="1" x14ac:dyDescent="0.3">
      <c r="A20" s="5"/>
      <c r="B20" s="63"/>
      <c r="C20" s="64"/>
      <c r="D20" s="65"/>
      <c r="E20" s="46"/>
      <c r="F20" s="4"/>
      <c r="G20" s="4"/>
      <c r="H20" s="12"/>
    </row>
    <row r="21" spans="1:14" ht="14.4" x14ac:dyDescent="0.3">
      <c r="A21" s="2"/>
      <c r="B21" s="61" t="s">
        <v>33</v>
      </c>
      <c r="C21" s="61"/>
      <c r="D21" s="61"/>
      <c r="E21" s="47"/>
      <c r="F21" s="14">
        <v>1</v>
      </c>
      <c r="G21" s="23" t="s">
        <v>43</v>
      </c>
      <c r="H21" s="21" t="str">
        <f>HYPERLINK("#G21",CHAR(128))</f>
        <v>€</v>
      </c>
    </row>
    <row r="22" spans="1:14" ht="14.4" x14ac:dyDescent="0.3">
      <c r="A22" s="5"/>
      <c r="B22" s="60" t="s">
        <v>31</v>
      </c>
      <c r="C22" s="60"/>
      <c r="D22" s="60"/>
      <c r="E22" s="46"/>
      <c r="F22" s="4">
        <v>1</v>
      </c>
      <c r="G22" s="23" t="s">
        <v>43</v>
      </c>
      <c r="H22" s="21" t="str">
        <f>HYPERLINK("#G22",CHAR(128))</f>
        <v>€</v>
      </c>
      <c r="N22" s="2"/>
    </row>
    <row r="23" spans="1:14" ht="14.4" x14ac:dyDescent="0.3">
      <c r="A23" s="2"/>
      <c r="B23" s="61" t="s">
        <v>45</v>
      </c>
      <c r="C23" s="61"/>
      <c r="D23" s="61"/>
      <c r="E23" s="47"/>
      <c r="F23" s="14">
        <v>1</v>
      </c>
      <c r="G23" s="23" t="s">
        <v>43</v>
      </c>
      <c r="H23" s="20" t="str">
        <f>HYPERLINK("#G23",CHAR(128))</f>
        <v>€</v>
      </c>
    </row>
    <row r="24" spans="1:14" ht="14.4" x14ac:dyDescent="0.3">
      <c r="A24" s="5"/>
      <c r="B24" s="60" t="s">
        <v>32</v>
      </c>
      <c r="C24" s="60"/>
      <c r="D24" s="60"/>
      <c r="E24" s="46"/>
      <c r="F24" s="4">
        <v>1</v>
      </c>
      <c r="G24" s="23" t="s">
        <v>43</v>
      </c>
      <c r="H24" s="20" t="str">
        <f>HYPERLINK("#G24",CHAR(128))</f>
        <v>€</v>
      </c>
    </row>
    <row r="25" spans="1:14" ht="14.4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4" ht="14.4" x14ac:dyDescent="0.3">
      <c r="A26" s="5"/>
      <c r="B26" s="60" t="s">
        <v>37</v>
      </c>
      <c r="C26" s="60"/>
      <c r="D26" s="60"/>
      <c r="E26" s="4">
        <f>C2</f>
        <v>0</v>
      </c>
      <c r="F26" s="4">
        <v>1</v>
      </c>
      <c r="G26" s="23" t="s">
        <v>43</v>
      </c>
      <c r="H26" s="22" t="str">
        <f>HYPERLINK("#G26",CHAR(128))</f>
        <v>€</v>
      </c>
    </row>
    <row r="28" spans="1:14" ht="14.4" x14ac:dyDescent="0.3">
      <c r="J28" s="16"/>
    </row>
    <row r="29" spans="1:14" ht="14.4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4" ht="14.4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4" ht="14.4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4" ht="14.4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ht="14.4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ht="14.4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ht="14.4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ht="14.4" x14ac:dyDescent="0.3">
      <c r="A38" s="36"/>
      <c r="B38" s="36"/>
      <c r="C38" s="36"/>
      <c r="D38" s="36"/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9" priority="3" operator="equal">
      <formula>"Returned"</formula>
    </cfRule>
    <cfRule type="cellIs" dxfId="8" priority="13" operator="equal">
      <formula>"Ready To Order"</formula>
    </cfRule>
    <cfRule type="cellIs" dxfId="7" priority="14" operator="equal">
      <formula>"UNP"</formula>
    </cfRule>
    <cfRule type="containsText" dxfId="6" priority="15" operator="containsText" text="Ordered">
      <formula>NOT(ISERROR(SEARCH("Ordered",G6)))</formula>
    </cfRule>
    <cfRule type="containsText" dxfId="5" priority="16" operator="containsText" text="Pick Up">
      <formula>NOT(ISERROR(SEARCH("Pick Up",G6)))</formula>
    </cfRule>
    <cfRule type="containsText" dxfId="4" priority="17" operator="containsText" text="Complete">
      <formula>NOT(ISERROR(SEARCH("Complete",G6)))</formula>
    </cfRule>
  </conditionalFormatting>
  <conditionalFormatting sqref="G30:G33">
    <cfRule type="containsText" dxfId="3" priority="5" operator="containsText" text="Given">
      <formula>NOT(ISERROR(SEARCH("Given",G30)))</formula>
    </cfRule>
  </conditionalFormatting>
  <conditionalFormatting sqref="G30:G34">
    <cfRule type="containsText" dxfId="2" priority="4" operator="containsText" text="Returned">
      <formula>NOT(ISERROR(SEARCH("Returned",G30)))</formula>
    </cfRule>
  </conditionalFormatting>
  <conditionalFormatting sqref="G6:G14 G21:G26 G16:G19">
    <cfRule type="cellIs" dxfId="1" priority="2" operator="equal">
      <formula>"In Stock"</formula>
    </cfRule>
  </conditionalFormatting>
  <conditionalFormatting sqref="G6:G14 G16:G19 G21:G24 G26">
    <cfRule type="cellIs" dxfId="0" priority="1" operator="equal">
      <formula>"Unknown"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30:G34" xr:uid="{01B9C70D-5AF7-4248-9017-6FBE7D1B9D7E}">
      <formula1>"--,Returned, Given"</formula1>
    </dataValidation>
    <dataValidation type="list" allowBlank="1" showInputMessage="1" showErrorMessage="1" sqref="G6:G14 G16:G19 G21:G24 G26" xr:uid="{DF08AA6E-938C-43EE-8BFC-DC45081C2C3E}">
      <formula1>"UNP, Ready To Order, Ordered, In Stock, Pick Up, Complete, Returned, Unknown"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Menu</vt:lpstr>
      <vt:lpstr>Pickup</vt:lpstr>
      <vt:lpstr>Master</vt:lpstr>
      <vt:lpstr>Import Sheets</vt:lpstr>
      <vt:lpstr>Isabella_Taylor_9380A782</vt:lpstr>
      <vt:lpstr>Grace_Williams_C724A790</vt:lpstr>
      <vt:lpstr>Peter sss_Wilson eee_C215BA97</vt:lpstr>
      <vt:lpstr>Wendy_Lee_5804A09C</vt:lpstr>
      <vt:lpstr>Henry_Lewis_31476B99</vt:lpstr>
      <vt:lpstr>Wendy_Garcia_50637996</vt:lpstr>
      <vt:lpstr>Xavier_Thompson_954159A5</vt:lpstr>
      <vt:lpstr>Henry_Martin_B648A7A7</vt:lpstr>
      <vt:lpstr>Wendy_Thompson_6011A6AA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2024-01-13T21:39:03Z</cp:lastPrinted>
  <dcterms:created xsi:type="dcterms:W3CDTF">2023-08-20T19:28:09Z</dcterms:created>
  <dcterms:modified xsi:type="dcterms:W3CDTF">2024-05-20T06:51:39Z</dcterms:modified>
</cp:coreProperties>
</file>