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ownloads\"/>
    </mc:Choice>
  </mc:AlternateContent>
  <xr:revisionPtr revIDLastSave="0" documentId="13_ncr:1_{33FF563D-F930-44A9-9C0E-BA92B85FAA71}" xr6:coauthVersionLast="47" xr6:coauthVersionMax="47" xr10:uidLastSave="{00000000-0000-0000-0000-000000000000}"/>
  <bookViews>
    <workbookView xWindow="-118" yWindow="-118" windowWidth="33749" windowHeight="18471" tabRatio="856" firstSheet="7" activeTab="16" xr2:uid="{01218C0E-FF84-42AC-8993-DD76AC11461D}"/>
  </bookViews>
  <sheets>
    <sheet name="Userform" sheetId="17" r:id="rId1"/>
    <sheet name="Menu" sheetId="48" r:id="rId2"/>
    <sheet name="Kate_Jackson_575EC4B0" sheetId="60" r:id="rId3"/>
    <sheet name="Xavier_Martin_0BC4A39A" sheetId="64" r:id="rId4"/>
    <sheet name="Alice_Williams_F05F54A8" sheetId="65" r:id="rId5"/>
    <sheet name="Rachel_Wilson_9416EB96" sheetId="73" r:id="rId6"/>
    <sheet name="Jack_Brown_37CDCCB9" sheetId="77" r:id="rId7"/>
    <sheet name="Frank_Lee_F7B7539A" sheetId="78" r:id="rId8"/>
    <sheet name="Zachary_Smith_3D479A85" sheetId="79" r:id="rId9"/>
    <sheet name="Grace_Rodriguez_2AC61298" sheetId="80" r:id="rId10"/>
    <sheet name="Samuel_White_5BC5F78A" sheetId="83" r:id="rId11"/>
    <sheet name="Mia_Wilson_0F38B08C" sheetId="86" r:id="rId12"/>
    <sheet name="Grace_Walker_BB3D2783" sheetId="87" r:id="rId13"/>
    <sheet name="Noah_Lewis_2566F4A0" sheetId="88" r:id="rId14"/>
    <sheet name="Frank_Williams_415E36A7" sheetId="89" r:id="rId15"/>
    <sheet name="Alice_Lewis_B662FA80" sheetId="90" r:id="rId16"/>
    <sheet name="Template" sheetId="1" r:id="rId17"/>
    <sheet name="Sheet1" sheetId="54" r:id="rId1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90" l="1"/>
  <c r="H24" i="90"/>
  <c r="H23" i="90"/>
  <c r="H22" i="90"/>
  <c r="H21" i="90"/>
  <c r="H19" i="90"/>
  <c r="H18" i="90"/>
  <c r="H17" i="90"/>
  <c r="H16" i="90"/>
  <c r="H14" i="90"/>
  <c r="H13" i="90"/>
  <c r="H12" i="90"/>
  <c r="H11" i="90"/>
  <c r="H10" i="90"/>
  <c r="H9" i="90"/>
  <c r="H8" i="90"/>
  <c r="H7" i="90"/>
  <c r="H6" i="90"/>
  <c r="H26" i="89"/>
  <c r="H24" i="89"/>
  <c r="H23" i="89"/>
  <c r="H22" i="89"/>
  <c r="H21" i="89"/>
  <c r="H19" i="89"/>
  <c r="H18" i="89"/>
  <c r="H17" i="89"/>
  <c r="H16" i="89"/>
  <c r="H14" i="89"/>
  <c r="H13" i="89"/>
  <c r="H12" i="89"/>
  <c r="H11" i="89"/>
  <c r="H10" i="89"/>
  <c r="H9" i="89"/>
  <c r="H8" i="89"/>
  <c r="H7" i="89"/>
  <c r="H6" i="89"/>
  <c r="H6" i="88"/>
  <c r="H26" i="88"/>
  <c r="H24" i="88"/>
  <c r="H23" i="88"/>
  <c r="H22" i="88"/>
  <c r="H21" i="88"/>
  <c r="H19" i="88"/>
  <c r="H18" i="88"/>
  <c r="H17" i="88"/>
  <c r="H16" i="88"/>
  <c r="H14" i="88"/>
  <c r="H13" i="88"/>
  <c r="H12" i="88"/>
  <c r="H11" i="88"/>
  <c r="H10" i="88"/>
  <c r="H9" i="88"/>
  <c r="H8" i="88"/>
  <c r="H7" i="88"/>
  <c r="H26" i="87"/>
  <c r="H24" i="87"/>
  <c r="H23" i="87"/>
  <c r="H22" i="87"/>
  <c r="H21" i="87"/>
  <c r="H19" i="87"/>
  <c r="H18" i="87"/>
  <c r="H17" i="87"/>
  <c r="H16" i="87"/>
  <c r="H14" i="87"/>
  <c r="H13" i="87"/>
  <c r="H12" i="87"/>
  <c r="H11" i="87"/>
  <c r="H10" i="87"/>
  <c r="H9" i="87"/>
  <c r="H8" i="87"/>
  <c r="H7" i="87"/>
  <c r="H6" i="87"/>
  <c r="H26" i="86"/>
  <c r="H24" i="86"/>
  <c r="H23" i="86"/>
  <c r="H22" i="86"/>
  <c r="H21" i="86"/>
  <c r="H19" i="86"/>
  <c r="H18" i="86"/>
  <c r="H17" i="86"/>
  <c r="H16" i="86"/>
  <c r="H14" i="86"/>
  <c r="H13" i="86"/>
  <c r="H12" i="86"/>
  <c r="H11" i="86"/>
  <c r="H10" i="86"/>
  <c r="H9" i="86"/>
  <c r="H8" i="86"/>
  <c r="H7" i="86"/>
  <c r="H6" i="86"/>
  <c r="H26" i="83"/>
  <c r="H24" i="83"/>
  <c r="H23" i="83"/>
  <c r="H22" i="83"/>
  <c r="H21" i="83"/>
  <c r="H19" i="83"/>
  <c r="H18" i="83"/>
  <c r="H17" i="83"/>
  <c r="H16" i="83"/>
  <c r="H14" i="83"/>
  <c r="H13" i="83"/>
  <c r="H12" i="83"/>
  <c r="H11" i="83"/>
  <c r="H10" i="83"/>
  <c r="H9" i="83"/>
  <c r="H8" i="83"/>
  <c r="H7" i="83"/>
  <c r="H6" i="83"/>
  <c r="H26" i="80"/>
  <c r="H24" i="80"/>
  <c r="H23" i="80"/>
  <c r="H22" i="80"/>
  <c r="H21" i="80"/>
  <c r="H19" i="80"/>
  <c r="H18" i="80"/>
  <c r="H17" i="80"/>
  <c r="H16" i="80"/>
  <c r="H14" i="80"/>
  <c r="H13" i="80"/>
  <c r="H12" i="80"/>
  <c r="H11" i="80"/>
  <c r="H10" i="80"/>
  <c r="H9" i="80"/>
  <c r="H8" i="80"/>
  <c r="H7" i="80"/>
  <c r="H6" i="80"/>
  <c r="H26" i="79"/>
  <c r="H24" i="79"/>
  <c r="H23" i="79"/>
  <c r="H22" i="79"/>
  <c r="H21" i="79"/>
  <c r="H19" i="79"/>
  <c r="H18" i="79"/>
  <c r="H17" i="79"/>
  <c r="H16" i="79"/>
  <c r="H14" i="79"/>
  <c r="H13" i="79"/>
  <c r="H12" i="79"/>
  <c r="H11" i="79"/>
  <c r="H10" i="79"/>
  <c r="H9" i="79"/>
  <c r="H8" i="79"/>
  <c r="H7" i="79"/>
  <c r="H6" i="79"/>
  <c r="H26" i="78"/>
  <c r="H24" i="78"/>
  <c r="H23" i="78"/>
  <c r="H22" i="78"/>
  <c r="H21" i="78"/>
  <c r="H19" i="78"/>
  <c r="H18" i="78"/>
  <c r="H17" i="78"/>
  <c r="H16" i="78"/>
  <c r="H14" i="78"/>
  <c r="H13" i="78"/>
  <c r="H12" i="78"/>
  <c r="H11" i="78"/>
  <c r="H10" i="78"/>
  <c r="H9" i="78"/>
  <c r="H8" i="78"/>
  <c r="H7" i="78"/>
  <c r="H6" i="78"/>
  <c r="H26" i="77"/>
  <c r="H24" i="77"/>
  <c r="H23" i="77"/>
  <c r="H22" i="77"/>
  <c r="H21" i="77"/>
  <c r="H19" i="77"/>
  <c r="H18" i="77"/>
  <c r="H17" i="77"/>
  <c r="H16" i="77"/>
  <c r="H14" i="77"/>
  <c r="H13" i="77"/>
  <c r="H12" i="77"/>
  <c r="H11" i="77"/>
  <c r="H10" i="77"/>
  <c r="H9" i="77"/>
  <c r="H8" i="77"/>
  <c r="H7" i="77"/>
  <c r="H6" i="77"/>
  <c r="H26" i="73"/>
  <c r="H24" i="73"/>
  <c r="H23" i="73"/>
  <c r="H22" i="73"/>
  <c r="H21" i="73"/>
  <c r="H19" i="73"/>
  <c r="H18" i="73"/>
  <c r="H17" i="73"/>
  <c r="H16" i="73"/>
  <c r="H14" i="73"/>
  <c r="H13" i="73"/>
  <c r="H12" i="73"/>
  <c r="H11" i="73"/>
  <c r="H10" i="73"/>
  <c r="H9" i="73"/>
  <c r="H8" i="73"/>
  <c r="H7" i="73"/>
  <c r="H6" i="73"/>
  <c r="H26" i="65"/>
  <c r="H24" i="65"/>
  <c r="H23" i="65"/>
  <c r="H22" i="65"/>
  <c r="H21" i="65"/>
  <c r="H19" i="65"/>
  <c r="H18" i="65"/>
  <c r="H17" i="65"/>
  <c r="H16" i="65"/>
  <c r="H14" i="65"/>
  <c r="H13" i="65"/>
  <c r="H12" i="65"/>
  <c r="H11" i="65"/>
  <c r="H10" i="65"/>
  <c r="H9" i="65"/>
  <c r="H8" i="65"/>
  <c r="H7" i="65"/>
  <c r="H6" i="65"/>
  <c r="H26" i="64"/>
  <c r="H24" i="64"/>
  <c r="H23" i="64"/>
  <c r="H22" i="64"/>
  <c r="H21" i="64"/>
  <c r="H19" i="64"/>
  <c r="H18" i="64"/>
  <c r="H17" i="64"/>
  <c r="H16" i="64"/>
  <c r="H14" i="64"/>
  <c r="H13" i="64"/>
  <c r="H12" i="64"/>
  <c r="H11" i="64"/>
  <c r="H10" i="64"/>
  <c r="H9" i="64"/>
  <c r="H8" i="64"/>
  <c r="H7" i="64"/>
  <c r="H6" i="64"/>
  <c r="H26" i="60"/>
  <c r="H24" i="60"/>
  <c r="H23" i="60"/>
  <c r="H22" i="60"/>
  <c r="H21" i="60"/>
  <c r="H19" i="60"/>
  <c r="H18" i="60"/>
  <c r="H17" i="60"/>
  <c r="H16" i="60"/>
  <c r="H14" i="60"/>
  <c r="H13" i="60"/>
  <c r="H12" i="60"/>
  <c r="H11" i="60"/>
  <c r="H10" i="60"/>
  <c r="H9" i="60"/>
  <c r="H8" i="60"/>
  <c r="H7" i="60"/>
  <c r="H6" i="60"/>
  <c r="H11" i="1"/>
  <c r="H14" i="1"/>
  <c r="H13" i="1"/>
  <c r="H12" i="1"/>
  <c r="H10" i="1"/>
  <c r="H22" i="1"/>
  <c r="H21" i="1"/>
  <c r="H19" i="1"/>
  <c r="H18" i="1"/>
  <c r="H17" i="1"/>
  <c r="H16" i="1"/>
  <c r="H8" i="1"/>
  <c r="H26" i="1"/>
  <c r="H24" i="1"/>
  <c r="H23" i="1"/>
  <c r="H9" i="1"/>
  <c r="H7" i="1"/>
  <c r="H6" i="1"/>
</calcChain>
</file>

<file path=xl/sharedStrings.xml><?xml version="1.0" encoding="utf-8"?>
<sst xmlns="http://schemas.openxmlformats.org/spreadsheetml/2006/main" count="1192" uniqueCount="150">
  <si>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</si>
  <si>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</si>
  <si>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</si>
  <si>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</si>
  <si>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</si>
  <si>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</si>
  <si>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</si>
  <si>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</si>
  <si>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</si>
  <si>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</si>
  <si>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</si>
  <si>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</si>
  <si>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</si>
  <si>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</si>
  <si>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</si>
  <si>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</si>
  <si>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</si>
  <si>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</si>
  <si>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</si>
  <si>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</si>
  <si>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</si>
  <si>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</si>
  <si>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</si>
  <si>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</si>
  <si>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</si>
  <si>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</si>
  <si>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</si>
  <si>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</si>
  <si>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</si>
  <si>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</si>
  <si>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</si>
  <si>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</si>
  <si>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</si>
  <si>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</si>
  <si>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</si>
  <si>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</si>
  <si>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</si>
  <si>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</si>
  <si>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</si>
  <si>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</si>
  <si>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</si>
  <si>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</si>
  <si>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</si>
  <si>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</si>
  <si>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</si>
  <si>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</si>
  <si>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</si>
  <si>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Invalid</t>
  </si>
  <si>
    <t>L (60 inch)</t>
  </si>
  <si>
    <t>XS</t>
  </si>
  <si>
    <t>Menu</t>
  </si>
  <si>
    <t xml:space="preserve"> FTU Pants</t>
  </si>
  <si>
    <t>XL/TG</t>
  </si>
  <si>
    <t>Kate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</si>
  <si>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</si>
  <si>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</si>
  <si>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</si>
  <si>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</si>
  <si>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</si>
  <si>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</si>
  <si>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</si>
  <si>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</si>
  <si>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</si>
  <si>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Ordered</t>
  </si>
  <si>
    <t>Pick Up</t>
  </si>
  <si>
    <t>Complete</t>
  </si>
  <si>
    <t>UNP</t>
  </si>
  <si>
    <t>XXL</t>
  </si>
  <si>
    <t>Female</t>
  </si>
  <si>
    <t>330/130</t>
  </si>
  <si>
    <t>Wilson</t>
  </si>
  <si>
    <t>Mia</t>
  </si>
  <si>
    <t>5XL</t>
  </si>
  <si>
    <t>Jackson</t>
  </si>
  <si>
    <t>575EC4B0</t>
  </si>
  <si>
    <t>L</t>
  </si>
  <si>
    <t>S/P</t>
  </si>
  <si>
    <t>235/100</t>
  </si>
  <si>
    <t>9EEE</t>
  </si>
  <si>
    <t>Zachary</t>
  </si>
  <si>
    <t>320/126</t>
  </si>
  <si>
    <t>XL</t>
  </si>
  <si>
    <t>S (50 inch)</t>
  </si>
  <si>
    <t>305/116</t>
  </si>
  <si>
    <t>Martin</t>
  </si>
  <si>
    <t>Xavier</t>
  </si>
  <si>
    <t>0BC4A39A</t>
  </si>
  <si>
    <t>280/118</t>
  </si>
  <si>
    <t>Williams</t>
  </si>
  <si>
    <t>Alice</t>
  </si>
  <si>
    <t>F05F54A8</t>
  </si>
  <si>
    <t>18-1/2</t>
  </si>
  <si>
    <t>XXXL</t>
  </si>
  <si>
    <t>REG</t>
  </si>
  <si>
    <t>8405-21-907-9466</t>
  </si>
  <si>
    <t>(XS / TP)</t>
  </si>
  <si>
    <t>R (56 inch)</t>
  </si>
  <si>
    <t>(2XS / 2TP)</t>
  </si>
  <si>
    <t>9.5EEE</t>
  </si>
  <si>
    <t>Hand Length</t>
  </si>
  <si>
    <t>28 M</t>
  </si>
  <si>
    <t>3XL</t>
  </si>
  <si>
    <t>(S/M - P/M)</t>
  </si>
  <si>
    <t>Rachel</t>
  </si>
  <si>
    <t>9416EB96</t>
  </si>
  <si>
    <t>290/118</t>
  </si>
  <si>
    <t>14D</t>
  </si>
  <si>
    <t>Brown</t>
  </si>
  <si>
    <t>Jack</t>
  </si>
  <si>
    <t>37CDCCB9</t>
  </si>
  <si>
    <t>250/90</t>
  </si>
  <si>
    <t>(JR / JR)</t>
  </si>
  <si>
    <t>7D</t>
  </si>
  <si>
    <t>Lee</t>
  </si>
  <si>
    <t>Frank</t>
  </si>
  <si>
    <t>F7B7539A</t>
  </si>
  <si>
    <t>14-1/2</t>
  </si>
  <si>
    <t>Smith</t>
  </si>
  <si>
    <t>3D479A85</t>
  </si>
  <si>
    <t>FTU Pants</t>
  </si>
  <si>
    <t>Rodriguez</t>
  </si>
  <si>
    <t>Grace</t>
  </si>
  <si>
    <t>2AC61298</t>
  </si>
  <si>
    <t>14L</t>
  </si>
  <si>
    <t>7342 (H52-1/2)</t>
  </si>
  <si>
    <t>285/104</t>
  </si>
  <si>
    <t>11.5D</t>
  </si>
  <si>
    <t>White</t>
  </si>
  <si>
    <t>Samuel</t>
  </si>
  <si>
    <t>5BC5F78A</t>
  </si>
  <si>
    <t>7652 (H62-1/2)</t>
  </si>
  <si>
    <t>250/106</t>
  </si>
  <si>
    <t>11.5EEE</t>
  </si>
  <si>
    <t>(L/XL - G/TG)</t>
  </si>
  <si>
    <t>0F38B08C</t>
  </si>
  <si>
    <t>295/116</t>
  </si>
  <si>
    <t>Walker</t>
  </si>
  <si>
    <t>BB3D2783</t>
  </si>
  <si>
    <t>Ready To Order</t>
  </si>
  <si>
    <t>Lewis</t>
  </si>
  <si>
    <t>Noah</t>
  </si>
  <si>
    <t>2566F4A0</t>
  </si>
  <si>
    <t>26M</t>
  </si>
  <si>
    <t>7656 (H66-1/2)</t>
  </si>
  <si>
    <t>L/G</t>
  </si>
  <si>
    <t>265/104</t>
  </si>
  <si>
    <t>415E36A7</t>
  </si>
  <si>
    <t>285/116</t>
  </si>
  <si>
    <t>B662FA80</t>
  </si>
  <si>
    <t>6750 (H60-1/2)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</si>
</sst>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3" borderId="1" xfId="2" applyBorder="1" applyAlignment="1">
      <alignment horizontal="center"/>
    </xf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1" fillId="0" borderId="0" xfId="0" applyFont="1"/>
    <xf numFmtId="0" fontId="11" fillId="5" borderId="19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0" xfId="0" applyAlignment="1">
      <alignment horizontal="center"/>
    </xf>
    <xf numFmtId="22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" fillId="6" borderId="4" xfId="1" applyFill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00"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7575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27" formatCode="yyyy/mm/dd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B873F"/>
      <color rgb="FFFF7575"/>
      <color rgb="FFF6F66A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24939</xdr:colOff>
          <xdr:row>0</xdr:row>
          <xdr:rowOff>0</xdr:rowOff>
        </xdr:from>
        <xdr:to>
          <xdr:col>7</xdr:col>
          <xdr:colOff>207819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E1635CDD-BE8D-C61C-95CA-8DDD16730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9D09DA79-E481-08DA-51D4-B463C9057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B4199FBE-547B-91F6-F693-01ACC6AA9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C96D00AC-691D-9DCF-616E-3CC4FA0BD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BE095AFA-1364-07BA-AD98-2B2097CE9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6BFF586E-C727-AB00-7600-AD7149252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268EC64F-4EB4-DEBF-FB38-891818240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70F6587-B4E6-A3D7-3573-1C5F6C8E0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89730B29-AFA0-FE51-B2E3-A4FD9DDDF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53791AB2-66B0-4374-DE5A-1F6B50D40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EA75D4A0-7CFF-794F-A956-305CC5954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E7A3410-C3EB-13B3-1B89-99108C7C8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353845F7-4485-E400-1B0E-E74F78A79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DA8331C2-F99E-A323-CBD4-A7E917E2E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A01A5AB1-5F3C-F86E-BEE9-ABD15C372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91FCDE78-8D70-B612-7394-1F474D567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E57EAD56-BF1F-419B-F4A0-F62CA1B4B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D7BF14CF-0E1B-6D0E-B32E-BCF86BCC7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7EA5094B-FEEE-C301-2405-962910B50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7C174446-88BA-4936-EC9B-B68AEF798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1628781F-1565-4494-68B2-5A663FD2F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D9A7C521-4D04-68AF-D707-0C8FEFDDC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648500ED-3150-38AC-B6B4-F0589C462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E7183E1C-B77E-3B4C-C9E0-EEE5DB41F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93C00D6A-59D1-342C-6144-013E51077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1690436F-01BB-DD20-9B00-4A82AF1C3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7851D0E-4A44-10EB-8D19-3EF19E95E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5" totalsRowShown="0" headerRowDxfId="99" dataDxfId="97" headerRowBorderDxfId="98" tableBorderDxfId="96" totalsRowBorderDxfId="95" headerRowCellStyle="60% - Accent5">
  <autoFilter ref="A1:E15" xr:uid="{7E3155DF-3CB2-4063-8346-D3006162EB2E}"/>
  <sortState xmlns:xlrd2="http://schemas.microsoft.com/office/spreadsheetml/2017/richdata2" ref="A2:E15">
    <sortCondition ref="A1:A15"/>
  </sortState>
  <tableColumns count="5">
    <tableColumn id="1" xr3:uid="{4A3C96D4-74F9-46DA-B54B-0CD347E35136}" name="Surname" dataDxfId="94" dataCellStyle="Hyperlink"/>
    <tableColumn id="2" xr3:uid="{2B90B92F-5F96-4EDA-9BBB-0E797162ECC4}" name="First Name" dataDxfId="93" dataCellStyle="Hyperlink"/>
    <tableColumn id="8" xr3:uid="{CFE0A41F-FE26-4CF3-BAA8-F6CEC7B006D4}" name="Status" dataDxfId="92" dataCellStyle="Hyperlink"/>
    <tableColumn id="3" xr3:uid="{EBBDE5FC-4AD9-4996-A6CE-25D9B52D4D03}" name="Date" dataDxfId="91"/>
    <tableColumn id="4" xr3:uid="{854BBB0E-E50E-4F6C-90CC-6180E0CE5D32}" name="ID" dataDxfId="9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workbookViewId="0">
      <selection activeCell="M25" sqref="M25"/>
    </sheetView>
  </sheetViews>
  <sheetFormatPr defaultRowHeight="15.05" x14ac:dyDescent="0.3"/>
  <sheetData>
    <row r="1" spans="1:7" ht="15.05" customHeight="1" x14ac:dyDescent="0.3">
      <c r="A1" s="24" t="s">
        <v>43</v>
      </c>
      <c r="B1" s="25"/>
      <c r="C1" s="26"/>
      <c r="E1" s="24" t="s">
        <v>50</v>
      </c>
      <c r="F1" s="25"/>
      <c r="G1" s="26"/>
    </row>
    <row r="2" spans="1:7" x14ac:dyDescent="0.3">
      <c r="A2" s="27"/>
      <c r="B2" s="28"/>
      <c r="C2" s="29"/>
      <c r="E2" s="27"/>
      <c r="F2" s="28"/>
      <c r="G2" s="29"/>
    </row>
    <row r="3" spans="1:7" ht="15.75" thickBot="1" x14ac:dyDescent="0.35">
      <c r="A3" s="30"/>
      <c r="B3" s="31"/>
      <c r="C3" s="32"/>
      <c r="E3" s="30"/>
      <c r="F3" s="31"/>
      <c r="G3" s="32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15"/>
  <sheetViews>
    <sheetView workbookViewId="0"/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8" t="s">
        <v>0</v>
      </c>
      <c r="B1" s="7" t="s">
        <v>2</v>
      </c>
      <c r="C1" s="22" t="s">
        <v>36</v>
      </c>
      <c r="D1" s="7" t="s">
        <v>40</v>
      </c>
      <c r="E1" s="22" t="s">
        <v>41</v>
      </c>
    </row>
    <row r="2" spans="1:5" x14ac:dyDescent="0.3">
      <c r="A2" s="19" t="s">
        <v>107</v>
      </c>
      <c r="B2" s="20" t="s">
        <v>108</v>
      </c>
      <c r="C2" s="20" t="s">
        <v>66</v>
      </c>
      <c r="D2" s="46">
        <v>45179.51934027778</v>
      </c>
      <c r="E2" s="47" t="s">
        <v>109</v>
      </c>
    </row>
    <row r="3" spans="1:5" x14ac:dyDescent="0.3">
      <c r="A3" s="19" t="s">
        <v>73</v>
      </c>
      <c r="B3" s="20" t="s">
        <v>53</v>
      </c>
      <c r="C3" s="23" t="s">
        <v>66</v>
      </c>
      <c r="D3" s="21">
        <v>45177.788564814815</v>
      </c>
      <c r="E3" s="23" t="s">
        <v>74</v>
      </c>
    </row>
    <row r="4" spans="1:5" x14ac:dyDescent="0.3">
      <c r="A4" s="19" t="s">
        <v>113</v>
      </c>
      <c r="B4" s="20" t="s">
        <v>114</v>
      </c>
      <c r="C4" s="20" t="s">
        <v>66</v>
      </c>
      <c r="D4" s="46">
        <v>45179.520740740743</v>
      </c>
      <c r="E4" s="47" t="s">
        <v>115</v>
      </c>
    </row>
    <row r="5" spans="1:5" x14ac:dyDescent="0.3">
      <c r="A5" s="19" t="s">
        <v>139</v>
      </c>
      <c r="B5" s="20" t="s">
        <v>140</v>
      </c>
      <c r="C5" s="20" t="s">
        <v>138</v>
      </c>
      <c r="D5" s="46">
        <v>45179.650439814817</v>
      </c>
      <c r="E5" s="47" t="s">
        <v>141</v>
      </c>
    </row>
    <row r="6" spans="1:5" x14ac:dyDescent="0.3">
      <c r="A6" s="19" t="s">
        <v>139</v>
      </c>
      <c r="B6" s="20" t="s">
        <v>89</v>
      </c>
      <c r="C6" s="20" t="s">
        <v>66</v>
      </c>
      <c r="D6" s="46">
        <v>45179.671516203707</v>
      </c>
      <c r="E6" s="47" t="s">
        <v>148</v>
      </c>
    </row>
    <row r="7" spans="1:5" x14ac:dyDescent="0.3">
      <c r="A7" s="19" t="s">
        <v>84</v>
      </c>
      <c r="B7" s="20" t="s">
        <v>85</v>
      </c>
      <c r="C7" s="20" t="s">
        <v>66</v>
      </c>
      <c r="D7" s="21">
        <v>45177.947395833333</v>
      </c>
      <c r="E7" s="23" t="s">
        <v>86</v>
      </c>
    </row>
    <row r="8" spans="1:5" x14ac:dyDescent="0.3">
      <c r="A8" s="19" t="s">
        <v>120</v>
      </c>
      <c r="B8" s="20" t="s">
        <v>121</v>
      </c>
      <c r="C8" s="20" t="s">
        <v>66</v>
      </c>
      <c r="D8" s="46">
        <v>45179.522245370368</v>
      </c>
      <c r="E8" s="47" t="s">
        <v>122</v>
      </c>
    </row>
    <row r="9" spans="1:5" x14ac:dyDescent="0.3">
      <c r="A9" s="19" t="s">
        <v>117</v>
      </c>
      <c r="B9" s="20" t="s">
        <v>79</v>
      </c>
      <c r="C9" s="20" t="s">
        <v>66</v>
      </c>
      <c r="D9" s="46">
        <v>45179.521655092591</v>
      </c>
      <c r="E9" s="47" t="s">
        <v>118</v>
      </c>
    </row>
    <row r="10" spans="1:5" x14ac:dyDescent="0.3">
      <c r="A10" s="19" t="s">
        <v>136</v>
      </c>
      <c r="B10" s="20" t="s">
        <v>121</v>
      </c>
      <c r="C10" s="20" t="s">
        <v>66</v>
      </c>
      <c r="D10" s="46">
        <v>45179.644166666665</v>
      </c>
      <c r="E10" s="47" t="s">
        <v>137</v>
      </c>
    </row>
    <row r="11" spans="1:5" x14ac:dyDescent="0.3">
      <c r="A11" s="19" t="s">
        <v>127</v>
      </c>
      <c r="B11" s="20" t="s">
        <v>128</v>
      </c>
      <c r="C11" s="20" t="s">
        <v>66</v>
      </c>
      <c r="D11" s="46">
        <v>45179.604699074072</v>
      </c>
      <c r="E11" s="47" t="s">
        <v>129</v>
      </c>
    </row>
    <row r="12" spans="1:5" x14ac:dyDescent="0.3">
      <c r="A12" s="19" t="s">
        <v>88</v>
      </c>
      <c r="B12" s="20" t="s">
        <v>89</v>
      </c>
      <c r="C12" s="20" t="s">
        <v>63</v>
      </c>
      <c r="D12" s="21">
        <v>45177.947569444441</v>
      </c>
      <c r="E12" s="23" t="s">
        <v>90</v>
      </c>
    </row>
    <row r="13" spans="1:5" x14ac:dyDescent="0.3">
      <c r="A13" s="19" t="s">
        <v>88</v>
      </c>
      <c r="B13" s="20" t="s">
        <v>114</v>
      </c>
      <c r="C13" s="20" t="s">
        <v>138</v>
      </c>
      <c r="D13" s="46">
        <v>45179.652233796296</v>
      </c>
      <c r="E13" s="47" t="s">
        <v>146</v>
      </c>
    </row>
    <row r="14" spans="1:5" x14ac:dyDescent="0.3">
      <c r="A14" s="19" t="s">
        <v>70</v>
      </c>
      <c r="B14" s="20" t="s">
        <v>103</v>
      </c>
      <c r="C14" s="20" t="s">
        <v>66</v>
      </c>
      <c r="D14" s="46">
        <v>45179.505335648151</v>
      </c>
      <c r="E14" s="47" t="s">
        <v>104</v>
      </c>
    </row>
    <row r="15" spans="1:5" x14ac:dyDescent="0.3">
      <c r="A15" s="19" t="s">
        <v>70</v>
      </c>
      <c r="B15" s="20" t="s">
        <v>71</v>
      </c>
      <c r="C15" s="20" t="s">
        <v>66</v>
      </c>
      <c r="D15" s="46">
        <v>45179.639976851853</v>
      </c>
      <c r="E15" s="47" t="s">
        <v>134</v>
      </c>
    </row>
  </sheetData>
  <conditionalFormatting sqref="C2:C15">
    <cfRule type="containsText" dxfId="18" priority="2" operator="containsText" text="UNP">
      <formula>NOT(ISERROR(SEARCH("UNP",C2)))</formula>
    </cfRule>
    <cfRule type="containsText" dxfId="17" priority="3" operator="containsText" text="Ordered">
      <formula>NOT(ISERROR(SEARCH("Ordered",C2)))</formula>
    </cfRule>
    <cfRule type="containsText" dxfId="21" priority="4" operator="containsText" text="Pick Up">
      <formula>NOT(ISERROR(SEARCH("Pick Up",C2)))</formula>
    </cfRule>
    <cfRule type="containsText" dxfId="20" priority="5" operator="containsText" text="Complete">
      <formula>NOT(ISERROR(SEARCH("Complete",C2)))</formula>
    </cfRule>
    <cfRule type="cellIs" dxfId="19" priority="1" operator="equal">
      <formula>"Ready To Order"</formula>
    </cfRule>
  </conditionalFormatting>
  <hyperlinks>
    <hyperlink ref="A3" location="'Kate_Jackson_575EC4B0'!A1" display="Jackson" xr:uid="{6A2ACC33-AF56-40FE-9CAD-A549F7E73917}"/>
    <hyperlink ref="A7" location="'Xavier_Martin_0BC4A39A'!A1" display="Martin" xr:uid="{A8068E19-DDD5-4DFF-A035-00A701EAE22E}"/>
    <hyperlink ref="A12" location="'Alice_Williams_F05F54A8'!A1" display="Williams" xr:uid="{15C73916-761B-46D5-8E56-4238F107B659}"/>
    <hyperlink ref="A14" location="'Rachel_Wilson_9416EB96'!A1" display="Wilson" xr:uid="{4E348135-4D9B-4C29-8229-991ADB1CE462}"/>
    <hyperlink ref="A2" location="'Jack_Brown_37CDCCB9'!A1" display="Brown" xr:uid="{B04D9A9A-2E69-4A63-8160-08BA552F20C7}"/>
    <hyperlink ref="A4" location="'Frank_Lee_F7B7539A'!A1" display="Lee" xr:uid="{B88520A9-9E29-4465-BF59-D83066C4ECC8}"/>
    <hyperlink ref="A9" location="'Zachary_Smith_3D479A85'!A1" display="Smith" xr:uid="{210A9AD7-883F-4849-9FE6-C20332F56904}"/>
    <hyperlink ref="A8" location="'Grace_Rodriguez_2AC61298'!A1" display="Rodriguez" xr:uid="{A015896D-E196-401C-B49B-03D8EE97BD55}"/>
    <hyperlink ref="A11" location="'Samuel_White_5BC5F78A'!A1" display="White" xr:uid="{A47E26BE-D1DF-40FF-9A79-82476763AC35}"/>
    <hyperlink ref="A15" location="'Mia_Wilson_0F38B08C'!A1" display="Wilson" xr:uid="{6279BF7A-597E-4C63-B254-87AA74A7D478}"/>
    <hyperlink ref="A10" location="'Grace_Walker_BB3D2783'!A1" display="Walker" xr:uid="{C547FDB2-9DA5-4CDD-9899-95827DCFF983}"/>
    <hyperlink ref="A5" location="'Noah_Lewis_2566F4A0'!A1" display="Lewis" xr:uid="{8F24E5D0-B593-4CB4-814E-D9FBFCA4796D}"/>
    <hyperlink ref="A13" location="'Frank_Williams_415E36A7'!A1" display="Williams" xr:uid="{A031691C-FB8A-47BA-BFC7-3A5BED957031}"/>
    <hyperlink ref="A6" location="'Alice_Lewis_B662FA80'!A1" display="Lewis" xr:uid="{19412E48-DCB9-4D4E-BBA0-DAC2AEC129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74FD-C775-4482-AD76-2F2DB1B600A4}">
  <sheetPr codeName="Sheet9"/>
  <dimension ref="A1:L26"/>
  <sheetViews>
    <sheetView workbookViewId="0">
      <selection activeCell="C2" sqref="C2:D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73</v>
      </c>
      <c r="D2" s="33"/>
      <c r="E2" s="33" t="s">
        <v>53</v>
      </c>
      <c r="F2" s="33"/>
      <c r="G2" s="1" t="s">
        <v>74</v>
      </c>
      <c r="K2" s="5" t="s">
        <v>9</v>
      </c>
      <c r="L2" s="5">
        <v>24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13.1</v>
      </c>
    </row>
    <row r="4" spans="1:12" x14ac:dyDescent="0.3">
      <c r="A4" s="1" t="s">
        <v>39</v>
      </c>
      <c r="B4" s="37">
        <v>1483288886</v>
      </c>
      <c r="C4" s="38"/>
      <c r="D4" s="38"/>
      <c r="E4" s="38"/>
      <c r="F4" s="39"/>
      <c r="G4" s="1" t="s">
        <v>45</v>
      </c>
      <c r="K4" s="5" t="s">
        <v>12</v>
      </c>
      <c r="L4" s="5">
        <v>37.299999999999997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50.9</v>
      </c>
    </row>
    <row r="6" spans="1:12" x14ac:dyDescent="0.3">
      <c r="A6" s="4"/>
      <c r="B6" s="40" t="s">
        <v>18</v>
      </c>
      <c r="C6" s="40"/>
      <c r="D6" s="40"/>
      <c r="E6" s="5">
        <v>8038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36.799999999999997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88.4</v>
      </c>
    </row>
    <row r="8" spans="1:12" x14ac:dyDescent="0.3">
      <c r="A8" s="4"/>
      <c r="B8" s="40" t="s">
        <v>19</v>
      </c>
      <c r="C8" s="40"/>
      <c r="D8" s="40"/>
      <c r="E8" s="5" t="s">
        <v>75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229.9</v>
      </c>
    </row>
    <row r="9" spans="1:12" x14ac:dyDescent="0.3">
      <c r="A9" s="2"/>
      <c r="B9" s="33" t="s">
        <v>20</v>
      </c>
      <c r="C9" s="33"/>
      <c r="D9" s="33"/>
      <c r="E9" s="1">
        <v>8052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99.9</v>
      </c>
    </row>
    <row r="10" spans="1:12" x14ac:dyDescent="0.3">
      <c r="A10" s="4"/>
      <c r="B10" s="40" t="s">
        <v>24</v>
      </c>
      <c r="C10" s="40"/>
      <c r="D10" s="40"/>
      <c r="E10" s="9">
        <v>7.75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77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67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78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89" priority="1" operator="containsText" text="UNP">
      <formula>NOT(ISERROR(SEARCH("UNP",G6)))</formula>
    </cfRule>
    <cfRule type="containsText" dxfId="88" priority="2" operator="containsText" text="Ordered">
      <formula>NOT(ISERROR(SEARCH("Ordered",G6)))</formula>
    </cfRule>
    <cfRule type="containsText" dxfId="87" priority="3" operator="containsText" text="Pick Up">
      <formula>NOT(ISERROR(SEARCH("Pick Up",G6)))</formula>
    </cfRule>
    <cfRule type="containsText" dxfId="8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5D454BD2-DCB8-448A-8657-E960B0CA73F9}">
      <formula1>"UNP, Ordered, Pick Up, Complete"</formula1>
    </dataValidation>
    <dataValidation type="decimal" allowBlank="1" showInputMessage="1" showErrorMessage="1" sqref="L2" xr:uid="{378DB08A-DF3C-4576-9D96-B25082B026F0}">
      <formula1>19</formula1>
      <formula2>26</formula2>
    </dataValidation>
  </dataValidations>
  <hyperlinks>
    <hyperlink ref="A1:A2" location="Menu!A1" display="Back to Menu" xr:uid="{0731FE51-461A-49B5-8B3A-01BFB6BA31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FC4B-1575-483E-B6EB-E7B22B60C805}">
  <sheetPr codeName="Sheet13"/>
  <dimension ref="A1:L26"/>
  <sheetViews>
    <sheetView workbookViewId="0">
      <selection activeCell="L19" sqref="K16:L1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84</v>
      </c>
      <c r="D2" s="33"/>
      <c r="E2" s="33" t="s">
        <v>85</v>
      </c>
      <c r="F2" s="33"/>
      <c r="G2" s="1" t="s">
        <v>86</v>
      </c>
      <c r="K2" s="5" t="s">
        <v>9</v>
      </c>
      <c r="L2" s="5">
        <v>22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37">
        <v>5856594825</v>
      </c>
      <c r="C4" s="38"/>
      <c r="D4" s="38"/>
      <c r="E4" s="38"/>
      <c r="F4" s="39"/>
      <c r="G4" s="1" t="s">
        <v>68</v>
      </c>
      <c r="K4" s="5" t="s">
        <v>12</v>
      </c>
      <c r="L4" s="5">
        <v>57.8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38.4</v>
      </c>
    </row>
    <row r="6" spans="1:12" x14ac:dyDescent="0.3">
      <c r="A6" s="4"/>
      <c r="B6" s="40" t="s">
        <v>18</v>
      </c>
      <c r="C6" s="40"/>
      <c r="D6" s="40"/>
      <c r="E6" s="5">
        <v>8056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65.5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95.8</v>
      </c>
    </row>
    <row r="8" spans="1:12" x14ac:dyDescent="0.3">
      <c r="A8" s="4"/>
      <c r="B8" s="40" t="s">
        <v>19</v>
      </c>
      <c r="C8" s="40"/>
      <c r="D8" s="40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241.4</v>
      </c>
    </row>
    <row r="9" spans="1:12" x14ac:dyDescent="0.3">
      <c r="A9" s="2"/>
      <c r="B9" s="33" t="s">
        <v>20</v>
      </c>
      <c r="C9" s="33"/>
      <c r="D9" s="33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116.9</v>
      </c>
    </row>
    <row r="10" spans="1:12" x14ac:dyDescent="0.3">
      <c r="A10" s="4"/>
      <c r="B10" s="40" t="s">
        <v>24</v>
      </c>
      <c r="C10" s="40"/>
      <c r="D10" s="40"/>
      <c r="E10" s="5">
        <v>7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>
        <v>7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85" priority="1" operator="containsText" text="UNP">
      <formula>NOT(ISERROR(SEARCH("UNP",G6)))</formula>
    </cfRule>
    <cfRule type="containsText" dxfId="84" priority="2" operator="containsText" text="Ordered">
      <formula>NOT(ISERROR(SEARCH("Ordered",G6)))</formula>
    </cfRule>
    <cfRule type="containsText" dxfId="83" priority="3" operator="containsText" text="Pick Up">
      <formula>NOT(ISERROR(SEARCH("Pick Up",G6)))</formula>
    </cfRule>
    <cfRule type="containsText" dxfId="8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7E01D47-87F5-4E68-A885-19713CC70CE2}">
      <formula1>"UNP, Ordered, Pick Up, Complete"</formula1>
    </dataValidation>
    <dataValidation type="decimal" allowBlank="1" showInputMessage="1" showErrorMessage="1" sqref="L2" xr:uid="{52A36733-F6FB-41F2-B04F-E4380DE9762A}">
      <formula1>19</formula1>
      <formula2>26</formula2>
    </dataValidation>
  </dataValidations>
  <hyperlinks>
    <hyperlink ref="A1:A2" location="Menu!A1" display="Back to Menu" xr:uid="{9F01E818-848B-455D-B815-717960294A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FCED-4AA9-4BB3-8376-8DA6680EAEC9}">
  <sheetPr codeName="Sheet14"/>
  <dimension ref="A1:L27"/>
  <sheetViews>
    <sheetView zoomScaleNormal="100"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88</v>
      </c>
      <c r="D2" s="33"/>
      <c r="E2" s="33" t="s">
        <v>89</v>
      </c>
      <c r="F2" s="33"/>
      <c r="G2" s="1" t="s">
        <v>90</v>
      </c>
      <c r="K2" s="5" t="s">
        <v>9</v>
      </c>
      <c r="L2" s="5">
        <v>19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37">
        <v>4294692104</v>
      </c>
      <c r="C4" s="38"/>
      <c r="D4" s="38"/>
      <c r="E4" s="38"/>
      <c r="F4" s="39"/>
      <c r="G4" s="1" t="s">
        <v>45</v>
      </c>
      <c r="K4" s="5" t="s">
        <v>12</v>
      </c>
      <c r="L4" s="5">
        <v>53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51.9</v>
      </c>
    </row>
    <row r="6" spans="1:12" x14ac:dyDescent="0.3">
      <c r="A6" s="4"/>
      <c r="B6" s="40" t="s">
        <v>18</v>
      </c>
      <c r="C6" s="40"/>
      <c r="D6" s="40"/>
      <c r="E6" s="5">
        <v>7054</v>
      </c>
      <c r="F6" s="5">
        <v>1</v>
      </c>
      <c r="G6" s="11" t="s">
        <v>64</v>
      </c>
      <c r="H6" s="13" t="str">
        <f>HYPERLINK("#G6",CHAR(128))</f>
        <v>€</v>
      </c>
      <c r="K6" s="5" t="s">
        <v>14</v>
      </c>
      <c r="L6" s="5">
        <v>62.5</v>
      </c>
    </row>
    <row r="7" spans="1:12" x14ac:dyDescent="0.3">
      <c r="A7" s="2"/>
      <c r="B7" s="33" t="s">
        <v>21</v>
      </c>
      <c r="C7" s="33"/>
      <c r="D7" s="33"/>
      <c r="E7" s="1" t="s">
        <v>91</v>
      </c>
      <c r="F7" s="5">
        <v>1</v>
      </c>
      <c r="G7" s="11" t="s">
        <v>64</v>
      </c>
      <c r="H7" s="14" t="str">
        <f>HYPERLINK("#G7",CHAR(128))</f>
        <v>€</v>
      </c>
      <c r="K7" s="1" t="s">
        <v>15</v>
      </c>
      <c r="L7" s="1">
        <v>64.5</v>
      </c>
    </row>
    <row r="8" spans="1:12" x14ac:dyDescent="0.3">
      <c r="A8" s="4"/>
      <c r="B8" s="40" t="s">
        <v>19</v>
      </c>
      <c r="C8" s="40"/>
      <c r="D8" s="40"/>
      <c r="E8" s="5" t="s">
        <v>92</v>
      </c>
      <c r="F8" s="5">
        <v>1</v>
      </c>
      <c r="G8" s="11" t="s">
        <v>64</v>
      </c>
      <c r="H8" s="17" t="str">
        <f>HYPERLINK("#G8",CHAR(128))</f>
        <v>€</v>
      </c>
      <c r="K8" s="5" t="s">
        <v>16</v>
      </c>
      <c r="L8" s="5">
        <v>216.4</v>
      </c>
    </row>
    <row r="9" spans="1:12" x14ac:dyDescent="0.3">
      <c r="A9" s="2"/>
      <c r="B9" s="33" t="s">
        <v>20</v>
      </c>
      <c r="C9" s="33"/>
      <c r="D9" s="33"/>
      <c r="E9" s="1">
        <v>7058</v>
      </c>
      <c r="F9" s="5">
        <v>1</v>
      </c>
      <c r="G9" s="11" t="s">
        <v>64</v>
      </c>
      <c r="H9" s="14" t="str">
        <f>HYPERLINK("#G9",CHAR(128))</f>
        <v>€</v>
      </c>
      <c r="I9" s="12"/>
      <c r="K9" s="1" t="s">
        <v>17</v>
      </c>
      <c r="L9" s="1">
        <v>128.80000000000001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64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64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64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64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69</v>
      </c>
      <c r="F14" s="5">
        <v>1</v>
      </c>
      <c r="G14" s="11" t="s">
        <v>64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6.125</v>
      </c>
      <c r="F21" s="5">
        <v>1</v>
      </c>
      <c r="G21" s="11" t="s">
        <v>63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63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63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63</v>
      </c>
      <c r="H26" s="15" t="str">
        <f>HYPERLINK("#G26",CHAR(128))</f>
        <v>€</v>
      </c>
    </row>
    <row r="27" spans="1:9" x14ac:dyDescent="0.3">
      <c r="G27" s="11" t="s">
        <v>63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7">
    <cfRule type="containsText" dxfId="81" priority="1" operator="containsText" text="UNP">
      <formula>NOT(ISERROR(SEARCH("UNP",G6)))</formula>
    </cfRule>
    <cfRule type="containsText" dxfId="80" priority="2" operator="containsText" text="Ordered">
      <formula>NOT(ISERROR(SEARCH("Ordered",G6)))</formula>
    </cfRule>
    <cfRule type="containsText" dxfId="79" priority="3" operator="containsText" text="Pick Up">
      <formula>NOT(ISERROR(SEARCH("Pick Up",G6)))</formula>
    </cfRule>
    <cfRule type="containsText" dxfId="7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7" xr:uid="{78B71F18-25D4-4563-8D80-CD248944142C}">
      <formula1>"UNP, Ordered, Pick Up, Complete"</formula1>
    </dataValidation>
    <dataValidation type="decimal" allowBlank="1" showInputMessage="1" showErrorMessage="1" sqref="L2" xr:uid="{A78E3E6F-5650-4ECE-9714-3D0FE69AE522}">
      <formula1>19</formula1>
      <formula2>26</formula2>
    </dataValidation>
  </dataValidations>
  <hyperlinks>
    <hyperlink ref="A1:A2" location="Menu!A1" display="Back to Menu" xr:uid="{270BE923-1043-44D1-A3BB-EF533770DD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99DA-3603-4D6F-BDD2-C4BE1E827D60}">
  <sheetPr codeName="Sheet23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70</v>
      </c>
      <c r="D2" s="33"/>
      <c r="E2" s="33" t="s">
        <v>103</v>
      </c>
      <c r="F2" s="33"/>
      <c r="G2" s="1" t="s">
        <v>104</v>
      </c>
      <c r="K2" s="5" t="s">
        <v>9</v>
      </c>
      <c r="L2" s="5">
        <v>19.7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37">
        <v>2664984896</v>
      </c>
      <c r="C4" s="38"/>
      <c r="D4" s="38"/>
      <c r="E4" s="38"/>
      <c r="F4" s="39"/>
      <c r="G4" s="1" t="s">
        <v>45</v>
      </c>
      <c r="K4" s="5" t="s">
        <v>12</v>
      </c>
      <c r="L4" s="5">
        <v>33.200000000000003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40.299999999999997</v>
      </c>
    </row>
    <row r="6" spans="1:12" x14ac:dyDescent="0.3">
      <c r="A6" s="4"/>
      <c r="B6" s="40" t="s">
        <v>18</v>
      </c>
      <c r="C6" s="40"/>
      <c r="D6" s="40"/>
      <c r="E6" s="5">
        <v>8034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62.6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287.2</v>
      </c>
    </row>
    <row r="9" spans="1:12" x14ac:dyDescent="0.3">
      <c r="A9" s="2"/>
      <c r="B9" s="33" t="s">
        <v>20</v>
      </c>
      <c r="C9" s="33"/>
      <c r="D9" s="33"/>
      <c r="E9" s="1">
        <v>8058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117.5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1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105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77" priority="1" operator="containsText" text="UNP">
      <formula>NOT(ISERROR(SEARCH("UNP",G6)))</formula>
    </cfRule>
    <cfRule type="containsText" dxfId="76" priority="2" operator="containsText" text="Ordered">
      <formula>NOT(ISERROR(SEARCH("Ordered",G6)))</formula>
    </cfRule>
    <cfRule type="containsText" dxfId="75" priority="3" operator="containsText" text="Pick Up">
      <formula>NOT(ISERROR(SEARCH("Pick Up",G6)))</formula>
    </cfRule>
    <cfRule type="containsText" dxfId="7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3CAE325B-BA91-4371-823D-A8CE30EA6825}">
      <formula1>"UNP, Ordered, Pick Up, Complete"</formula1>
    </dataValidation>
    <dataValidation type="decimal" allowBlank="1" showInputMessage="1" showErrorMessage="1" sqref="L2" xr:uid="{75311DBA-8584-4150-9B1A-E16A7B64434F}">
      <formula1>19</formula1>
      <formula2>26</formula2>
    </dataValidation>
  </dataValidations>
  <hyperlinks>
    <hyperlink ref="A1:A2" location="Menu!A1" display="Back to Menu" xr:uid="{2625E06D-5DAC-47A4-AF4B-E5255A22CF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022A-EDE5-43D1-8AB0-7377C6104DBE}">
  <sheetPr codeName="Sheet27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107</v>
      </c>
      <c r="D2" s="33"/>
      <c r="E2" s="33" t="s">
        <v>108</v>
      </c>
      <c r="F2" s="33"/>
      <c r="G2" s="1" t="s">
        <v>109</v>
      </c>
      <c r="K2" s="5" t="s">
        <v>9</v>
      </c>
      <c r="L2" s="5">
        <v>22.6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45</v>
      </c>
      <c r="K4" s="5" t="s">
        <v>12</v>
      </c>
      <c r="L4" s="5">
        <v>45.1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43</v>
      </c>
    </row>
    <row r="6" spans="1:12" x14ac:dyDescent="0.3">
      <c r="A6" s="4"/>
      <c r="B6" s="40" t="s">
        <v>18</v>
      </c>
      <c r="C6" s="40"/>
      <c r="D6" s="40"/>
      <c r="E6" s="5">
        <v>7046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35.6</v>
      </c>
    </row>
    <row r="7" spans="1:12" x14ac:dyDescent="0.3">
      <c r="A7" s="2"/>
      <c r="B7" s="33" t="s">
        <v>21</v>
      </c>
      <c r="C7" s="33"/>
      <c r="D7" s="33"/>
      <c r="E7" s="1">
        <v>19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0" t="s">
        <v>19</v>
      </c>
      <c r="C8" s="40"/>
      <c r="D8" s="40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247.5</v>
      </c>
    </row>
    <row r="9" spans="1:12" x14ac:dyDescent="0.3">
      <c r="A9" s="2"/>
      <c r="B9" s="33" t="s">
        <v>20</v>
      </c>
      <c r="C9" s="33"/>
      <c r="D9" s="33"/>
      <c r="E9" s="1">
        <v>7044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90</v>
      </c>
    </row>
    <row r="10" spans="1:12" x14ac:dyDescent="0.3">
      <c r="A10" s="4"/>
      <c r="B10" s="40" t="s">
        <v>24</v>
      </c>
      <c r="C10" s="40"/>
      <c r="D10" s="40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110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112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73" priority="1" operator="containsText" text="UNP">
      <formula>NOT(ISERROR(SEARCH("UNP",G6)))</formula>
    </cfRule>
    <cfRule type="containsText" dxfId="72" priority="2" operator="containsText" text="Ordered">
      <formula>NOT(ISERROR(SEARCH("Ordered",G6)))</formula>
    </cfRule>
    <cfRule type="containsText" dxfId="71" priority="3" operator="containsText" text="Pick Up">
      <formula>NOT(ISERROR(SEARCH("Pick Up",G6)))</formula>
    </cfRule>
    <cfRule type="containsText" dxfId="7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73E6F9D5-2597-43E1-A38E-CA33CCDC588E}">
      <formula1>"UNP, Ordered, Pick Up, Complete"</formula1>
    </dataValidation>
    <dataValidation type="decimal" allowBlank="1" showInputMessage="1" showErrorMessage="1" sqref="L2" xr:uid="{78FDC447-D9FB-4B2D-876A-F7E0B6B91086}">
      <formula1>19</formula1>
      <formula2>26</formula2>
    </dataValidation>
  </dataValidations>
  <hyperlinks>
    <hyperlink ref="A1:A2" location="Menu!A1" display="Back to Menu" xr:uid="{B3FE7FC7-A646-4DA8-9453-A8FB37FDD0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A6C7-6612-4247-8150-A80117DCA5B0}">
  <sheetPr codeName="Sheet28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113</v>
      </c>
      <c r="D2" s="33"/>
      <c r="E2" s="33" t="s">
        <v>114</v>
      </c>
      <c r="F2" s="33"/>
      <c r="G2" s="1" t="s">
        <v>115</v>
      </c>
      <c r="K2" s="5" t="s">
        <v>9</v>
      </c>
      <c r="L2" s="5">
        <v>19.3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7">
        <v>4308288616</v>
      </c>
      <c r="C4" s="38"/>
      <c r="D4" s="38"/>
      <c r="E4" s="38"/>
      <c r="F4" s="39"/>
      <c r="G4" s="1" t="s">
        <v>45</v>
      </c>
      <c r="K4" s="5" t="s">
        <v>12</v>
      </c>
      <c r="L4" s="5">
        <v>31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30</v>
      </c>
    </row>
    <row r="6" spans="1:12" x14ac:dyDescent="0.3">
      <c r="A6" s="4"/>
      <c r="B6" s="40" t="s">
        <v>18</v>
      </c>
      <c r="C6" s="40"/>
      <c r="D6" s="40"/>
      <c r="E6" s="5">
        <v>6432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48.6</v>
      </c>
    </row>
    <row r="7" spans="1:12" x14ac:dyDescent="0.3">
      <c r="A7" s="2"/>
      <c r="B7" s="33" t="s">
        <v>21</v>
      </c>
      <c r="C7" s="33"/>
      <c r="D7" s="33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63.3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303.2</v>
      </c>
    </row>
    <row r="9" spans="1:12" x14ac:dyDescent="0.3">
      <c r="A9" s="2"/>
      <c r="B9" s="33" t="s">
        <v>20</v>
      </c>
      <c r="C9" s="33"/>
      <c r="D9" s="33"/>
      <c r="E9" s="1">
        <v>6444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96.8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46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83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95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6.125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6432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106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69" priority="1" operator="containsText" text="UNP">
      <formula>NOT(ISERROR(SEARCH("UNP",G6)))</formula>
    </cfRule>
    <cfRule type="containsText" dxfId="68" priority="2" operator="containsText" text="Ordered">
      <formula>NOT(ISERROR(SEARCH("Ordered",G6)))</formula>
    </cfRule>
    <cfRule type="containsText" dxfId="67" priority="3" operator="containsText" text="Pick Up">
      <formula>NOT(ISERROR(SEARCH("Pick Up",G6)))</formula>
    </cfRule>
    <cfRule type="containsText" dxfId="6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1A8AB243-01AA-4841-BD08-7B6D57BD84F4}">
      <formula1>"UNP, Ordered, Pick Up, Complete"</formula1>
    </dataValidation>
    <dataValidation type="decimal" allowBlank="1" showInputMessage="1" showErrorMessage="1" sqref="L2" xr:uid="{76088D09-D819-4E02-8E7B-E6A091934EAE}">
      <formula1>19</formula1>
      <formula2>26</formula2>
    </dataValidation>
  </dataValidations>
  <hyperlinks>
    <hyperlink ref="A1:A2" location="Menu!A1" display="Back to Menu" xr:uid="{E58B44C2-2FA0-470D-8FF1-8553B19253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F732-4311-472C-B6ED-5D134ED0C79B}">
  <sheetPr codeName="Sheet29"/>
  <dimension ref="A1:L26"/>
  <sheetViews>
    <sheetView workbookViewId="0">
      <selection activeCell="L9" sqref="L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117</v>
      </c>
      <c r="D2" s="33"/>
      <c r="E2" s="33" t="s">
        <v>79</v>
      </c>
      <c r="F2" s="33"/>
      <c r="G2" s="1" t="s">
        <v>118</v>
      </c>
      <c r="K2" s="5" t="s">
        <v>9</v>
      </c>
      <c r="L2" s="5">
        <v>25.6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7">
        <v>3583735272</v>
      </c>
      <c r="C4" s="38"/>
      <c r="D4" s="38"/>
      <c r="E4" s="38"/>
      <c r="F4" s="39"/>
      <c r="G4" s="1" t="s">
        <v>45</v>
      </c>
      <c r="K4" s="5" t="s">
        <v>12</v>
      </c>
      <c r="L4" s="5">
        <v>46.7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33.4</v>
      </c>
    </row>
    <row r="6" spans="1:12" x14ac:dyDescent="0.3">
      <c r="A6" s="4"/>
      <c r="B6" s="40" t="s">
        <v>18</v>
      </c>
      <c r="C6" s="40"/>
      <c r="D6" s="40"/>
      <c r="E6" s="5">
        <v>7048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38.1</v>
      </c>
    </row>
    <row r="7" spans="1:12" x14ac:dyDescent="0.3">
      <c r="A7" s="2"/>
      <c r="B7" s="33" t="s">
        <v>21</v>
      </c>
      <c r="C7" s="33"/>
      <c r="D7" s="33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0" t="s">
        <v>19</v>
      </c>
      <c r="C8" s="40"/>
      <c r="D8" s="40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235.3</v>
      </c>
    </row>
    <row r="9" spans="1:12" x14ac:dyDescent="0.3">
      <c r="A9" s="2"/>
      <c r="B9" s="33" t="s">
        <v>20</v>
      </c>
      <c r="C9" s="33"/>
      <c r="D9" s="33"/>
      <c r="E9" s="1">
        <v>6733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124.9</v>
      </c>
    </row>
    <row r="10" spans="1:12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72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6734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65" priority="1" operator="containsText" text="UNP">
      <formula>NOT(ISERROR(SEARCH("UNP",G6)))</formula>
    </cfRule>
    <cfRule type="containsText" dxfId="64" priority="2" operator="containsText" text="Ordered">
      <formula>NOT(ISERROR(SEARCH("Ordered",G6)))</formula>
    </cfRule>
    <cfRule type="containsText" dxfId="63" priority="3" operator="containsText" text="Pick Up">
      <formula>NOT(ISERROR(SEARCH("Pick Up",G6)))</formula>
    </cfRule>
    <cfRule type="containsText" dxfId="6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850B4C3-A990-479B-8EEB-892F34EAFD90}">
      <formula1>"UNP, Ordered, Pick Up, Complete"</formula1>
    </dataValidation>
    <dataValidation type="decimal" allowBlank="1" showInputMessage="1" showErrorMessage="1" sqref="L2" xr:uid="{1921D0FD-18D4-4B85-89D3-5CA5F64DCAB3}">
      <formula1>19</formula1>
      <formula2>26</formula2>
    </dataValidation>
  </dataValidations>
  <hyperlinks>
    <hyperlink ref="A1:A2" location="Menu!A1" display="Back to Menu" xr:uid="{BD1AEC62-2D42-42FA-9110-AC137278FB41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9300-BEA1-438E-A5E2-AF6A94A401E2}">
  <sheetPr codeName="Sheet3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120</v>
      </c>
      <c r="D2" s="33"/>
      <c r="E2" s="33" t="s">
        <v>121</v>
      </c>
      <c r="F2" s="33"/>
      <c r="G2" s="1" t="s">
        <v>122</v>
      </c>
      <c r="K2" s="5" t="s">
        <v>9</v>
      </c>
      <c r="L2" s="5">
        <v>24.8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37">
        <v>3004226335</v>
      </c>
      <c r="C4" s="38"/>
      <c r="D4" s="38"/>
      <c r="E4" s="38"/>
      <c r="F4" s="39"/>
      <c r="G4" s="1" t="s">
        <v>68</v>
      </c>
      <c r="K4" s="5" t="s">
        <v>12</v>
      </c>
      <c r="L4" s="5">
        <v>36.299999999999997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32</v>
      </c>
    </row>
    <row r="6" spans="1:12" x14ac:dyDescent="0.3">
      <c r="A6" s="4"/>
      <c r="B6" s="40" t="s">
        <v>18</v>
      </c>
      <c r="C6" s="40"/>
      <c r="D6" s="40"/>
      <c r="E6" s="5">
        <v>7038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49.6</v>
      </c>
    </row>
    <row r="7" spans="1:12" x14ac:dyDescent="0.3">
      <c r="A7" s="2"/>
      <c r="B7" s="33" t="s">
        <v>21</v>
      </c>
      <c r="C7" s="33"/>
      <c r="D7" s="33"/>
      <c r="E7" s="1" t="s">
        <v>123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282.2</v>
      </c>
    </row>
    <row r="9" spans="1:12" x14ac:dyDescent="0.3">
      <c r="A9" s="2"/>
      <c r="B9" s="33" t="s">
        <v>20</v>
      </c>
      <c r="C9" s="33"/>
      <c r="D9" s="33"/>
      <c r="E9" s="1" t="s">
        <v>124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</v>
      </c>
    </row>
    <row r="10" spans="1:12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3" t="s">
        <v>23</v>
      </c>
      <c r="C11" s="33"/>
      <c r="D11" s="33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125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101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7036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7034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126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61" priority="1" operator="containsText" text="UNP">
      <formula>NOT(ISERROR(SEARCH("UNP",G6)))</formula>
    </cfRule>
    <cfRule type="containsText" dxfId="60" priority="2" operator="containsText" text="Ordered">
      <formula>NOT(ISERROR(SEARCH("Ordered",G6)))</formula>
    </cfRule>
    <cfRule type="containsText" dxfId="59" priority="3" operator="containsText" text="Pick Up">
      <formula>NOT(ISERROR(SEARCH("Pick Up",G6)))</formula>
    </cfRule>
    <cfRule type="containsText" dxfId="5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E6F44EC9-4D86-44EA-A67A-23E6F279D6BF}">
      <formula1>"UNP, Ordered, Pick Up, Complete"</formula1>
    </dataValidation>
    <dataValidation type="decimal" allowBlank="1" showInputMessage="1" showErrorMessage="1" sqref="L2" xr:uid="{587CEC25-D191-46D3-9212-8B5D595E404E}">
      <formula1>19</formula1>
      <formula2>26</formula2>
    </dataValidation>
  </dataValidations>
  <hyperlinks>
    <hyperlink ref="A1:A2" location="Menu!A1" display="Back to Menu" xr:uid="{E584AE6C-E5EA-4D14-B60E-2D0CB5D3B9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2597-F7FB-483B-BE6F-CC3FA75B506A}">
  <sheetPr codeName="Sheet33"/>
  <dimension ref="A1:L26"/>
  <sheetViews>
    <sheetView topLeftCell="A13"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127</v>
      </c>
      <c r="D2" s="33"/>
      <c r="E2" s="33" t="s">
        <v>128</v>
      </c>
      <c r="F2" s="33"/>
      <c r="G2" s="1" t="s">
        <v>129</v>
      </c>
      <c r="K2" s="5" t="s">
        <v>9</v>
      </c>
      <c r="L2" s="5">
        <v>19.899999999999999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17.8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68</v>
      </c>
      <c r="K4" s="5" t="s">
        <v>12</v>
      </c>
      <c r="L4" s="5">
        <v>27.7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51.5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51.5</v>
      </c>
    </row>
    <row r="7" spans="1:12" x14ac:dyDescent="0.3">
      <c r="A7" s="2"/>
      <c r="B7" s="33" t="s">
        <v>21</v>
      </c>
      <c r="C7" s="33"/>
      <c r="D7" s="33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74.2</v>
      </c>
    </row>
    <row r="8" spans="1:12" x14ac:dyDescent="0.3">
      <c r="A8" s="4"/>
      <c r="B8" s="40" t="s">
        <v>19</v>
      </c>
      <c r="C8" s="40"/>
      <c r="D8" s="40"/>
      <c r="E8" s="5" t="s">
        <v>49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227</v>
      </c>
    </row>
    <row r="9" spans="1:12" x14ac:dyDescent="0.3">
      <c r="A9" s="2"/>
      <c r="B9" s="33" t="s">
        <v>20</v>
      </c>
      <c r="C9" s="33"/>
      <c r="D9" s="33"/>
      <c r="E9" s="1" t="s">
        <v>130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104.8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67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131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6.375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132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57" priority="1" operator="containsText" text="UNP">
      <formula>NOT(ISERROR(SEARCH("UNP",G6)))</formula>
    </cfRule>
    <cfRule type="containsText" dxfId="56" priority="2" operator="containsText" text="Ordered">
      <formula>NOT(ISERROR(SEARCH("Ordered",G6)))</formula>
    </cfRule>
    <cfRule type="containsText" dxfId="55" priority="3" operator="containsText" text="Pick Up">
      <formula>NOT(ISERROR(SEARCH("Pick Up",G6)))</formula>
    </cfRule>
    <cfRule type="containsText" dxfId="5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3F63529-1BE4-4E05-879B-BC2A341DEC5E}">
      <formula1>"UNP, Ordered, Pick Up, Complete"</formula1>
    </dataValidation>
    <dataValidation type="decimal" allowBlank="1" showInputMessage="1" showErrorMessage="1" sqref="L2" xr:uid="{F0E723FD-4288-47AE-A7BD-AB5BFC05E533}">
      <formula1>19</formula1>
      <formula2>26</formula2>
    </dataValidation>
  </dataValidations>
  <hyperlinks>
    <hyperlink ref="A1:A2" location="Menu!A1" display="Back to Menu" xr:uid="{A270E186-7144-442E-8297-05C63AD4C2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CF1B-5A11-44F9-BE3D-053FCB5CA0E6}">
  <sheetPr codeName="Sheet36"/>
  <dimension ref="A1:L26"/>
  <sheetViews>
    <sheetView workbookViewId="0">
      <selection activeCell="G14" sqref="G14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70</v>
      </c>
      <c r="D2" s="33"/>
      <c r="E2" s="33" t="s">
        <v>71</v>
      </c>
      <c r="F2" s="33"/>
      <c r="G2" s="1" t="s">
        <v>134</v>
      </c>
      <c r="K2" s="5" t="s">
        <v>9</v>
      </c>
      <c r="L2" s="5">
        <v>20.6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45</v>
      </c>
      <c r="K4" s="5" t="s">
        <v>12</v>
      </c>
      <c r="L4" s="5">
        <v>35.5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52.1</v>
      </c>
    </row>
    <row r="6" spans="1:12" x14ac:dyDescent="0.3">
      <c r="A6" s="4"/>
      <c r="B6" s="40" t="s">
        <v>18</v>
      </c>
      <c r="C6" s="40"/>
      <c r="D6" s="40"/>
      <c r="E6" s="5">
        <v>7336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36.700000000000003</v>
      </c>
    </row>
    <row r="7" spans="1:12" x14ac:dyDescent="0.3">
      <c r="A7" s="2"/>
      <c r="B7" s="33" t="s">
        <v>21</v>
      </c>
      <c r="C7" s="33"/>
      <c r="D7" s="33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70.599999999999994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293.10000000000002</v>
      </c>
    </row>
    <row r="9" spans="1:12" x14ac:dyDescent="0.3">
      <c r="A9" s="2"/>
      <c r="B9" s="33" t="s">
        <v>20</v>
      </c>
      <c r="C9" s="33"/>
      <c r="D9" s="33"/>
      <c r="E9" s="1">
        <v>7652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114.1</v>
      </c>
    </row>
    <row r="10" spans="1:12" x14ac:dyDescent="0.3">
      <c r="A10" s="4"/>
      <c r="B10" s="40" t="s">
        <v>24</v>
      </c>
      <c r="C10" s="40"/>
      <c r="D10" s="40"/>
      <c r="E10" s="9">
        <v>6.625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8.9</v>
      </c>
    </row>
    <row r="11" spans="1:12" x14ac:dyDescent="0.3">
      <c r="A11" s="2"/>
      <c r="B11" s="33" t="s">
        <v>23</v>
      </c>
      <c r="C11" s="33"/>
      <c r="D11" s="33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135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46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6.625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7336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53" priority="1" operator="containsText" text="UNP">
      <formula>NOT(ISERROR(SEARCH("UNP",G6)))</formula>
    </cfRule>
    <cfRule type="containsText" dxfId="52" priority="2" operator="containsText" text="Ordered">
      <formula>NOT(ISERROR(SEARCH("Ordered",G6)))</formula>
    </cfRule>
    <cfRule type="containsText" dxfId="51" priority="3" operator="containsText" text="Pick Up">
      <formula>NOT(ISERROR(SEARCH("Pick Up",G6)))</formula>
    </cfRule>
    <cfRule type="containsText" dxfId="5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CA6C69B-18EF-4D14-8309-7F1DD9A8ACB7}">
      <formula1>"UNP, Ordered, Pick Up, Complete"</formula1>
    </dataValidation>
    <dataValidation type="decimal" allowBlank="1" showInputMessage="1" showErrorMessage="1" sqref="L2" xr:uid="{6618D394-1DC2-4555-8929-2EE850AFBF9D}">
      <formula1>19</formula1>
      <formula2>26</formula2>
    </dataValidation>
  </dataValidations>
  <hyperlinks>
    <hyperlink ref="A1:A2" location="Menu!A1" display="Back to Menu" xr:uid="{C2C3B16A-F023-4FD7-9C69-DC5F8F1DED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4D33-ED1E-4311-B243-634F4E5AC765}">
  <sheetPr codeName="Sheet37"/>
  <dimension ref="A1:L26"/>
  <sheetViews>
    <sheetView workbookViewId="0">
      <selection activeCell="P17" sqref="P17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136</v>
      </c>
      <c r="D2" s="33"/>
      <c r="E2" s="33" t="s">
        <v>121</v>
      </c>
      <c r="F2" s="33"/>
      <c r="G2" s="1" t="s">
        <v>137</v>
      </c>
      <c r="K2" s="5" t="s">
        <v>9</v>
      </c>
      <c r="L2" s="5">
        <v>22.4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7">
        <v>4782338398</v>
      </c>
      <c r="C4" s="38"/>
      <c r="D4" s="38"/>
      <c r="E4" s="38"/>
      <c r="F4" s="39"/>
      <c r="G4" s="1" t="s">
        <v>45</v>
      </c>
      <c r="K4" s="5" t="s">
        <v>12</v>
      </c>
      <c r="L4" s="5">
        <v>33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54.6</v>
      </c>
    </row>
    <row r="6" spans="1:12" x14ac:dyDescent="0.3">
      <c r="A6" s="4"/>
      <c r="B6" s="40" t="s">
        <v>18</v>
      </c>
      <c r="C6" s="40"/>
      <c r="D6" s="40"/>
      <c r="E6" s="5">
        <v>6134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40.700000000000003</v>
      </c>
    </row>
    <row r="7" spans="1:12" x14ac:dyDescent="0.3">
      <c r="A7" s="2"/>
      <c r="B7" s="33" t="s">
        <v>21</v>
      </c>
      <c r="C7" s="33"/>
      <c r="D7" s="33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55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293.89999999999998</v>
      </c>
    </row>
    <row r="9" spans="1:12" x14ac:dyDescent="0.3">
      <c r="A9" s="2"/>
      <c r="B9" s="33" t="s">
        <v>20</v>
      </c>
      <c r="C9" s="33"/>
      <c r="D9" s="33"/>
      <c r="E9" s="1">
        <v>6456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128</v>
      </c>
    </row>
    <row r="10" spans="1:12" x14ac:dyDescent="0.3">
      <c r="A10" s="4"/>
      <c r="B10" s="40" t="s">
        <v>24</v>
      </c>
      <c r="C10" s="40"/>
      <c r="D10" s="40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7.7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6440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111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6436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49" priority="1" operator="containsText" text="UNP">
      <formula>NOT(ISERROR(SEARCH("UNP",G6)))</formula>
    </cfRule>
    <cfRule type="containsText" dxfId="48" priority="2" operator="containsText" text="Ordered">
      <formula>NOT(ISERROR(SEARCH("Ordered",G6)))</formula>
    </cfRule>
    <cfRule type="containsText" dxfId="47" priority="3" operator="containsText" text="Pick Up">
      <formula>NOT(ISERROR(SEARCH("Pick Up",G6)))</formula>
    </cfRule>
    <cfRule type="containsText" dxfId="4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3C74062-ADFF-4C64-A136-781FC6333EC8}">
      <formula1>"UNP, Ordered, Pick Up, Complete"</formula1>
    </dataValidation>
    <dataValidation type="decimal" allowBlank="1" showInputMessage="1" showErrorMessage="1" sqref="L2" xr:uid="{AAA0AC7D-DC80-4633-B943-ACCCA35F7F94}">
      <formula1>19</formula1>
      <formula2>26</formula2>
    </dataValidation>
  </dataValidations>
  <hyperlinks>
    <hyperlink ref="A1:A2" location="Menu!A1" display="Back to Menu" xr:uid="{CA2A2837-FFA0-4028-B248-205F2C9E50D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9C3-5734-4F4E-846F-FA1B8C901D24}">
  <sheetPr codeName="Sheet38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10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139</v>
      </c>
      <c r="D2" s="33"/>
      <c r="E2" s="33" t="s">
        <v>140</v>
      </c>
      <c r="F2" s="33"/>
      <c r="G2" s="1" t="s">
        <v>141</v>
      </c>
      <c r="K2" s="5" t="s">
        <v>9</v>
      </c>
      <c r="L2" s="5">
        <v>20.5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17.2</v>
      </c>
    </row>
    <row r="4" spans="1:12" x14ac:dyDescent="0.3">
      <c r="A4" s="1" t="s">
        <v>39</v>
      </c>
      <c r="B4" s="37">
        <v>6016884954</v>
      </c>
      <c r="C4" s="38"/>
      <c r="D4" s="38"/>
      <c r="E4" s="38"/>
      <c r="F4" s="39"/>
      <c r="G4" s="1" t="s">
        <v>68</v>
      </c>
      <c r="K4" s="5" t="s">
        <v>12</v>
      </c>
      <c r="L4" s="5">
        <v>31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54.9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138</v>
      </c>
      <c r="H6" s="13" t="str">
        <f>HYPERLINK("#G6",CHAR(128))</f>
        <v>€</v>
      </c>
      <c r="K6" s="5" t="s">
        <v>14</v>
      </c>
      <c r="L6" s="5">
        <v>53.9</v>
      </c>
    </row>
    <row r="7" spans="1:12" x14ac:dyDescent="0.3">
      <c r="A7" s="2"/>
      <c r="B7" s="33" t="s">
        <v>21</v>
      </c>
      <c r="C7" s="33"/>
      <c r="D7" s="33"/>
      <c r="E7" s="1" t="s">
        <v>142</v>
      </c>
      <c r="F7" s="5">
        <v>1</v>
      </c>
      <c r="G7" s="11" t="s">
        <v>138</v>
      </c>
      <c r="H7" s="14" t="str">
        <f>HYPERLINK("#G7",CHAR(128))</f>
        <v>€</v>
      </c>
      <c r="K7" s="1" t="s">
        <v>15</v>
      </c>
      <c r="L7" s="1">
        <v>73.400000000000006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138</v>
      </c>
      <c r="H8" s="17" t="str">
        <f>HYPERLINK("#G8",CHAR(128))</f>
        <v>€</v>
      </c>
      <c r="K8" s="5" t="s">
        <v>16</v>
      </c>
      <c r="L8" s="5">
        <v>263.10000000000002</v>
      </c>
    </row>
    <row r="9" spans="1:12" x14ac:dyDescent="0.3">
      <c r="A9" s="2"/>
      <c r="B9" s="33" t="s">
        <v>20</v>
      </c>
      <c r="C9" s="33"/>
      <c r="D9" s="33"/>
      <c r="E9" s="1" t="s">
        <v>143</v>
      </c>
      <c r="F9" s="5">
        <v>1</v>
      </c>
      <c r="G9" s="11" t="s">
        <v>138</v>
      </c>
      <c r="H9" s="14" t="str">
        <f>HYPERLINK("#G9",CHAR(128))</f>
        <v>€</v>
      </c>
      <c r="I9" s="12"/>
      <c r="K9" s="1" t="s">
        <v>17</v>
      </c>
      <c r="L9" s="1">
        <v>100.9</v>
      </c>
    </row>
    <row r="10" spans="1:12" x14ac:dyDescent="0.3">
      <c r="A10" s="4"/>
      <c r="B10" s="40" t="s">
        <v>24</v>
      </c>
      <c r="C10" s="40"/>
      <c r="D10" s="40"/>
      <c r="E10" s="9">
        <v>6.5</v>
      </c>
      <c r="F10" s="5">
        <v>1</v>
      </c>
      <c r="G10" s="11" t="s">
        <v>138</v>
      </c>
      <c r="H10" s="17" t="str">
        <f>HYPERLINK("#G10",CHAR(128))</f>
        <v>€</v>
      </c>
      <c r="K10" s="1" t="s">
        <v>99</v>
      </c>
      <c r="L10" s="1">
        <v>8.1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138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138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144</v>
      </c>
      <c r="F13" s="5">
        <v>1</v>
      </c>
      <c r="G13" s="11" t="s">
        <v>138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145</v>
      </c>
      <c r="F14" s="5">
        <v>1</v>
      </c>
      <c r="G14" s="11" t="s">
        <v>138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46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6.5</v>
      </c>
      <c r="F21" s="5">
        <v>1</v>
      </c>
      <c r="G21" s="11" t="s">
        <v>65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138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98</v>
      </c>
      <c r="F24" s="5">
        <v>1</v>
      </c>
      <c r="G24" s="11" t="s">
        <v>138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138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45" priority="3" operator="containsText" text="UNP">
      <formula>NOT(ISERROR(SEARCH("UNP",G6)))</formula>
    </cfRule>
    <cfRule type="containsText" dxfId="44" priority="4" operator="containsText" text="Ordered">
      <formula>NOT(ISERROR(SEARCH("Ordered",G6)))</formula>
    </cfRule>
    <cfRule type="containsText" dxfId="43" priority="5" operator="containsText" text="Pick Up">
      <formula>NOT(ISERROR(SEARCH("Pick Up",G6)))</formula>
    </cfRule>
    <cfRule type="containsText" dxfId="42" priority="6" operator="containsText" text="Complete">
      <formula>NOT(ISERROR(SEARCH("Complete",G6)))</formula>
    </cfRule>
  </conditionalFormatting>
  <conditionalFormatting sqref="G7:G26">
    <cfRule type="cellIs" dxfId="41" priority="2" operator="equal">
      <formula>"Ready To Order"</formula>
    </cfRule>
  </conditionalFormatting>
  <conditionalFormatting sqref="G6">
    <cfRule type="cellIs" dxfId="40" priority="1" operator="equal">
      <formula>"Ready To Order"</formula>
    </cfRule>
  </conditionalFormatting>
  <dataValidations count="2">
    <dataValidation type="list" allowBlank="1" showInputMessage="1" showErrorMessage="1" sqref="G6:G26" xr:uid="{1C6BE9B4-40C4-4B29-BB35-215B1E50BC7A}">
      <formula1>"UNP, Ready To Order, Ordered, Pick Up, Complete"</formula1>
    </dataValidation>
    <dataValidation type="decimal" allowBlank="1" showInputMessage="1" showErrorMessage="1" sqref="L2" xr:uid="{C77A051E-B69A-4232-ACEB-300E30AD077F}">
      <formula1>19</formula1>
      <formula2>26</formula2>
    </dataValidation>
  </dataValidations>
  <hyperlinks>
    <hyperlink ref="A1:A2" location="Menu!A1" display="Back to Menu" xr:uid="{7F2E148A-4211-45A8-A90F-B2780C9C5C8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EF44-80FD-4CDB-BAA8-F78B02E0FFE9}">
  <sheetPr codeName="Sheet39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88</v>
      </c>
      <c r="D2" s="33"/>
      <c r="E2" s="33" t="s">
        <v>114</v>
      </c>
      <c r="F2" s="33"/>
      <c r="G2" s="1" t="s">
        <v>146</v>
      </c>
      <c r="K2" s="5" t="s">
        <v>9</v>
      </c>
      <c r="L2" s="5">
        <v>21.4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14.7</v>
      </c>
    </row>
    <row r="4" spans="1:12" x14ac:dyDescent="0.3">
      <c r="A4" s="1" t="s">
        <v>39</v>
      </c>
      <c r="B4" s="37">
        <v>7601354733</v>
      </c>
      <c r="C4" s="38"/>
      <c r="D4" s="38"/>
      <c r="E4" s="38"/>
      <c r="F4" s="39"/>
      <c r="G4" s="1" t="s">
        <v>45</v>
      </c>
      <c r="K4" s="5" t="s">
        <v>12</v>
      </c>
      <c r="L4" s="5">
        <v>25.8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43.8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138</v>
      </c>
      <c r="H6" s="13" t="str">
        <f>HYPERLINK("#G6",CHAR(128))</f>
        <v>€</v>
      </c>
      <c r="K6" s="5" t="s">
        <v>14</v>
      </c>
      <c r="L6" s="5">
        <v>59.1</v>
      </c>
    </row>
    <row r="7" spans="1:12" x14ac:dyDescent="0.3">
      <c r="A7" s="2"/>
      <c r="B7" s="33" t="s">
        <v>21</v>
      </c>
      <c r="C7" s="33"/>
      <c r="D7" s="33"/>
      <c r="E7" s="1">
        <v>16</v>
      </c>
      <c r="F7" s="5">
        <v>1</v>
      </c>
      <c r="G7" s="48" t="s">
        <v>138</v>
      </c>
      <c r="H7" s="14" t="str">
        <f>HYPERLINK("#G7",CHAR(128))</f>
        <v>€</v>
      </c>
      <c r="K7" s="1" t="s">
        <v>15</v>
      </c>
      <c r="L7" s="1">
        <v>75.2</v>
      </c>
    </row>
    <row r="8" spans="1:12" x14ac:dyDescent="0.3">
      <c r="A8" s="4"/>
      <c r="B8" s="40" t="s">
        <v>19</v>
      </c>
      <c r="C8" s="40"/>
      <c r="D8" s="40"/>
      <c r="E8" s="5" t="s">
        <v>49</v>
      </c>
      <c r="F8" s="5">
        <v>1</v>
      </c>
      <c r="G8" s="48" t="s">
        <v>138</v>
      </c>
      <c r="H8" s="17" t="str">
        <f>HYPERLINK("#G8",CHAR(128))</f>
        <v>€</v>
      </c>
      <c r="K8" s="5" t="s">
        <v>16</v>
      </c>
      <c r="L8" s="5">
        <v>283.89999999999998</v>
      </c>
    </row>
    <row r="9" spans="1:12" x14ac:dyDescent="0.3">
      <c r="A9" s="2"/>
      <c r="B9" s="33" t="s">
        <v>20</v>
      </c>
      <c r="C9" s="33"/>
      <c r="D9" s="33"/>
      <c r="E9" s="1">
        <v>7654</v>
      </c>
      <c r="F9" s="5">
        <v>1</v>
      </c>
      <c r="G9" s="48" t="s">
        <v>138</v>
      </c>
      <c r="H9" s="14" t="str">
        <f>HYPERLINK("#G9",CHAR(128))</f>
        <v>€</v>
      </c>
      <c r="I9" s="12"/>
      <c r="K9" s="1" t="s">
        <v>17</v>
      </c>
      <c r="L9" s="1">
        <v>115.6</v>
      </c>
    </row>
    <row r="10" spans="1:12" x14ac:dyDescent="0.3">
      <c r="A10" s="4"/>
      <c r="B10" s="40" t="s">
        <v>24</v>
      </c>
      <c r="C10" s="40"/>
      <c r="D10" s="40"/>
      <c r="E10" s="9">
        <v>6.875</v>
      </c>
      <c r="F10" s="5">
        <v>1</v>
      </c>
      <c r="G10" s="48" t="s">
        <v>138</v>
      </c>
      <c r="H10" s="17" t="str">
        <f>HYPERLINK("#G10",CHAR(128))</f>
        <v>€</v>
      </c>
      <c r="K10" s="1" t="s">
        <v>99</v>
      </c>
      <c r="L10" s="1">
        <v>6.3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48" t="s">
        <v>138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48" t="s">
        <v>138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48" t="s">
        <v>138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147</v>
      </c>
      <c r="F14" s="5">
        <v>1</v>
      </c>
      <c r="G14" s="48" t="s">
        <v>138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48" t="s">
        <v>138</v>
      </c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48" t="s">
        <v>138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54</v>
      </c>
      <c r="F17" s="5">
        <v>1</v>
      </c>
      <c r="G17" s="48" t="s">
        <v>138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48" t="s">
        <v>138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95</v>
      </c>
      <c r="F19" s="5">
        <v>1</v>
      </c>
      <c r="G19" s="48" t="s">
        <v>138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48" t="s">
        <v>138</v>
      </c>
      <c r="H20" s="18"/>
    </row>
    <row r="21" spans="1:9" x14ac:dyDescent="0.3">
      <c r="A21" s="2"/>
      <c r="B21" s="33" t="s">
        <v>33</v>
      </c>
      <c r="C21" s="33"/>
      <c r="D21" s="33"/>
      <c r="E21" s="10">
        <v>6.875</v>
      </c>
      <c r="F21" s="5">
        <v>1</v>
      </c>
      <c r="G21" s="48" t="s">
        <v>138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48" t="s">
        <v>138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7646</v>
      </c>
      <c r="F23" s="5">
        <v>1</v>
      </c>
      <c r="G23" s="48" t="s">
        <v>138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48" t="s">
        <v>138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48" t="s">
        <v>138</v>
      </c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48" t="s">
        <v>138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39" priority="3" operator="containsText" text="UNP">
      <formula>NOT(ISERROR(SEARCH("UNP",G6)))</formula>
    </cfRule>
    <cfRule type="containsText" dxfId="38" priority="4" operator="containsText" text="Ordered">
      <formula>NOT(ISERROR(SEARCH("Ordered",G6)))</formula>
    </cfRule>
    <cfRule type="containsText" dxfId="37" priority="5" operator="containsText" text="Pick Up">
      <formula>NOT(ISERROR(SEARCH("Pick Up",G6)))</formula>
    </cfRule>
    <cfRule type="containsText" dxfId="36" priority="6" operator="containsText" text="Complete">
      <formula>NOT(ISERROR(SEARCH("Complete",G6)))</formula>
    </cfRule>
  </conditionalFormatting>
  <conditionalFormatting sqref="G7:G26">
    <cfRule type="cellIs" dxfId="35" priority="2" operator="equal">
      <formula>"Ready To Order"</formula>
    </cfRule>
  </conditionalFormatting>
  <conditionalFormatting sqref="G6:G26">
    <cfRule type="cellIs" dxfId="34" priority="1" operator="equal">
      <formula>"Ready To Order"</formula>
    </cfRule>
  </conditionalFormatting>
  <dataValidations count="2">
    <dataValidation type="list" allowBlank="1" showInputMessage="1" showErrorMessage="1" sqref="G6:G26" xr:uid="{30EFC22C-B416-4674-95D7-4BE948B2879D}">
      <formula1>"UNP, Ready To Order, Ordered, Pick Up, Complete"</formula1>
    </dataValidation>
    <dataValidation type="decimal" allowBlank="1" showInputMessage="1" showErrorMessage="1" sqref="L2" xr:uid="{5513312B-BF30-45E6-A109-CBCA513B4CD0}">
      <formula1>19</formula1>
      <formula2>26</formula2>
    </dataValidation>
  </dataValidations>
  <hyperlinks>
    <hyperlink ref="A1:A2" location="Menu!A1" display="Back to Menu" xr:uid="{B3F76746-884B-4110-9BCA-5E8FBEF6CBD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5AA9-C00E-48CD-B7E1-0064BE6EB77F}">
  <sheetPr codeName="Sheet4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139</v>
      </c>
      <c r="D2" s="33"/>
      <c r="E2" s="33" t="s">
        <v>89</v>
      </c>
      <c r="F2" s="33"/>
      <c r="G2" s="1" t="s">
        <v>148</v>
      </c>
      <c r="K2" s="5" t="s">
        <v>9</v>
      </c>
      <c r="L2" s="5">
        <v>19.600000000000001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37">
        <v>1524433885</v>
      </c>
      <c r="C4" s="38"/>
      <c r="D4" s="38"/>
      <c r="E4" s="38"/>
      <c r="F4" s="39"/>
      <c r="G4" s="1" t="s">
        <v>68</v>
      </c>
      <c r="K4" s="5" t="s">
        <v>12</v>
      </c>
      <c r="L4" s="5">
        <v>50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39</v>
      </c>
    </row>
    <row r="6" spans="1:12" x14ac:dyDescent="0.3">
      <c r="A6" s="4"/>
      <c r="B6" s="40" t="s">
        <v>18</v>
      </c>
      <c r="C6" s="40"/>
      <c r="D6" s="40"/>
      <c r="E6" s="5">
        <v>7050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58.8</v>
      </c>
    </row>
    <row r="7" spans="1:12" x14ac:dyDescent="0.3">
      <c r="A7" s="2"/>
      <c r="B7" s="33" t="s">
        <v>21</v>
      </c>
      <c r="C7" s="33"/>
      <c r="D7" s="33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63.8</v>
      </c>
    </row>
    <row r="8" spans="1:12" x14ac:dyDescent="0.3">
      <c r="A8" s="4"/>
      <c r="B8" s="40" t="s">
        <v>19</v>
      </c>
      <c r="C8" s="40"/>
      <c r="D8" s="40"/>
      <c r="E8" s="5" t="s">
        <v>92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296.10000000000002</v>
      </c>
    </row>
    <row r="9" spans="1:12" x14ac:dyDescent="0.3">
      <c r="A9" s="2"/>
      <c r="B9" s="33" t="s">
        <v>20</v>
      </c>
      <c r="C9" s="33"/>
      <c r="D9" s="33"/>
      <c r="E9" s="1" t="s">
        <v>149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127.8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9.8000000000000007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133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7052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6742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33" priority="3" operator="containsText" text="UNP">
      <formula>NOT(ISERROR(SEARCH("UNP",G6)))</formula>
    </cfRule>
    <cfRule type="containsText" dxfId="32" priority="4" operator="containsText" text="Ordered">
      <formula>NOT(ISERROR(SEARCH("Ordered",G6)))</formula>
    </cfRule>
    <cfRule type="containsText" dxfId="31" priority="5" operator="containsText" text="Pick Up">
      <formula>NOT(ISERROR(SEARCH("Pick Up",G6)))</formula>
    </cfRule>
    <cfRule type="containsText" dxfId="30" priority="6" operator="containsText" text="Complete">
      <formula>NOT(ISERROR(SEARCH("Complete",G6)))</formula>
    </cfRule>
  </conditionalFormatting>
  <conditionalFormatting sqref="G7:G26">
    <cfRule type="cellIs" dxfId="29" priority="2" operator="equal">
      <formula>"Ready To Order"</formula>
    </cfRule>
  </conditionalFormatting>
  <conditionalFormatting sqref="G6">
    <cfRule type="cellIs" dxfId="28" priority="1" operator="equal">
      <formula>"Ready To Order"</formula>
    </cfRule>
  </conditionalFormatting>
  <dataValidations count="2">
    <dataValidation type="list" allowBlank="1" showInputMessage="1" showErrorMessage="1" sqref="G6:G26" xr:uid="{5FDF0D85-D344-49B6-AD6C-679AFE15F47C}">
      <formula1>"UNP, Ready To Order, Ordered, Pick Up, Complete"</formula1>
    </dataValidation>
    <dataValidation type="decimal" allowBlank="1" showInputMessage="1" showErrorMessage="1" sqref="L2" xr:uid="{FBDDF2E1-D0CD-4093-AEF1-5C62996F82EE}">
      <formula1>19</formula1>
      <formula2>26</formula2>
    </dataValidation>
  </dataValidations>
  <hyperlinks>
    <hyperlink ref="A1:A2" location="Menu!A1" display="Back to Menu" xr:uid="{78FA3DCE-FBC2-4A3D-AACD-91D6ED72123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26"/>
  <sheetViews>
    <sheetView tabSelected="1" zoomScaleNormal="100" workbookViewId="0">
      <selection activeCell="D31" sqref="D31:G31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ht="17.2" customHeight="1" x14ac:dyDescent="0.3">
      <c r="A2" s="35"/>
      <c r="B2" s="2"/>
      <c r="C2" s="33"/>
      <c r="D2" s="33"/>
      <c r="E2" s="33"/>
      <c r="F2" s="33"/>
      <c r="G2" s="1"/>
      <c r="K2" s="5" t="s">
        <v>9</v>
      </c>
      <c r="L2" s="5"/>
    </row>
    <row r="3" spans="1:12" ht="17.2" customHeight="1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37"/>
      <c r="C4" s="38"/>
      <c r="D4" s="38"/>
      <c r="E4" s="38"/>
      <c r="F4" s="39"/>
      <c r="G4" s="1"/>
      <c r="K4" s="5" t="s">
        <v>12</v>
      </c>
      <c r="L4" s="5"/>
    </row>
    <row r="5" spans="1:12" ht="17.2" customHeight="1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/>
    </row>
    <row r="6" spans="1:12" ht="17.2" customHeight="1" x14ac:dyDescent="0.3">
      <c r="A6" s="4"/>
      <c r="B6" s="40" t="s">
        <v>18</v>
      </c>
      <c r="C6" s="40"/>
      <c r="D6" s="40"/>
      <c r="E6" s="5"/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/>
    </row>
    <row r="7" spans="1:12" ht="17.2" customHeight="1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/>
    </row>
    <row r="8" spans="1:12" ht="17.2" customHeight="1" x14ac:dyDescent="0.3">
      <c r="A8" s="4"/>
      <c r="B8" s="40" t="s">
        <v>19</v>
      </c>
      <c r="C8" s="40"/>
      <c r="D8" s="40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/>
    </row>
    <row r="9" spans="1:12" ht="17.2" customHeight="1" x14ac:dyDescent="0.3">
      <c r="A9" s="2"/>
      <c r="B9" s="33" t="s">
        <v>20</v>
      </c>
      <c r="C9" s="33"/>
      <c r="D9" s="33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/>
    </row>
    <row r="10" spans="1:12" ht="17.2" customHeight="1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/>
    </row>
    <row r="11" spans="1:12" ht="17.2" customHeight="1" x14ac:dyDescent="0.3">
      <c r="A11" s="2"/>
      <c r="B11" s="33" t="s">
        <v>23</v>
      </c>
      <c r="C11" s="33"/>
      <c r="D11" s="33"/>
      <c r="E11" s="1"/>
      <c r="F11" s="5">
        <v>1</v>
      </c>
      <c r="G11" s="11" t="s">
        <v>66</v>
      </c>
      <c r="H11" s="17" t="str">
        <f>HYPERLINK("#G11",CHAR(128))</f>
        <v>€</v>
      </c>
    </row>
    <row r="12" spans="1:12" ht="17.2" customHeight="1" x14ac:dyDescent="0.3">
      <c r="A12" s="6"/>
      <c r="B12" s="40" t="s">
        <v>25</v>
      </c>
      <c r="C12" s="40"/>
      <c r="D12" s="40"/>
      <c r="E12" s="5"/>
      <c r="F12" s="5">
        <v>1</v>
      </c>
      <c r="G12" s="11" t="s">
        <v>66</v>
      </c>
      <c r="H12" s="17" t="str">
        <f>HYPERLINK("#G12",CHAR(128))</f>
        <v>€</v>
      </c>
    </row>
    <row r="13" spans="1:12" ht="17.2" customHeight="1" x14ac:dyDescent="0.3">
      <c r="A13" s="2"/>
      <c r="B13" s="33" t="s">
        <v>26</v>
      </c>
      <c r="C13" s="33"/>
      <c r="D13" s="33"/>
      <c r="E13" s="1"/>
      <c r="F13" s="5">
        <v>1</v>
      </c>
      <c r="G13" s="11" t="s">
        <v>66</v>
      </c>
      <c r="H13" s="17" t="str">
        <f>HYPERLINK("#G13",CHAR(128))</f>
        <v>€</v>
      </c>
    </row>
    <row r="14" spans="1:12" ht="17.2" customHeight="1" x14ac:dyDescent="0.3">
      <c r="A14" s="6"/>
      <c r="B14" s="40" t="s">
        <v>27</v>
      </c>
      <c r="C14" s="40"/>
      <c r="D14" s="40"/>
      <c r="E14" s="5"/>
      <c r="F14" s="5">
        <v>1</v>
      </c>
      <c r="G14" s="11" t="s">
        <v>66</v>
      </c>
      <c r="H14" s="17" t="str">
        <f>HYPERLINK("#G14",CHAR(128))</f>
        <v>€</v>
      </c>
    </row>
    <row r="15" spans="1:12" ht="17.2" customHeight="1" x14ac:dyDescent="0.3">
      <c r="A15" s="2"/>
      <c r="B15" s="41"/>
      <c r="C15" s="41"/>
      <c r="D15" s="41"/>
      <c r="E15" s="1"/>
      <c r="F15" s="5"/>
      <c r="G15" s="11"/>
      <c r="H15" s="18"/>
    </row>
    <row r="16" spans="1:12" ht="17.2" customHeight="1" x14ac:dyDescent="0.3">
      <c r="A16" s="6"/>
      <c r="B16" s="40" t="s">
        <v>28</v>
      </c>
      <c r="C16" s="40"/>
      <c r="D16" s="40"/>
      <c r="E16" s="5"/>
      <c r="F16" s="5">
        <v>1</v>
      </c>
      <c r="G16" s="11" t="s">
        <v>66</v>
      </c>
      <c r="H16" s="17" t="str">
        <f>HYPERLINK("#G16",CHAR(128))</f>
        <v>€</v>
      </c>
    </row>
    <row r="17" spans="1:9" ht="17.2" customHeight="1" x14ac:dyDescent="0.3">
      <c r="A17" s="2"/>
      <c r="B17" s="33" t="s">
        <v>22</v>
      </c>
      <c r="C17" s="33"/>
      <c r="D17" s="33"/>
      <c r="E17" s="1"/>
      <c r="F17" s="5">
        <v>1</v>
      </c>
      <c r="G17" s="11" t="s">
        <v>66</v>
      </c>
      <c r="H17" s="17" t="str">
        <f>HYPERLINK("#G17",CHAR(128))</f>
        <v>€</v>
      </c>
    </row>
    <row r="18" spans="1:9" ht="17.2" customHeight="1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ht="17.2" customHeight="1" x14ac:dyDescent="0.3">
      <c r="A19" s="2"/>
      <c r="B19" s="33" t="s">
        <v>30</v>
      </c>
      <c r="C19" s="33"/>
      <c r="D19" s="33"/>
      <c r="E19" s="1"/>
      <c r="F19" s="5">
        <v>1</v>
      </c>
      <c r="G19" s="11" t="s">
        <v>66</v>
      </c>
      <c r="H19" s="17" t="str">
        <f>HYPERLINK("#G19",CHAR(128))</f>
        <v>€</v>
      </c>
    </row>
    <row r="20" spans="1:9" ht="17.2" customHeight="1" x14ac:dyDescent="0.3">
      <c r="A20" s="6"/>
      <c r="B20" s="42"/>
      <c r="C20" s="43"/>
      <c r="D20" s="44"/>
      <c r="E20" s="5"/>
      <c r="F20" s="5"/>
      <c r="G20" s="11"/>
      <c r="H20" s="18"/>
    </row>
    <row r="21" spans="1:9" ht="14.4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ht="14.4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ht="14.4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ht="14.4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ht="14.4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ht="14.4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15:D15"/>
    <mergeCell ref="B6:D6"/>
    <mergeCell ref="B7:D7"/>
    <mergeCell ref="B8:D8"/>
    <mergeCell ref="B9:D9"/>
    <mergeCell ref="A1:A2"/>
    <mergeCell ref="B14:D14"/>
    <mergeCell ref="B10:D10"/>
    <mergeCell ref="B11:D11"/>
    <mergeCell ref="B12:D12"/>
    <mergeCell ref="B13:D13"/>
    <mergeCell ref="B5:D5"/>
    <mergeCell ref="B3:F3"/>
    <mergeCell ref="B4:F4"/>
    <mergeCell ref="C1:D1"/>
    <mergeCell ref="E1:F1"/>
    <mergeCell ref="C2:D2"/>
    <mergeCell ref="E2:F2"/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</mergeCells>
  <conditionalFormatting sqref="G6:G26">
    <cfRule type="containsText" dxfId="11" priority="3" operator="containsText" text="UNP">
      <formula>NOT(ISERROR(SEARCH("UNP",G6)))</formula>
    </cfRule>
    <cfRule type="containsText" dxfId="6" priority="4" operator="containsText" text="Ordered">
      <formula>NOT(ISERROR(SEARCH("Ordered",G6)))</formula>
    </cfRule>
    <cfRule type="containsText" dxfId="10" priority="5" operator="containsText" text="Pick Up">
      <formula>NOT(ISERROR(SEARCH("Pick Up",G6)))</formula>
    </cfRule>
    <cfRule type="containsText" dxfId="9" priority="6" operator="containsText" text="Complete">
      <formula>NOT(ISERROR(SEARCH("Complete",G6)))</formula>
    </cfRule>
  </conditionalFormatting>
  <conditionalFormatting sqref="G7:G26">
    <cfRule type="cellIs" dxfId="8" priority="2" operator="equal">
      <formula>"Ready To Order"</formula>
    </cfRule>
  </conditionalFormatting>
  <conditionalFormatting sqref="G6">
    <cfRule type="cellIs" dxfId="7" priority="1" operator="equal">
      <formula>"Ready To Order"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7:G26" xr:uid="{CFD8070B-3CF9-4334-8473-D077F2C3716E}">
      <formula1>"UNP, Ready To Order, Ordered, Pick Up, Complete"</formula1>
    </dataValidation>
    <dataValidation type="list" allowBlank="1" showInputMessage="1" showErrorMessage="1" sqref="G6" xr:uid="{CFBC702C-8316-4757-A1BA-F73D2BCAE534}">
      <formula1>"UNP, Ready To Order, Ordered, Pick Up, Complete"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ignoredErrors>
    <ignoredError sqref="H1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55</v>
      </c>
      <c r="C1" t="s">
        <v>58</v>
      </c>
      <c r="D1" t="s">
        <v>56</v>
      </c>
      <c r="E1" t="s">
        <v>60</v>
      </c>
    </row>
    <row r="2" spans="1:7" x14ac:dyDescent="0.3">
      <c r="F2" t="s">
        <v>62</v>
      </c>
    </row>
    <row r="4" spans="1:7" x14ac:dyDescent="0.3">
      <c r="C4">
        <v>3</v>
      </c>
    </row>
    <row r="6" spans="1:7" x14ac:dyDescent="0.3">
      <c r="G6" t="s">
        <v>59</v>
      </c>
    </row>
    <row r="7" spans="1:7" x14ac:dyDescent="0.3">
      <c r="G7" t="s">
        <v>61</v>
      </c>
    </row>
    <row r="23" spans="5:6" x14ac:dyDescent="0.3">
      <c r="E23" s="45" t="s">
        <v>57</v>
      </c>
      <c r="F23" s="45"/>
    </row>
    <row r="24" spans="5:6" x14ac:dyDescent="0.3">
      <c r="E24" s="45"/>
      <c r="F24" s="45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Userform</vt:lpstr>
      <vt:lpstr>Menu</vt:lpstr>
      <vt:lpstr>Kate_Jackson_575EC4B0</vt:lpstr>
      <vt:lpstr>Xavier_Martin_0BC4A39A</vt:lpstr>
      <vt:lpstr>Alice_Williams_F05F54A8</vt:lpstr>
      <vt:lpstr>Rachel_Wilson_9416EB96</vt:lpstr>
      <vt:lpstr>Jack_Brown_37CDCCB9</vt:lpstr>
      <vt:lpstr>Frank_Lee_F7B7539A</vt:lpstr>
      <vt:lpstr>Zachary_Smith_3D479A85</vt:lpstr>
      <vt:lpstr>Grace_Rodriguez_2AC61298</vt:lpstr>
      <vt:lpstr>Samuel_White_5BC5F78A</vt:lpstr>
      <vt:lpstr>Mia_Wilson_0F38B08C</vt:lpstr>
      <vt:lpstr>Grace_Walker_BB3D2783</vt:lpstr>
      <vt:lpstr>Noah_Lewis_2566F4A0</vt:lpstr>
      <vt:lpstr>Frank_Williams_415E36A7</vt:lpstr>
      <vt:lpstr>Alice_Lewis_B662FA80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2023-09-10T22:47:15Z</dcterms:modified>
</cp:coreProperties>
</file>