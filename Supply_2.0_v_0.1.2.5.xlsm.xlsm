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6.xml" ContentType="application/vnd.openxmlformats-officedocument.spreadsheetml.table+xml"/>
  <Override PartName="/xl/drawings/drawing1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7.xml" ContentType="application/vnd.openxmlformats-officedocument.spreadsheetml.table+xml"/>
  <Override PartName="/xl/drawings/drawing14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8.xml" ContentType="application/vnd.openxmlformats-officedocument.spreadsheetml.table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tables/table9.xml" ContentType="application/vnd.openxmlformats-officedocument.spreadsheetml.table+xml"/>
  <Override PartName="/xl/drawings/drawing16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tables/table11.xml" ContentType="application/vnd.openxmlformats-officedocument.spreadsheetml.table+xml"/>
  <Override PartName="/xl/drawings/drawing18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12.xml" ContentType="application/vnd.openxmlformats-officedocument.spreadsheetml.table+xml"/>
  <Override PartName="/xl/drawings/drawing19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tables/table13.xml" ContentType="application/vnd.openxmlformats-officedocument.spreadsheetml.table+xml"/>
  <Override PartName="/xl/drawings/drawing20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tables/table14.xml" ContentType="application/vnd.openxmlformats-officedocument.spreadsheetml.table+xml"/>
  <Override PartName="/xl/drawings/drawing21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tables/table15.xml" ContentType="application/vnd.openxmlformats-officedocument.spreadsheetml.table+xml"/>
  <Override PartName="/xl/drawings/drawing2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tables/table16.xml" ContentType="application/vnd.openxmlformats-officedocument.spreadsheetml.table+xml"/>
  <Override PartName="/xl/drawings/drawing23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tables/table17.xml" ContentType="application/vnd.openxmlformats-officedocument.spreadsheetml.table+xml"/>
  <Override PartName="/xl/drawings/drawing24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1864" documentId="8_{7F86CFD4-C5DB-403A-A437-42E16F6DC58C}" xr6:coauthVersionLast="47" xr6:coauthVersionMax="47" xr10:uidLastSave="{32482C15-526D-4FC2-BE82-267540EEA776}"/>
  <bookViews>
    <workbookView xWindow="-108" yWindow="-108" windowWidth="23256" windowHeight="12456" tabRatio="856" firstSheet="17" activeTab="22" xr2:uid="{01218C0E-FF84-42AC-8993-DD76AC11461D}"/>
  </bookViews>
  <sheets>
    <sheet name="Menu" sheetId="48" r:id="rId1"/>
    <sheet name="Importing" sheetId="124" r:id="rId2"/>
    <sheet name="Pickup" sheetId="181" r:id="rId3"/>
    <sheet name="Henry_Smith_AB6D98A0" sheetId="172" r:id="rId4"/>
    <sheet name="Alice_Robinson_AB7A73BD" sheetId="176" r:id="rId5"/>
    <sheet name="Liam_Robinson_FD0E829E" sheetId="177" r:id="rId6"/>
    <sheet name="Taylor_White_0556E08D" sheetId="180" r:id="rId7"/>
    <sheet name="Frank_Smith_31E069A4" sheetId="184" r:id="rId8"/>
    <sheet name="john_ignoroff_C7A2769D" sheetId="197" r:id="rId9"/>
    <sheet name="john_ignoroff_1D355686" sheetId="198" r:id="rId10"/>
    <sheet name="john_ignoroff_C4E96CB0" sheetId="199" r:id="rId11"/>
    <sheet name="john_ignoroff_9B2E219D" sheetId="200" r:id="rId12"/>
    <sheet name="john_ignoroff_5C972395" sheetId="201" r:id="rId13"/>
    <sheet name="john_ignoroff_8D968394" sheetId="202" r:id="rId14"/>
    <sheet name="john_ignoroff_7F96D6BA" sheetId="203" r:id="rId15"/>
    <sheet name="john_ignoroff_FF2E6C92" sheetId="204" r:id="rId16"/>
    <sheet name="john_ignoroff_7CBC2586" sheetId="205" r:id="rId17"/>
    <sheet name="john_ignoroff_866290B1" sheetId="206" r:id="rId18"/>
    <sheet name="john_ignoroff_BE04ABB9" sheetId="207" r:id="rId19"/>
    <sheet name="john_ignoroff_40CB8D97" sheetId="208" r:id="rId20"/>
    <sheet name="john_ignoroff_905DDC88" sheetId="209" r:id="rId21"/>
    <sheet name="john_ignoroff_FA33A295" sheetId="210" r:id="rId22"/>
    <sheet name="john_ignoroff_7B31F9B8" sheetId="211" r:id="rId23"/>
    <sheet name="Template" sheetId="1" r:id="rId2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11" l="1"/>
  <c r="H33" i="211"/>
  <c r="H32" i="211"/>
  <c r="H31" i="211"/>
  <c r="H30" i="211"/>
  <c r="H26" i="211"/>
  <c r="H24" i="211"/>
  <c r="H23" i="211"/>
  <c r="H22" i="211"/>
  <c r="H21" i="211"/>
  <c r="H19" i="211"/>
  <c r="H18" i="211"/>
  <c r="H17" i="211"/>
  <c r="H16" i="211"/>
  <c r="H14" i="211"/>
  <c r="H13" i="211"/>
  <c r="H12" i="211"/>
  <c r="H11" i="211"/>
  <c r="H10" i="211"/>
  <c r="H9" i="211"/>
  <c r="H8" i="211"/>
  <c r="H7" i="211"/>
  <c r="H6" i="211"/>
  <c r="H34" i="210"/>
  <c r="H33" i="210"/>
  <c r="H32" i="210"/>
  <c r="H31" i="210"/>
  <c r="H30" i="210"/>
  <c r="H26" i="210"/>
  <c r="H24" i="210"/>
  <c r="H23" i="210"/>
  <c r="H22" i="210"/>
  <c r="H21" i="210"/>
  <c r="H19" i="210"/>
  <c r="H18" i="210"/>
  <c r="H17" i="210"/>
  <c r="H16" i="210"/>
  <c r="H14" i="210"/>
  <c r="H13" i="210"/>
  <c r="H12" i="210"/>
  <c r="H11" i="210"/>
  <c r="H10" i="210"/>
  <c r="H9" i="210"/>
  <c r="H8" i="210"/>
  <c r="H7" i="210"/>
  <c r="H6" i="210"/>
  <c r="H34" i="209"/>
  <c r="H33" i="209"/>
  <c r="H32" i="209"/>
  <c r="H31" i="209"/>
  <c r="H30" i="209"/>
  <c r="H26" i="209"/>
  <c r="H24" i="209"/>
  <c r="H23" i="209"/>
  <c r="H22" i="209"/>
  <c r="H21" i="209"/>
  <c r="H19" i="209"/>
  <c r="H18" i="209"/>
  <c r="H17" i="209"/>
  <c r="H16" i="209"/>
  <c r="H14" i="209"/>
  <c r="H13" i="209"/>
  <c r="H12" i="209"/>
  <c r="H11" i="209"/>
  <c r="H10" i="209"/>
  <c r="H9" i="209"/>
  <c r="H8" i="209"/>
  <c r="H7" i="209"/>
  <c r="H6" i="209"/>
  <c r="H34" i="208"/>
  <c r="H33" i="208"/>
  <c r="H32" i="208"/>
  <c r="H31" i="208"/>
  <c r="H30" i="208"/>
  <c r="H26" i="208"/>
  <c r="E26" i="208"/>
  <c r="H24" i="208"/>
  <c r="H23" i="208"/>
  <c r="H22" i="208"/>
  <c r="H21" i="208"/>
  <c r="H19" i="208"/>
  <c r="H18" i="208"/>
  <c r="H17" i="208"/>
  <c r="H16" i="208"/>
  <c r="H14" i="208"/>
  <c r="H13" i="208"/>
  <c r="H12" i="208"/>
  <c r="H11" i="208"/>
  <c r="H10" i="208"/>
  <c r="H9" i="208"/>
  <c r="H8" i="208"/>
  <c r="H7" i="208"/>
  <c r="H6" i="208"/>
  <c r="H34" i="207"/>
  <c r="H33" i="207"/>
  <c r="H32" i="207"/>
  <c r="H31" i="207"/>
  <c r="H30" i="207"/>
  <c r="H26" i="207"/>
  <c r="H24" i="207"/>
  <c r="H23" i="207"/>
  <c r="H22" i="207"/>
  <c r="H21" i="207"/>
  <c r="H19" i="207"/>
  <c r="H18" i="207"/>
  <c r="H17" i="207"/>
  <c r="H16" i="207"/>
  <c r="H14" i="207"/>
  <c r="H13" i="207"/>
  <c r="H12" i="207"/>
  <c r="H11" i="207"/>
  <c r="H10" i="207"/>
  <c r="H9" i="207"/>
  <c r="H8" i="207"/>
  <c r="H7" i="207"/>
  <c r="H6" i="207"/>
  <c r="H34" i="206"/>
  <c r="H33" i="206"/>
  <c r="H32" i="206"/>
  <c r="H31" i="206"/>
  <c r="H30" i="206"/>
  <c r="H26" i="206"/>
  <c r="H24" i="206"/>
  <c r="H23" i="206"/>
  <c r="H22" i="206"/>
  <c r="H21" i="206"/>
  <c r="H19" i="206"/>
  <c r="H18" i="206"/>
  <c r="H17" i="206"/>
  <c r="H16" i="206"/>
  <c r="H14" i="206"/>
  <c r="H13" i="206"/>
  <c r="H12" i="206"/>
  <c r="H11" i="206"/>
  <c r="H10" i="206"/>
  <c r="H9" i="206"/>
  <c r="H8" i="206"/>
  <c r="H7" i="206"/>
  <c r="H6" i="206"/>
  <c r="H34" i="205"/>
  <c r="H33" i="205"/>
  <c r="H32" i="205"/>
  <c r="H31" i="205"/>
  <c r="H30" i="205"/>
  <c r="H26" i="205"/>
  <c r="E26" i="205"/>
  <c r="H24" i="205"/>
  <c r="H23" i="205"/>
  <c r="H22" i="205"/>
  <c r="H21" i="205"/>
  <c r="H19" i="205"/>
  <c r="H18" i="205"/>
  <c r="H17" i="205"/>
  <c r="H16" i="205"/>
  <c r="H14" i="205"/>
  <c r="H13" i="205"/>
  <c r="H12" i="205"/>
  <c r="H11" i="205"/>
  <c r="H10" i="205"/>
  <c r="H9" i="205"/>
  <c r="H8" i="205"/>
  <c r="H7" i="205"/>
  <c r="H6" i="205"/>
  <c r="H34" i="204"/>
  <c r="H33" i="204"/>
  <c r="H32" i="204"/>
  <c r="H31" i="204"/>
  <c r="H30" i="204"/>
  <c r="H26" i="204"/>
  <c r="E26" i="204"/>
  <c r="H24" i="204"/>
  <c r="H23" i="204"/>
  <c r="H22" i="204"/>
  <c r="H21" i="204"/>
  <c r="H19" i="204"/>
  <c r="H18" i="204"/>
  <c r="H17" i="204"/>
  <c r="H16" i="204"/>
  <c r="H14" i="204"/>
  <c r="H13" i="204"/>
  <c r="H12" i="204"/>
  <c r="H11" i="204"/>
  <c r="H10" i="204"/>
  <c r="H9" i="204"/>
  <c r="H8" i="204"/>
  <c r="H7" i="204"/>
  <c r="H6" i="204"/>
  <c r="H34" i="203"/>
  <c r="H33" i="203"/>
  <c r="H32" i="203"/>
  <c r="H31" i="203"/>
  <c r="H30" i="203"/>
  <c r="H26" i="203"/>
  <c r="E26" i="203"/>
  <c r="H24" i="203"/>
  <c r="H23" i="203"/>
  <c r="H22" i="203"/>
  <c r="H21" i="203"/>
  <c r="H19" i="203"/>
  <c r="H18" i="203"/>
  <c r="H17" i="203"/>
  <c r="H16" i="203"/>
  <c r="H14" i="203"/>
  <c r="H13" i="203"/>
  <c r="H12" i="203"/>
  <c r="H11" i="203"/>
  <c r="H10" i="203"/>
  <c r="H9" i="203"/>
  <c r="H8" i="203"/>
  <c r="H7" i="203"/>
  <c r="H6" i="203"/>
  <c r="H34" i="202"/>
  <c r="H33" i="202"/>
  <c r="H32" i="202"/>
  <c r="H31" i="202"/>
  <c r="H30" i="202"/>
  <c r="H26" i="202"/>
  <c r="E26" i="202"/>
  <c r="H24" i="202"/>
  <c r="H23" i="202"/>
  <c r="H22" i="202"/>
  <c r="H21" i="202"/>
  <c r="H19" i="202"/>
  <c r="H18" i="202"/>
  <c r="H17" i="202"/>
  <c r="H16" i="202"/>
  <c r="H14" i="202"/>
  <c r="H13" i="202"/>
  <c r="H12" i="202"/>
  <c r="H11" i="202"/>
  <c r="H10" i="202"/>
  <c r="H9" i="202"/>
  <c r="H8" i="202"/>
  <c r="H7" i="202"/>
  <c r="H6" i="202"/>
  <c r="H34" i="201"/>
  <c r="H33" i="201"/>
  <c r="H32" i="201"/>
  <c r="H31" i="201"/>
  <c r="H30" i="201"/>
  <c r="H26" i="201"/>
  <c r="E26" i="201"/>
  <c r="H24" i="201"/>
  <c r="H23" i="201"/>
  <c r="H22" i="201"/>
  <c r="H21" i="201"/>
  <c r="H19" i="201"/>
  <c r="H18" i="201"/>
  <c r="H17" i="201"/>
  <c r="H16" i="201"/>
  <c r="H14" i="201"/>
  <c r="H13" i="201"/>
  <c r="H12" i="201"/>
  <c r="H11" i="201"/>
  <c r="H10" i="201"/>
  <c r="H9" i="201"/>
  <c r="H8" i="201"/>
  <c r="H7" i="201"/>
  <c r="H6" i="201"/>
  <c r="H34" i="200"/>
  <c r="H33" i="200"/>
  <c r="H32" i="200"/>
  <c r="H31" i="200"/>
  <c r="H30" i="200"/>
  <c r="H26" i="200"/>
  <c r="E26" i="200"/>
  <c r="H24" i="200"/>
  <c r="H23" i="200"/>
  <c r="H22" i="200"/>
  <c r="H21" i="200"/>
  <c r="H19" i="200"/>
  <c r="H18" i="200"/>
  <c r="H17" i="200"/>
  <c r="H16" i="200"/>
  <c r="H14" i="200"/>
  <c r="H13" i="200"/>
  <c r="H12" i="200"/>
  <c r="H11" i="200"/>
  <c r="H10" i="200"/>
  <c r="H9" i="200"/>
  <c r="H8" i="200"/>
  <c r="H7" i="200"/>
  <c r="H6" i="200"/>
  <c r="H34" i="199"/>
  <c r="H33" i="199"/>
  <c r="H32" i="199"/>
  <c r="H31" i="199"/>
  <c r="H30" i="199"/>
  <c r="H26" i="199"/>
  <c r="E26" i="199"/>
  <c r="H24" i="199"/>
  <c r="H23" i="199"/>
  <c r="H22" i="199"/>
  <c r="H21" i="199"/>
  <c r="H19" i="199"/>
  <c r="H18" i="199"/>
  <c r="H17" i="199"/>
  <c r="H16" i="199"/>
  <c r="H14" i="199"/>
  <c r="H13" i="199"/>
  <c r="H12" i="199"/>
  <c r="H11" i="199"/>
  <c r="H10" i="199"/>
  <c r="H9" i="199"/>
  <c r="H8" i="199"/>
  <c r="H7" i="199"/>
  <c r="H6" i="199"/>
  <c r="H34" i="198"/>
  <c r="H33" i="198"/>
  <c r="H32" i="198"/>
  <c r="H31" i="198"/>
  <c r="H30" i="198"/>
  <c r="H26" i="198"/>
  <c r="E26" i="198"/>
  <c r="H24" i="198"/>
  <c r="H23" i="198"/>
  <c r="H22" i="198"/>
  <c r="H21" i="198"/>
  <c r="H19" i="198"/>
  <c r="H18" i="198"/>
  <c r="H17" i="198"/>
  <c r="H16" i="198"/>
  <c r="H14" i="198"/>
  <c r="H13" i="198"/>
  <c r="H12" i="198"/>
  <c r="H11" i="198"/>
  <c r="H10" i="198"/>
  <c r="H9" i="198"/>
  <c r="H8" i="198"/>
  <c r="H7" i="198"/>
  <c r="H6" i="198"/>
  <c r="H34" i="197"/>
  <c r="H33" i="197"/>
  <c r="H32" i="197"/>
  <c r="H31" i="197"/>
  <c r="H30" i="197"/>
  <c r="H26" i="197"/>
  <c r="E26" i="197"/>
  <c r="H24" i="197"/>
  <c r="H23" i="197"/>
  <c r="H22" i="197"/>
  <c r="H21" i="197"/>
  <c r="H19" i="197"/>
  <c r="H18" i="197"/>
  <c r="H17" i="197"/>
  <c r="H16" i="197"/>
  <c r="H14" i="197"/>
  <c r="H13" i="197"/>
  <c r="H12" i="197"/>
  <c r="H11" i="197"/>
  <c r="H10" i="197"/>
  <c r="H9" i="197"/>
  <c r="H8" i="197"/>
  <c r="H7" i="197"/>
  <c r="H6" i="197"/>
  <c r="H34" i="184" l="1"/>
  <c r="H33" i="184"/>
  <c r="H32" i="184"/>
  <c r="H31" i="184"/>
  <c r="H30" i="184"/>
  <c r="H26" i="184"/>
  <c r="E26" i="184"/>
  <c r="H24" i="184"/>
  <c r="H23" i="184"/>
  <c r="H22" i="184"/>
  <c r="H21" i="184"/>
  <c r="H19" i="184"/>
  <c r="H18" i="184"/>
  <c r="H17" i="184"/>
  <c r="H16" i="184"/>
  <c r="H14" i="184"/>
  <c r="H13" i="184"/>
  <c r="H12" i="184"/>
  <c r="H11" i="184"/>
  <c r="H10" i="184"/>
  <c r="H9" i="184"/>
  <c r="H8" i="184"/>
  <c r="H7" i="184"/>
  <c r="H6" i="184"/>
  <c r="H34" i="180"/>
  <c r="H33" i="180"/>
  <c r="H32" i="180"/>
  <c r="H31" i="180"/>
  <c r="H30" i="180"/>
  <c r="H26" i="180"/>
  <c r="E26" i="180"/>
  <c r="H24" i="180"/>
  <c r="H23" i="180"/>
  <c r="H22" i="180"/>
  <c r="H21" i="180"/>
  <c r="H19" i="180"/>
  <c r="H18" i="180"/>
  <c r="H17" i="180"/>
  <c r="H16" i="180"/>
  <c r="H14" i="180"/>
  <c r="H13" i="180"/>
  <c r="H12" i="180"/>
  <c r="H11" i="180"/>
  <c r="H10" i="180"/>
  <c r="H9" i="180"/>
  <c r="H8" i="180"/>
  <c r="H7" i="180"/>
  <c r="H6" i="180"/>
  <c r="H34" i="177"/>
  <c r="H33" i="177"/>
  <c r="H32" i="177"/>
  <c r="H31" i="177"/>
  <c r="H30" i="177"/>
  <c r="H26" i="177"/>
  <c r="E26" i="177"/>
  <c r="H24" i="177"/>
  <c r="H23" i="177"/>
  <c r="H22" i="177"/>
  <c r="H21" i="177"/>
  <c r="H19" i="177"/>
  <c r="H18" i="177"/>
  <c r="H17" i="177"/>
  <c r="H16" i="177"/>
  <c r="H14" i="177"/>
  <c r="H13" i="177"/>
  <c r="H12" i="177"/>
  <c r="H11" i="177"/>
  <c r="H10" i="177"/>
  <c r="H9" i="177"/>
  <c r="H8" i="177"/>
  <c r="H7" i="177"/>
  <c r="H6" i="177"/>
  <c r="H34" i="176"/>
  <c r="H33" i="176"/>
  <c r="H32" i="176"/>
  <c r="H31" i="176"/>
  <c r="H30" i="176"/>
  <c r="H26" i="176"/>
  <c r="E26" i="176"/>
  <c r="H24" i="176"/>
  <c r="H23" i="176"/>
  <c r="H22" i="176"/>
  <c r="H21" i="176"/>
  <c r="H19" i="176"/>
  <c r="H18" i="176"/>
  <c r="H17" i="176"/>
  <c r="H16" i="176"/>
  <c r="H14" i="176"/>
  <c r="H13" i="176"/>
  <c r="H12" i="176"/>
  <c r="H11" i="176"/>
  <c r="H10" i="176"/>
  <c r="H9" i="176"/>
  <c r="H8" i="176"/>
  <c r="H7" i="176"/>
  <c r="H6" i="176"/>
  <c r="H34" i="172"/>
  <c r="H33" i="172"/>
  <c r="H32" i="172"/>
  <c r="H31" i="172"/>
  <c r="H30" i="172"/>
  <c r="H26" i="172"/>
  <c r="E26" i="172"/>
  <c r="H24" i="172"/>
  <c r="H23" i="172"/>
  <c r="H22" i="172"/>
  <c r="H21" i="172"/>
  <c r="H19" i="172"/>
  <c r="H18" i="172"/>
  <c r="H17" i="172"/>
  <c r="H16" i="172"/>
  <c r="H14" i="172"/>
  <c r="H13" i="172"/>
  <c r="H12" i="172"/>
  <c r="H11" i="172"/>
  <c r="H10" i="172"/>
  <c r="H9" i="172"/>
  <c r="H8" i="172"/>
  <c r="H7" i="172"/>
  <c r="H6" i="17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<sst xmlns="http://schemas.openxmlformats.org/spreadsheetml/2006/main" count="2186" uniqueCount="274">
  <si>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</si>
  <si>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</si>
  <si>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</si>
  <si>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</si>
  <si>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</si>
  <si>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</si>
  <si>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</si>
  <si>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</si>
  <si>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</si>
  <si>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</si>
  <si>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</si>
  <si>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</si>
  <si>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</si>
  <si>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</si>
  <si>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</si>
  <si>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</si>
  <si>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</si>
  <si>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</si>
  <si>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</si>
  <si>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</si>
  <si>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</si>
  <si>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</si>
  <si>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</si>
  <si>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</si>
  <si>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</si>
  <si>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</si>
  <si>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</si>
  <si>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</si>
  <si>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</si>
  <si>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</si>
  <si>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</si>
  <si>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</si>
  <si>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</si>
  <si>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</si>
  <si>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</si>
  <si>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</si>
  <si>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</si>
  <si>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</si>
  <si>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</si>
  <si>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</si>
  <si>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</si>
  <si>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</si>
  <si>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</si>
  <si>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</si>
  <si>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</si>
  <si>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XS</t>
  </si>
  <si>
    <t>XL/TG</t>
  </si>
  <si>
    <t>UNP</t>
  </si>
  <si>
    <t>8405-21-907-9466</t>
  </si>
  <si>
    <t>Hand Length</t>
  </si>
  <si>
    <t>FTU Pants</t>
  </si>
  <si>
    <t>Email</t>
  </si>
  <si>
    <t>Extra Items</t>
  </si>
  <si>
    <t>320/126</t>
  </si>
  <si>
    <t>UNI</t>
  </si>
  <si>
    <t>8440-20-006-6068</t>
  </si>
  <si>
    <t>L (66 inch)</t>
  </si>
  <si>
    <t>8440-21-899-1182</t>
  </si>
  <si>
    <t>Jesus@hotmail.com</t>
  </si>
  <si>
    <t>8430-20-006-2569</t>
  </si>
  <si>
    <t>8405-20-003-5837</t>
  </si>
  <si>
    <t>8405-21-920-7275</t>
  </si>
  <si>
    <t>Smith</t>
  </si>
  <si>
    <t>Last Name</t>
  </si>
  <si>
    <t>Is Male</t>
  </si>
  <si>
    <t>Hip</t>
  </si>
  <si>
    <t>Foot Len</t>
  </si>
  <si>
    <t>Foot Wid</t>
  </si>
  <si>
    <t>XXL</t>
  </si>
  <si>
    <t>1000-21-215-7658</t>
  </si>
  <si>
    <t>Henry</t>
  </si>
  <si>
    <t>AB6D98A0</t>
  </si>
  <si>
    <t>1000-21-059-8060</t>
  </si>
  <si>
    <t>1000-21-316-2000</t>
  </si>
  <si>
    <t>1000-21-070-7658</t>
  </si>
  <si>
    <t>(L/XL - G/TG)</t>
  </si>
  <si>
    <t>8415-20-006-8917</t>
  </si>
  <si>
    <t>8405-20-013-1465</t>
  </si>
  <si>
    <t>8405-20-004-7490</t>
  </si>
  <si>
    <t>8405-21-920-7089</t>
  </si>
  <si>
    <t>8420-20-001-0711</t>
  </si>
  <si>
    <t>M</t>
  </si>
  <si>
    <t>8420-20-001-0730</t>
  </si>
  <si>
    <t>8405-20-004-7506</t>
  </si>
  <si>
    <t>9D</t>
  </si>
  <si>
    <t>8430-20-A0X-9132</t>
  </si>
  <si>
    <t>Hand</t>
  </si>
  <si>
    <t>Robinson</t>
  </si>
  <si>
    <t>Alice</t>
  </si>
  <si>
    <t>AB7A73BD</t>
  </si>
  <si>
    <t>Female</t>
  </si>
  <si>
    <t>8405-21-905-7815</t>
  </si>
  <si>
    <t>26M</t>
  </si>
  <si>
    <t>8410-21-912-7795</t>
  </si>
  <si>
    <t>8405-20-003-5847</t>
  </si>
  <si>
    <t>R (50 inch)</t>
  </si>
  <si>
    <t>8440-21-905-7384</t>
  </si>
  <si>
    <t>8405-21-920-7281</t>
  </si>
  <si>
    <t>8405-21-920-7092</t>
  </si>
  <si>
    <t>(JR / JR)</t>
  </si>
  <si>
    <t>8415-20-006-8915</t>
  </si>
  <si>
    <t>8405-20-013-1477</t>
  </si>
  <si>
    <t>8405-20-004-7484</t>
  </si>
  <si>
    <t>Liam</t>
  </si>
  <si>
    <t>FD0E829E</t>
  </si>
  <si>
    <t>1000-21-059-6442</t>
  </si>
  <si>
    <t>20S</t>
  </si>
  <si>
    <t>8410-21-912-7790</t>
  </si>
  <si>
    <t>L</t>
  </si>
  <si>
    <t>8420-20-001-0731</t>
  </si>
  <si>
    <t>6738 (H48-1/2)</t>
  </si>
  <si>
    <t>8410-21-912-3648</t>
  </si>
  <si>
    <t>8405-20-003-5838</t>
  </si>
  <si>
    <t>REG</t>
  </si>
  <si>
    <t>8440-20-008-7936</t>
  </si>
  <si>
    <t>285/116</t>
  </si>
  <si>
    <t>8430-20-006-2557</t>
  </si>
  <si>
    <t>8405-21-920-7100</t>
  </si>
  <si>
    <t>8405-20-013-1468</t>
  </si>
  <si>
    <t>8405-20-004-7488</t>
  </si>
  <si>
    <t>8405-20-004-7508</t>
  </si>
  <si>
    <t>16EEE</t>
  </si>
  <si>
    <t>8430-20-A0Y-2290</t>
  </si>
  <si>
    <t>White</t>
  </si>
  <si>
    <t>Taylor</t>
  </si>
  <si>
    <t>0556E08D</t>
  </si>
  <si>
    <t>1000-21-059-8034</t>
  </si>
  <si>
    <t>8405-20-001-4510</t>
  </si>
  <si>
    <t>8405-21-909-2423</t>
  </si>
  <si>
    <t>XL (60 inch)</t>
  </si>
  <si>
    <t>8440-20-005-2931</t>
  </si>
  <si>
    <t>L/G</t>
  </si>
  <si>
    <t>8440-20-006-6069</t>
  </si>
  <si>
    <t>330/130</t>
  </si>
  <si>
    <t>8430-20-006-2570</t>
  </si>
  <si>
    <t>8405-20-013-1466</t>
  </si>
  <si>
    <t>8405-20-004-7500</t>
  </si>
  <si>
    <t>8405-20-004-7523</t>
  </si>
  <si>
    <t>(2XS / 2TP)</t>
  </si>
  <si>
    <t>1001-21-154-1000</t>
  </si>
  <si>
    <t>6D</t>
  </si>
  <si>
    <t>8430-20-A0X-8963</t>
  </si>
  <si>
    <t>Old Size</t>
  </si>
  <si>
    <t xml:space="preserve">New Size </t>
  </si>
  <si>
    <t>Smith, Henry</t>
  </si>
  <si>
    <t>Robinson, Alice</t>
  </si>
  <si>
    <t>NO SIZE</t>
  </si>
  <si>
    <t>Robinson, Liam</t>
  </si>
  <si>
    <t>White, Taylor</t>
  </si>
  <si>
    <t>XL</t>
  </si>
  <si>
    <t>`</t>
  </si>
  <si>
    <t>Frank</t>
  </si>
  <si>
    <t>31E069A4</t>
  </si>
  <si>
    <t>8405-21-910-8157</t>
  </si>
  <si>
    <t>30 M</t>
  </si>
  <si>
    <t>1000-21-165-3000</t>
  </si>
  <si>
    <t>XXXL</t>
  </si>
  <si>
    <t>8420-20-001-0735</t>
  </si>
  <si>
    <t>6346 (H56-1/2)</t>
  </si>
  <si>
    <t>1000-21-198-6346</t>
  </si>
  <si>
    <t>8405-20-003-5848</t>
  </si>
  <si>
    <t>1000-21-215-7652</t>
  </si>
  <si>
    <t>S/P</t>
  </si>
  <si>
    <t>8440-20-006-6071</t>
  </si>
  <si>
    <t>245/104</t>
  </si>
  <si>
    <t>8430-20-006-2518</t>
  </si>
  <si>
    <t>8405-21-920-7101</t>
  </si>
  <si>
    <t>8405-20-013-1478</t>
  </si>
  <si>
    <t>8405-20-004-7494</t>
  </si>
  <si>
    <t>8405-20-004-7517</t>
  </si>
  <si>
    <t>10.5EEE</t>
  </si>
  <si>
    <t>8430-20-A0X-9207</t>
  </si>
  <si>
    <t>Ready To Order</t>
  </si>
  <si>
    <t>Lee</t>
  </si>
  <si>
    <t>Wendy</t>
  </si>
  <si>
    <t>UNP, Ready To Order</t>
  </si>
  <si>
    <t>Samuel</t>
  </si>
  <si>
    <t>3XL</t>
  </si>
  <si>
    <t>1000-21-215-7662</t>
  </si>
  <si>
    <t>8405-21-920-7097</t>
  </si>
  <si>
    <t>(XS / TP)</t>
  </si>
  <si>
    <t>1001-21-154-2000</t>
  </si>
  <si>
    <t>AC</t>
  </si>
  <si>
    <t>ignoroff</t>
  </si>
  <si>
    <t>john</t>
  </si>
  <si>
    <t>5270AEB8</t>
  </si>
  <si>
    <t>8405-20-003-5850</t>
  </si>
  <si>
    <t>8405-20-013-1480</t>
  </si>
  <si>
    <t>5B2FB396</t>
  </si>
  <si>
    <t>8440-20-006-6070</t>
  </si>
  <si>
    <t>2EF86181</t>
  </si>
  <si>
    <t>8405-20-001-1049</t>
  </si>
  <si>
    <t>C7A2769D</t>
  </si>
  <si>
    <t>1000-21-059-6144</t>
  </si>
  <si>
    <t>22S</t>
  </si>
  <si>
    <t>8410-21-912-7792</t>
  </si>
  <si>
    <t>8420-20-001-0732</t>
  </si>
  <si>
    <t>6748 (H58-1/2)</t>
  </si>
  <si>
    <t>1000-21-198-6748</t>
  </si>
  <si>
    <t>8405-20-003-5849</t>
  </si>
  <si>
    <t>250/106</t>
  </si>
  <si>
    <t>8430-20-006-2523</t>
  </si>
  <si>
    <t>8405-20-013-1479</t>
  </si>
  <si>
    <t>12EEE</t>
  </si>
  <si>
    <t>8430-20-A0X-9358</t>
  </si>
  <si>
    <t>1D355686</t>
  </si>
  <si>
    <t>8405-21-905-7810</t>
  </si>
  <si>
    <t>8405-20-001-4516</t>
  </si>
  <si>
    <t>1000-21-070-6454</t>
  </si>
  <si>
    <t>8405-20-003-5843</t>
  </si>
  <si>
    <t>225/92</t>
  </si>
  <si>
    <t>8430-20-006-2500</t>
  </si>
  <si>
    <t>8405-21-920-7279</t>
  </si>
  <si>
    <t>8405-20-013-1473</t>
  </si>
  <si>
    <t>8405-20-004-7483</t>
  </si>
  <si>
    <t>6.5D</t>
  </si>
  <si>
    <t>8430-20-A0X-8964</t>
  </si>
  <si>
    <t>C4E96CB0</t>
  </si>
  <si>
    <t>1000-21-059-8062</t>
  </si>
  <si>
    <t>9B2E219D</t>
  </si>
  <si>
    <t>5C972395</t>
  </si>
  <si>
    <t>8405-21-905-7828</t>
  </si>
  <si>
    <t>19-1/2</t>
  </si>
  <si>
    <t>1000-21-316-1950</t>
  </si>
  <si>
    <t>1000-21-070-7060</t>
  </si>
  <si>
    <t>L (56 inch)</t>
  </si>
  <si>
    <t>4XL</t>
  </si>
  <si>
    <t>1000-21-264-2550</t>
  </si>
  <si>
    <t>8405-20-004-7491</t>
  </si>
  <si>
    <t>8D968394</t>
  </si>
  <si>
    <t>1000-21-070-7058</t>
  </si>
  <si>
    <t>7F96D6BA</t>
  </si>
  <si>
    <t>8405-21-905-7826</t>
  </si>
  <si>
    <t>8405-20-001-4503</t>
  </si>
  <si>
    <t>8405-20-003-5846</t>
  </si>
  <si>
    <t>8405-21-920-7280</t>
  </si>
  <si>
    <t>8405-21-920-7094</t>
  </si>
  <si>
    <t>8405-20-013-1476</t>
  </si>
  <si>
    <t>FF2E6C92</t>
  </si>
  <si>
    <t>8405-20-001-4537</t>
  </si>
  <si>
    <t>17-1/2</t>
  </si>
  <si>
    <t>8405-20-001-4515</t>
  </si>
  <si>
    <t>8405-21-909-2393</t>
  </si>
  <si>
    <t>305/116</t>
  </si>
  <si>
    <t>8430-20-006-2567</t>
  </si>
  <si>
    <t>8405-21-920-7091</t>
  </si>
  <si>
    <t>8405-20-004-7485</t>
  </si>
  <si>
    <t>8405-20-004-7507</t>
  </si>
  <si>
    <t>---------</t>
  </si>
  <si>
    <t>7CBC2586</t>
  </si>
  <si>
    <t>1000-21-070-6146</t>
  </si>
  <si>
    <t>8405-20-003-5845</t>
  </si>
  <si>
    <t>8405-20-013-1475</t>
  </si>
  <si>
    <t>866290B1</t>
  </si>
  <si>
    <t>8415-20-006-8916</t>
  </si>
  <si>
    <t>8405-20-004-7509</t>
  </si>
  <si>
    <t>S</t>
  </si>
  <si>
    <t>Invalid size</t>
  </si>
  <si>
    <t>BE04ABB9</t>
  </si>
  <si>
    <t>1000-21-059-7054</t>
  </si>
  <si>
    <t>1000-21-165-3200</t>
  </si>
  <si>
    <t>8405-20-004-7511</t>
  </si>
  <si>
    <t>s</t>
  </si>
  <si>
    <t>245t23</t>
  </si>
  <si>
    <t>40CB8D97</t>
  </si>
  <si>
    <t>905DDC88</t>
  </si>
  <si>
    <t>8405-20-003-5842</t>
  </si>
  <si>
    <t>295/116</t>
  </si>
  <si>
    <t>8430-20-006-2564</t>
  </si>
  <si>
    <t>8405-20-013-1472</t>
  </si>
  <si>
    <t>Completed</t>
  </si>
  <si>
    <t>FA33A295</t>
  </si>
  <si>
    <t>7B31F9B8</t>
  </si>
  <si>
    <t>8405-20-004-7512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</si>
</sst>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0FFB1"/>
        <bgColor indexed="64"/>
      </patternFill>
    </fill>
    <fill>
      <patternFill patternType="solid">
        <fgColor rgb="FFFFB0B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0" xfId="0" applyFill="1"/>
    <xf numFmtId="0" fontId="1" fillId="2" borderId="13" xfId="1" applyBorder="1" applyAlignment="1">
      <alignment horizontal="center"/>
    </xf>
    <xf numFmtId="0" fontId="0" fillId="9" borderId="0" xfId="0" applyFill="1"/>
    <xf numFmtId="0" fontId="0" fillId="10" borderId="0" xfId="0" applyFill="1"/>
    <xf numFmtId="0" fontId="12" fillId="11" borderId="13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14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1" borderId="16" xfId="0" applyFont="1" applyFill="1" applyBorder="1" applyAlignment="1">
      <alignment horizontal="center" vertical="center"/>
    </xf>
    <xf numFmtId="14" fontId="0" fillId="12" borderId="14" xfId="0" applyNumberForma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13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3" fillId="7" borderId="0" xfId="1" applyFont="1" applyFill="1" applyBorder="1" applyAlignment="1">
      <alignment horizontal="center" vertical="center"/>
    </xf>
    <xf numFmtId="0" fontId="13" fillId="7" borderId="15" xfId="1" applyFont="1" applyFill="1" applyBorder="1" applyAlignment="1">
      <alignment horizontal="center" vertical="center"/>
    </xf>
    <xf numFmtId="0" fontId="12" fillId="11" borderId="0" xfId="0" applyFont="1" applyFill="1" applyBorder="1" applyAlignment="1">
      <alignment horizontal="center" vertical="center"/>
    </xf>
    <xf numFmtId="0" fontId="2" fillId="0" borderId="8" xfId="3" applyFont="1" applyFill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300"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3" xr9:uid="{8548F1A7-D217-4CB9-B488-8772C62AAFD5}">
      <tableStyleElement type="wholeTable" dxfId="299"/>
      <tableStyleElement type="headerRow" dxfId="298"/>
      <tableStyleElement type="firstRowStripe" dxfId="297"/>
    </tableStyle>
  </tableStyles>
  <colors>
    <mruColors>
      <color rgb="FF3333FF"/>
      <color rgb="FFC39BE1"/>
      <color rgb="FF70AE8C"/>
      <color rgb="FFDAA100"/>
      <color rgb="FF03E4DF"/>
      <color rgb="FF699BFF"/>
      <color rgb="FFFB873F"/>
      <color rgb="FFFF7575"/>
      <color rgb="FFF6F66A"/>
      <color rgb="FFFF93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0</xdr:rowOff>
        </xdr:from>
        <xdr:to>
          <xdr:col>7</xdr:col>
          <xdr:colOff>487680</xdr:colOff>
          <xdr:row>0</xdr:row>
          <xdr:rowOff>480060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0</xdr:row>
          <xdr:rowOff>0</xdr:rowOff>
        </xdr:from>
        <xdr:to>
          <xdr:col>12</xdr:col>
          <xdr:colOff>525780</xdr:colOff>
          <xdr:row>0</xdr:row>
          <xdr:rowOff>472440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0</xdr:row>
          <xdr:rowOff>0</xdr:rowOff>
        </xdr:from>
        <xdr:to>
          <xdr:col>10</xdr:col>
          <xdr:colOff>175260</xdr:colOff>
          <xdr:row>0</xdr:row>
          <xdr:rowOff>480060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0</xdr:row>
          <xdr:rowOff>0</xdr:rowOff>
        </xdr:from>
        <xdr:to>
          <xdr:col>15</xdr:col>
          <xdr:colOff>259080</xdr:colOff>
          <xdr:row>0</xdr:row>
          <xdr:rowOff>480060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0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</xdr:colOff>
          <xdr:row>0</xdr:row>
          <xdr:rowOff>53340</xdr:rowOff>
        </xdr:from>
        <xdr:to>
          <xdr:col>25</xdr:col>
          <xdr:colOff>190500</xdr:colOff>
          <xdr:row>1</xdr:row>
          <xdr:rowOff>0</xdr:rowOff>
        </xdr:to>
        <xdr:sp macro="" textlink="">
          <xdr:nvSpPr>
            <xdr:cNvPr id="163841" name="Button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2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3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3602" name="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03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3603" name="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03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3604" name="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03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3605" name="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03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8722" name="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0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8723" name="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0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8724" name="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0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8725" name="Button 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04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59745" name="Button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0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59746" name="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0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59747" name="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0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59748" name="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0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59751" name="Button 7" hidden="1">
              <a:extLst>
                <a:ext uri="{63B3BB69-23CF-44E3-9099-C40C66FF867C}">
                  <a14:compatExt spid="_x0000_s159751"/>
                </a:ext>
                <a:ext uri="{FF2B5EF4-FFF2-40B4-BE49-F238E27FC236}">
                  <a16:creationId xmlns:a16="http://schemas.microsoft.com/office/drawing/2014/main" id="{00000000-0008-0000-0500-00000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31</xdr:row>
          <xdr:rowOff>152400</xdr:rowOff>
        </xdr:from>
        <xdr:to>
          <xdr:col>12</xdr:col>
          <xdr:colOff>7620</xdr:colOff>
          <xdr:row>33</xdr:row>
          <xdr:rowOff>152400</xdr:rowOff>
        </xdr:to>
        <xdr:sp macro="" textlink="">
          <xdr:nvSpPr>
            <xdr:cNvPr id="162817" name="Button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6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198120</xdr:rowOff>
        </xdr:to>
        <xdr:sp macro="" textlink="">
          <xdr:nvSpPr>
            <xdr:cNvPr id="162818" name="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6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205740</xdr:rowOff>
        </xdr:from>
        <xdr:to>
          <xdr:col>12</xdr:col>
          <xdr:colOff>0</xdr:colOff>
          <xdr:row>15</xdr:row>
          <xdr:rowOff>190500</xdr:rowOff>
        </xdr:to>
        <xdr:sp macro="" textlink="">
          <xdr:nvSpPr>
            <xdr:cNvPr id="162819" name="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6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162820" name="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6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28</xdr:row>
          <xdr:rowOff>175260</xdr:rowOff>
        </xdr:from>
        <xdr:to>
          <xdr:col>12</xdr:col>
          <xdr:colOff>7620</xdr:colOff>
          <xdr:row>30</xdr:row>
          <xdr:rowOff>175260</xdr:rowOff>
        </xdr:to>
        <xdr:sp macro="" textlink="">
          <xdr:nvSpPr>
            <xdr:cNvPr id="162821" name="Button 5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00000000-0008-0000-0600-00000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07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07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72035" name="Button 3" hidden="1">
              <a:extLst>
                <a:ext uri="{63B3BB69-23CF-44E3-9099-C40C66FF867C}">
                  <a14:compatExt spid="_x0000_s172035"/>
                </a:ext>
                <a:ext uri="{FF2B5EF4-FFF2-40B4-BE49-F238E27FC236}">
                  <a16:creationId xmlns:a16="http://schemas.microsoft.com/office/drawing/2014/main" id="{00000000-0008-0000-0700-000003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72036" name="Button 4" hidden="1">
              <a:extLst>
                <a:ext uri="{63B3BB69-23CF-44E3-9099-C40C66FF867C}">
                  <a14:compatExt spid="_x0000_s172036"/>
                </a:ext>
                <a:ext uri="{FF2B5EF4-FFF2-40B4-BE49-F238E27FC236}">
                  <a16:creationId xmlns:a16="http://schemas.microsoft.com/office/drawing/2014/main" id="{00000000-0008-0000-0700-000004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72037" name="Button 5" hidden="1">
              <a:extLst>
                <a:ext uri="{63B3BB69-23CF-44E3-9099-C40C66FF867C}">
                  <a14:compatExt spid="_x0000_s172037"/>
                </a:ext>
                <a:ext uri="{FF2B5EF4-FFF2-40B4-BE49-F238E27FC236}">
                  <a16:creationId xmlns:a16="http://schemas.microsoft.com/office/drawing/2014/main" id="{00000000-0008-0000-0700-000005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08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08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6371" name="Button 3" hidden="1">
              <a:extLst>
                <a:ext uri="{63B3BB69-23CF-44E3-9099-C40C66FF867C}">
                  <a14:compatExt spid="_x0000_s186371"/>
                </a:ext>
                <a:ext uri="{FF2B5EF4-FFF2-40B4-BE49-F238E27FC236}">
                  <a16:creationId xmlns:a16="http://schemas.microsoft.com/office/drawing/2014/main" id="{00000000-0008-0000-0800-000003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6372" name="Button 4" hidden="1">
              <a:extLst>
                <a:ext uri="{63B3BB69-23CF-44E3-9099-C40C66FF867C}">
                  <a14:compatExt spid="_x0000_s186372"/>
                </a:ext>
                <a:ext uri="{FF2B5EF4-FFF2-40B4-BE49-F238E27FC236}">
                  <a16:creationId xmlns:a16="http://schemas.microsoft.com/office/drawing/2014/main" id="{00000000-0008-0000-0800-000004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6373" name="Button 5" hidden="1">
              <a:extLst>
                <a:ext uri="{63B3BB69-23CF-44E3-9099-C40C66FF867C}">
                  <a14:compatExt spid="_x0000_s186373"/>
                </a:ext>
                <a:ext uri="{FF2B5EF4-FFF2-40B4-BE49-F238E27FC236}">
                  <a16:creationId xmlns:a16="http://schemas.microsoft.com/office/drawing/2014/main" id="{00000000-0008-0000-0800-000005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9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9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9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7396" name="Button 4" hidden="1">
              <a:extLst>
                <a:ext uri="{63B3BB69-23CF-44E3-9099-C40C66FF867C}">
                  <a14:compatExt spid="_x0000_s187396"/>
                </a:ext>
                <a:ext uri="{FF2B5EF4-FFF2-40B4-BE49-F238E27FC236}">
                  <a16:creationId xmlns:a16="http://schemas.microsoft.com/office/drawing/2014/main" id="{00000000-0008-0000-0900-000004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7397" name="Button 5" hidden="1">
              <a:extLst>
                <a:ext uri="{63B3BB69-23CF-44E3-9099-C40C66FF867C}">
                  <a14:compatExt spid="_x0000_s187397"/>
                </a:ext>
                <a:ext uri="{FF2B5EF4-FFF2-40B4-BE49-F238E27FC236}">
                  <a16:creationId xmlns:a16="http://schemas.microsoft.com/office/drawing/2014/main" id="{00000000-0008-0000-0900-000005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A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A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8419" name="Button 3" hidden="1">
              <a:extLst>
                <a:ext uri="{63B3BB69-23CF-44E3-9099-C40C66FF867C}">
                  <a14:compatExt spid="_x0000_s188419"/>
                </a:ext>
                <a:ext uri="{FF2B5EF4-FFF2-40B4-BE49-F238E27FC236}">
                  <a16:creationId xmlns:a16="http://schemas.microsoft.com/office/drawing/2014/main" id="{00000000-0008-0000-0A00-000003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8420" name="Button 4" hidden="1">
              <a:extLst>
                <a:ext uri="{63B3BB69-23CF-44E3-9099-C40C66FF867C}">
                  <a14:compatExt spid="_x0000_s188420"/>
                </a:ext>
                <a:ext uri="{FF2B5EF4-FFF2-40B4-BE49-F238E27FC236}">
                  <a16:creationId xmlns:a16="http://schemas.microsoft.com/office/drawing/2014/main" id="{00000000-0008-0000-0A00-000004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8421" name="Button 5" hidden="1">
              <a:extLst>
                <a:ext uri="{63B3BB69-23CF-44E3-9099-C40C66FF867C}">
                  <a14:compatExt spid="_x0000_s188421"/>
                </a:ext>
                <a:ext uri="{FF2B5EF4-FFF2-40B4-BE49-F238E27FC236}">
                  <a16:creationId xmlns:a16="http://schemas.microsoft.com/office/drawing/2014/main" id="{00000000-0008-0000-0A00-000005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B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B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89443" name="Button 3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B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89444" name="Button 4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B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89445" name="Button 5" hidden="1">
              <a:extLst>
                <a:ext uri="{63B3BB69-23CF-44E3-9099-C40C66FF867C}">
                  <a14:compatExt spid="_x0000_s189445"/>
                </a:ext>
                <a:ext uri="{FF2B5EF4-FFF2-40B4-BE49-F238E27FC236}">
                  <a16:creationId xmlns:a16="http://schemas.microsoft.com/office/drawing/2014/main" id="{00000000-0008-0000-0B00-000005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0465" name="Button 1" hidden="1">
              <a:extLst>
                <a:ext uri="{63B3BB69-23CF-44E3-9099-C40C66FF867C}">
                  <a14:compatExt spid="_x0000_s190465"/>
                </a:ext>
                <a:ext uri="{FF2B5EF4-FFF2-40B4-BE49-F238E27FC236}">
                  <a16:creationId xmlns:a16="http://schemas.microsoft.com/office/drawing/2014/main" id="{00000000-0008-0000-0C00-000001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0466" name="Button 2" hidden="1">
              <a:extLst>
                <a:ext uri="{63B3BB69-23CF-44E3-9099-C40C66FF867C}">
                  <a14:compatExt spid="_x0000_s190466"/>
                </a:ext>
                <a:ext uri="{FF2B5EF4-FFF2-40B4-BE49-F238E27FC236}">
                  <a16:creationId xmlns:a16="http://schemas.microsoft.com/office/drawing/2014/main" id="{00000000-0008-0000-0C00-000002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0467" name="Button 3" hidden="1">
              <a:extLst>
                <a:ext uri="{63B3BB69-23CF-44E3-9099-C40C66FF867C}">
                  <a14:compatExt spid="_x0000_s190467"/>
                </a:ext>
                <a:ext uri="{FF2B5EF4-FFF2-40B4-BE49-F238E27FC236}">
                  <a16:creationId xmlns:a16="http://schemas.microsoft.com/office/drawing/2014/main" id="{00000000-0008-0000-0C00-000003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0468" name="Button 4" hidden="1">
              <a:extLst>
                <a:ext uri="{63B3BB69-23CF-44E3-9099-C40C66FF867C}">
                  <a14:compatExt spid="_x0000_s190468"/>
                </a:ext>
                <a:ext uri="{FF2B5EF4-FFF2-40B4-BE49-F238E27FC236}">
                  <a16:creationId xmlns:a16="http://schemas.microsoft.com/office/drawing/2014/main" id="{00000000-0008-0000-0C00-000004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0469" name="Button 5" hidden="1">
              <a:extLst>
                <a:ext uri="{63B3BB69-23CF-44E3-9099-C40C66FF867C}">
                  <a14:compatExt spid="_x0000_s190469"/>
                </a:ext>
                <a:ext uri="{FF2B5EF4-FFF2-40B4-BE49-F238E27FC236}">
                  <a16:creationId xmlns:a16="http://schemas.microsoft.com/office/drawing/2014/main" id="{00000000-0008-0000-0C00-000005E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1489" name="Button 1" hidden="1">
              <a:extLst>
                <a:ext uri="{63B3BB69-23CF-44E3-9099-C40C66FF867C}">
                  <a14:compatExt spid="_x0000_s191489"/>
                </a:ext>
                <a:ext uri="{FF2B5EF4-FFF2-40B4-BE49-F238E27FC236}">
                  <a16:creationId xmlns:a16="http://schemas.microsoft.com/office/drawing/2014/main" id="{00000000-0008-0000-0D00-000001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1490" name="Button 2" hidden="1">
              <a:extLst>
                <a:ext uri="{63B3BB69-23CF-44E3-9099-C40C66FF867C}">
                  <a14:compatExt spid="_x0000_s191490"/>
                </a:ext>
                <a:ext uri="{FF2B5EF4-FFF2-40B4-BE49-F238E27FC236}">
                  <a16:creationId xmlns:a16="http://schemas.microsoft.com/office/drawing/2014/main" id="{00000000-0008-0000-0D00-000002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1491" name="Button 3" hidden="1">
              <a:extLst>
                <a:ext uri="{63B3BB69-23CF-44E3-9099-C40C66FF867C}">
                  <a14:compatExt spid="_x0000_s191491"/>
                </a:ext>
                <a:ext uri="{FF2B5EF4-FFF2-40B4-BE49-F238E27FC236}">
                  <a16:creationId xmlns:a16="http://schemas.microsoft.com/office/drawing/2014/main" id="{00000000-0008-0000-0D00-000003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1492" name="Button 4" hidden="1">
              <a:extLst>
                <a:ext uri="{63B3BB69-23CF-44E3-9099-C40C66FF867C}">
                  <a14:compatExt spid="_x0000_s191492"/>
                </a:ext>
                <a:ext uri="{FF2B5EF4-FFF2-40B4-BE49-F238E27FC236}">
                  <a16:creationId xmlns:a16="http://schemas.microsoft.com/office/drawing/2014/main" id="{00000000-0008-0000-0D00-000004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1493" name="Button 5" hidden="1">
              <a:extLst>
                <a:ext uri="{63B3BB69-23CF-44E3-9099-C40C66FF867C}">
                  <a14:compatExt spid="_x0000_s191493"/>
                </a:ext>
                <a:ext uri="{FF2B5EF4-FFF2-40B4-BE49-F238E27FC236}">
                  <a16:creationId xmlns:a16="http://schemas.microsoft.com/office/drawing/2014/main" id="{00000000-0008-0000-0D00-000005E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E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2514" name="Button 2" hidden="1">
              <a:extLst>
                <a:ext uri="{63B3BB69-23CF-44E3-9099-C40C66FF867C}">
                  <a14:compatExt spid="_x0000_s192514"/>
                </a:ext>
                <a:ext uri="{FF2B5EF4-FFF2-40B4-BE49-F238E27FC236}">
                  <a16:creationId xmlns:a16="http://schemas.microsoft.com/office/drawing/2014/main" id="{00000000-0008-0000-0E00-000002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2515" name="Button 3" hidden="1">
              <a:extLst>
                <a:ext uri="{63B3BB69-23CF-44E3-9099-C40C66FF867C}">
                  <a14:compatExt spid="_x0000_s192515"/>
                </a:ext>
                <a:ext uri="{FF2B5EF4-FFF2-40B4-BE49-F238E27FC236}">
                  <a16:creationId xmlns:a16="http://schemas.microsoft.com/office/drawing/2014/main" id="{00000000-0008-0000-0E00-000003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2516" name="Button 4" hidden="1">
              <a:extLst>
                <a:ext uri="{63B3BB69-23CF-44E3-9099-C40C66FF867C}">
                  <a14:compatExt spid="_x0000_s192516"/>
                </a:ext>
                <a:ext uri="{FF2B5EF4-FFF2-40B4-BE49-F238E27FC236}">
                  <a16:creationId xmlns:a16="http://schemas.microsoft.com/office/drawing/2014/main" id="{00000000-0008-0000-0E00-000004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2517" name="Button 5" hidden="1">
              <a:extLst>
                <a:ext uri="{63B3BB69-23CF-44E3-9099-C40C66FF867C}">
                  <a14:compatExt spid="_x0000_s192517"/>
                </a:ext>
                <a:ext uri="{FF2B5EF4-FFF2-40B4-BE49-F238E27FC236}">
                  <a16:creationId xmlns:a16="http://schemas.microsoft.com/office/drawing/2014/main" id="{00000000-0008-0000-0E00-000005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4561" name="Button 1" hidden="1">
              <a:extLst>
                <a:ext uri="{63B3BB69-23CF-44E3-9099-C40C66FF867C}">
                  <a14:compatExt spid="_x0000_s194561"/>
                </a:ext>
                <a:ext uri="{FF2B5EF4-FFF2-40B4-BE49-F238E27FC236}">
                  <a16:creationId xmlns:a16="http://schemas.microsoft.com/office/drawing/2014/main" id="{1923C92C-9C3B-440A-BEE1-EF7307914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4562" name="Button 2" hidden="1">
              <a:extLst>
                <a:ext uri="{63B3BB69-23CF-44E3-9099-C40C66FF867C}">
                  <a14:compatExt spid="_x0000_s194562"/>
                </a:ext>
                <a:ext uri="{FF2B5EF4-FFF2-40B4-BE49-F238E27FC236}">
                  <a16:creationId xmlns:a16="http://schemas.microsoft.com/office/drawing/2014/main" id="{87E4C322-339A-4062-88F3-CD8107CD8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4563" name="Button 3" hidden="1">
              <a:extLst>
                <a:ext uri="{63B3BB69-23CF-44E3-9099-C40C66FF867C}">
                  <a14:compatExt spid="_x0000_s194563"/>
                </a:ext>
                <a:ext uri="{FF2B5EF4-FFF2-40B4-BE49-F238E27FC236}">
                  <a16:creationId xmlns:a16="http://schemas.microsoft.com/office/drawing/2014/main" id="{12A357A3-E909-4D52-A2A5-E68033832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4564" name="Button 4" hidden="1">
              <a:extLst>
                <a:ext uri="{63B3BB69-23CF-44E3-9099-C40C66FF867C}">
                  <a14:compatExt spid="_x0000_s194564"/>
                </a:ext>
                <a:ext uri="{FF2B5EF4-FFF2-40B4-BE49-F238E27FC236}">
                  <a16:creationId xmlns:a16="http://schemas.microsoft.com/office/drawing/2014/main" id="{1A65A071-D701-4947-8CCC-29F23AD09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4565" name="Button 5" hidden="1">
              <a:extLst>
                <a:ext uri="{63B3BB69-23CF-44E3-9099-C40C66FF867C}">
                  <a14:compatExt spid="_x0000_s194565"/>
                </a:ext>
                <a:ext uri="{FF2B5EF4-FFF2-40B4-BE49-F238E27FC236}">
                  <a16:creationId xmlns:a16="http://schemas.microsoft.com/office/drawing/2014/main" id="{E3DA732F-7974-4D7F-8EF3-F53B779B7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5585" name="Button 1" hidden="1">
              <a:extLst>
                <a:ext uri="{63B3BB69-23CF-44E3-9099-C40C66FF867C}">
                  <a14:compatExt spid="_x0000_s195585"/>
                </a:ext>
                <a:ext uri="{FF2B5EF4-FFF2-40B4-BE49-F238E27FC236}">
                  <a16:creationId xmlns:a16="http://schemas.microsoft.com/office/drawing/2014/main" id="{A82B0BD3-F0F4-434C-BBC5-B42BA991C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5586" name="Button 2" hidden="1">
              <a:extLst>
                <a:ext uri="{63B3BB69-23CF-44E3-9099-C40C66FF867C}">
                  <a14:compatExt spid="_x0000_s195586"/>
                </a:ext>
                <a:ext uri="{FF2B5EF4-FFF2-40B4-BE49-F238E27FC236}">
                  <a16:creationId xmlns:a16="http://schemas.microsoft.com/office/drawing/2014/main" id="{6A6036B6-6844-4367-B393-479F7B196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5587" name="Button 3" hidden="1">
              <a:extLst>
                <a:ext uri="{63B3BB69-23CF-44E3-9099-C40C66FF867C}">
                  <a14:compatExt spid="_x0000_s195587"/>
                </a:ext>
                <a:ext uri="{FF2B5EF4-FFF2-40B4-BE49-F238E27FC236}">
                  <a16:creationId xmlns:a16="http://schemas.microsoft.com/office/drawing/2014/main" id="{7576E346-1747-46A5-A2E5-601D5D55C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5588" name="Button 4" hidden="1">
              <a:extLst>
                <a:ext uri="{63B3BB69-23CF-44E3-9099-C40C66FF867C}">
                  <a14:compatExt spid="_x0000_s195588"/>
                </a:ext>
                <a:ext uri="{FF2B5EF4-FFF2-40B4-BE49-F238E27FC236}">
                  <a16:creationId xmlns:a16="http://schemas.microsoft.com/office/drawing/2014/main" id="{2CD07B2C-51EF-4E0F-9A18-37F5BFFE0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5589" name="Button 5" hidden="1">
              <a:extLst>
                <a:ext uri="{63B3BB69-23CF-44E3-9099-C40C66FF867C}">
                  <a14:compatExt spid="_x0000_s195589"/>
                </a:ext>
                <a:ext uri="{FF2B5EF4-FFF2-40B4-BE49-F238E27FC236}">
                  <a16:creationId xmlns:a16="http://schemas.microsoft.com/office/drawing/2014/main" id="{634C4974-F358-4416-AC1A-1E8ADA215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6609" name="Button 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ED2D54A4-1467-4C6B-96E9-F199FB1E9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6610" name="Button 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E3E8D5CA-4062-4A0E-8679-B20619345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6611" name="Button 3" hidden="1">
              <a:extLst>
                <a:ext uri="{63B3BB69-23CF-44E3-9099-C40C66FF867C}">
                  <a14:compatExt spid="_x0000_s196611"/>
                </a:ext>
                <a:ext uri="{FF2B5EF4-FFF2-40B4-BE49-F238E27FC236}">
                  <a16:creationId xmlns:a16="http://schemas.microsoft.com/office/drawing/2014/main" id="{E19FE005-67B8-4135-8CDF-52A5D2379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6612" name="Button 4" hidden="1">
              <a:extLst>
                <a:ext uri="{63B3BB69-23CF-44E3-9099-C40C66FF867C}">
                  <a14:compatExt spid="_x0000_s196612"/>
                </a:ext>
                <a:ext uri="{FF2B5EF4-FFF2-40B4-BE49-F238E27FC236}">
                  <a16:creationId xmlns:a16="http://schemas.microsoft.com/office/drawing/2014/main" id="{F990D059-3AC6-4ACC-8732-FC4AF0991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6613" name="Button 5" hidden="1">
              <a:extLst>
                <a:ext uri="{63B3BB69-23CF-44E3-9099-C40C66FF867C}">
                  <a14:compatExt spid="_x0000_s196613"/>
                </a:ext>
                <a:ext uri="{FF2B5EF4-FFF2-40B4-BE49-F238E27FC236}">
                  <a16:creationId xmlns:a16="http://schemas.microsoft.com/office/drawing/2014/main" id="{A7763CF2-480B-48CC-9BE8-AB74E1974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7633" name="Button 1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F6C61762-09C5-451B-91E9-2DA169BEB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7634" name="Button 2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94597BF2-EAD5-4319-9894-8A13C8A36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7635" name="Button 3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1B494C67-2EC6-4045-A983-16ABFE4C2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7636" name="Button 4" hidden="1">
              <a:extLst>
                <a:ext uri="{63B3BB69-23CF-44E3-9099-C40C66FF867C}">
                  <a14:compatExt spid="_x0000_s197636"/>
                </a:ext>
                <a:ext uri="{FF2B5EF4-FFF2-40B4-BE49-F238E27FC236}">
                  <a16:creationId xmlns:a16="http://schemas.microsoft.com/office/drawing/2014/main" id="{38921307-FF81-4CE7-975A-AE3A31801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7637" name="Button 5" hidden="1">
              <a:extLst>
                <a:ext uri="{63B3BB69-23CF-44E3-9099-C40C66FF867C}">
                  <a14:compatExt spid="_x0000_s197637"/>
                </a:ext>
                <a:ext uri="{FF2B5EF4-FFF2-40B4-BE49-F238E27FC236}">
                  <a16:creationId xmlns:a16="http://schemas.microsoft.com/office/drawing/2014/main" id="{BCE05E21-D260-48DA-9AE2-FFDD2D1CF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7122242D-0593-4B22-BCB8-DD21B0A55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488DFB65-BF47-4971-A260-E23271E01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  <a:ext uri="{FF2B5EF4-FFF2-40B4-BE49-F238E27FC236}">
                  <a16:creationId xmlns:a16="http://schemas.microsoft.com/office/drawing/2014/main" id="{6D5F2EEB-0474-4655-9C9E-1B59AFCC1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  <a:ext uri="{FF2B5EF4-FFF2-40B4-BE49-F238E27FC236}">
                  <a16:creationId xmlns:a16="http://schemas.microsoft.com/office/drawing/2014/main" id="{ACA5D5B4-E04C-43FA-94AA-8249BBB62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  <a:ext uri="{FF2B5EF4-FFF2-40B4-BE49-F238E27FC236}">
                  <a16:creationId xmlns:a16="http://schemas.microsoft.com/office/drawing/2014/main" id="{608F7EA3-070D-4621-828A-69F0DCDE0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3D9E6F24-70A0-4912-A8B7-BEEA2BE85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941B5045-11C0-4905-818B-A7A6F8C52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199683" name="Button 3" hidden="1">
              <a:extLst>
                <a:ext uri="{63B3BB69-23CF-44E3-9099-C40C66FF867C}">
                  <a14:compatExt spid="_x0000_s199683"/>
                </a:ext>
                <a:ext uri="{FF2B5EF4-FFF2-40B4-BE49-F238E27FC236}">
                  <a16:creationId xmlns:a16="http://schemas.microsoft.com/office/drawing/2014/main" id="{74DE48CB-545C-4422-ACC0-0A33CBEC8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199684" name="Button 4" hidden="1">
              <a:extLst>
                <a:ext uri="{63B3BB69-23CF-44E3-9099-C40C66FF867C}">
                  <a14:compatExt spid="_x0000_s199684"/>
                </a:ext>
                <a:ext uri="{FF2B5EF4-FFF2-40B4-BE49-F238E27FC236}">
                  <a16:creationId xmlns:a16="http://schemas.microsoft.com/office/drawing/2014/main" id="{ABB65613-B220-4717-8ABA-990D58119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199685" name="Button 5" hidden="1">
              <a:extLst>
                <a:ext uri="{63B3BB69-23CF-44E3-9099-C40C66FF867C}">
                  <a14:compatExt spid="_x0000_s199685"/>
                </a:ext>
                <a:ext uri="{FF2B5EF4-FFF2-40B4-BE49-F238E27FC236}">
                  <a16:creationId xmlns:a16="http://schemas.microsoft.com/office/drawing/2014/main" id="{3AA0DF05-0236-423B-BB36-AC9E4F378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0705" name="Button 1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DD63DB0A-F9D2-42DA-9D26-F21750628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0706" name="Button 2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C497E51D-0014-438A-A217-135E503B7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0707" name="Button 3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A45499B2-AA54-40A3-8245-46ED5270F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0708" name="Button 4" hidden="1">
              <a:extLst>
                <a:ext uri="{63B3BB69-23CF-44E3-9099-C40C66FF867C}">
                  <a14:compatExt spid="_x0000_s200708"/>
                </a:ext>
                <a:ext uri="{FF2B5EF4-FFF2-40B4-BE49-F238E27FC236}">
                  <a16:creationId xmlns:a16="http://schemas.microsoft.com/office/drawing/2014/main" id="{0B8880BA-BD16-42A3-871F-0B4BE198A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0709" name="Button 5" hidden="1">
              <a:extLst>
                <a:ext uri="{63B3BB69-23CF-44E3-9099-C40C66FF867C}">
                  <a14:compatExt spid="_x0000_s200709"/>
                </a:ext>
                <a:ext uri="{FF2B5EF4-FFF2-40B4-BE49-F238E27FC236}">
                  <a16:creationId xmlns:a16="http://schemas.microsoft.com/office/drawing/2014/main" id="{4294C9D9-8DB9-45B6-BD12-6FC936B68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01729" name="Button 1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F7C6A38-9321-4142-A19E-334A016D6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201730" name="Button 2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CA4CB506-73BB-4816-8D7E-55A1AA7D5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201731" name="Button 3" hidden="1">
              <a:extLst>
                <a:ext uri="{63B3BB69-23CF-44E3-9099-C40C66FF867C}">
                  <a14:compatExt spid="_x0000_s201731"/>
                </a:ext>
                <a:ext uri="{FF2B5EF4-FFF2-40B4-BE49-F238E27FC236}">
                  <a16:creationId xmlns:a16="http://schemas.microsoft.com/office/drawing/2014/main" id="{889AA367-DC12-46B4-A0F2-C5C2243BA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201732" name="Button 4" hidden="1">
              <a:extLst>
                <a:ext uri="{63B3BB69-23CF-44E3-9099-C40C66FF867C}">
                  <a14:compatExt spid="_x0000_s201732"/>
                </a:ext>
                <a:ext uri="{FF2B5EF4-FFF2-40B4-BE49-F238E27FC236}">
                  <a16:creationId xmlns:a16="http://schemas.microsoft.com/office/drawing/2014/main" id="{E3115BFB-B535-42AB-B067-1CCB32F98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1733" name="Button 5" hidden="1">
              <a:extLst>
                <a:ext uri="{63B3BB69-23CF-44E3-9099-C40C66FF867C}">
                  <a14:compatExt spid="_x0000_s201733"/>
                </a:ext>
                <a:ext uri="{FF2B5EF4-FFF2-40B4-BE49-F238E27FC236}">
                  <a16:creationId xmlns:a16="http://schemas.microsoft.com/office/drawing/2014/main" id="{EE8C4440-03F2-4CF4-B128-877480982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198120</xdr:rowOff>
        </xdr:from>
        <xdr:to>
          <xdr:col>12</xdr:col>
          <xdr:colOff>7620</xdr:colOff>
          <xdr:row>12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12</xdr:row>
          <xdr:rowOff>198120</xdr:rowOff>
        </xdr:from>
        <xdr:to>
          <xdr:col>11</xdr:col>
          <xdr:colOff>891540</xdr:colOff>
          <xdr:row>14</xdr:row>
          <xdr:rowOff>15240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14</xdr:row>
          <xdr:rowOff>198120</xdr:rowOff>
        </xdr:from>
        <xdr:to>
          <xdr:col>12</xdr:col>
          <xdr:colOff>22860</xdr:colOff>
          <xdr:row>17</xdr:row>
          <xdr:rowOff>114300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F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2" totalsRowShown="0" headerRowDxfId="296" dataDxfId="294" headerRowBorderDxfId="295" tableBorderDxfId="293" totalsRowBorderDxfId="292" headerRowCellStyle="60% - Accent5">
  <autoFilter ref="A1:E32" xr:uid="{7E3155DF-3CB2-4063-8346-D3006162EB2E}"/>
  <sortState xmlns:xlrd2="http://schemas.microsoft.com/office/spreadsheetml/2017/richdata2" ref="A2:E32">
    <sortCondition ref="A1:A32"/>
  </sortState>
  <tableColumns count="5">
    <tableColumn id="1" xr3:uid="{4A3C96D4-74F9-46DA-B54B-0CD347E35136}" name="Surname" dataDxfId="291" dataCellStyle="Hyperlink"/>
    <tableColumn id="2" xr3:uid="{2B90B92F-5F96-4EDA-9BBB-0E797162ECC4}" name="First Name" dataDxfId="290" dataCellStyle="Hyperlink"/>
    <tableColumn id="8" xr3:uid="{CFE0A41F-FE26-4CF3-BAA8-F6CEC7B006D4}" name="Status" dataDxfId="289" dataCellStyle="Hyperlink"/>
    <tableColumn id="3" xr3:uid="{EBBDE5FC-4AD9-4996-A6CE-25D9B52D4D03}" name="Date" dataDxfId="288"/>
    <tableColumn id="4" xr3:uid="{854BBB0E-E50E-4F6C-90CC-6180E0CE5D32}" name="ID" dataDxfId="28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9AFC16-2281-434F-BA84-13758627FB92}" name="Frank_Smith_31E069A4ExchangeTable" displayName="Frank_Smith_31E069A4ExchangeTable" ref="A37:D38" totalsRowShown="0" headerRowDxfId="286" dataDxfId="285" tableBorderDxfId="284">
  <autoFilter ref="A37:D38" xr:uid="{039AFC16-2281-434F-BA84-13758627FB92}"/>
  <tableColumns count="4">
    <tableColumn id="1" xr3:uid="{A88F2D40-17A0-4E8B-9945-6C86D135C2C2}" name="Date" dataDxfId="283"/>
    <tableColumn id="2" xr3:uid="{95CF9037-4EAD-49A9-BAD1-1B9A781CA07E}" name="Item" dataDxfId="282"/>
    <tableColumn id="3" xr3:uid="{A09F6C45-8690-4A7B-803C-9A3B7625F16F}" name="Old Size" dataDxfId="281"/>
    <tableColumn id="4" xr3:uid="{437D1691-D526-40CE-AEDA-8B74396B6A3A}" name="New Size " dataDxfId="280"/>
  </tableColumns>
  <tableStyleInfo name="ExchangeTable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AD57A-3C24-4BE4-813F-74B0EAB69161}" name="john_ignoroff_C7A2769DExchangeTable" displayName="john_ignoroff_C7A2769DExchangeTable" ref="A37:D38" totalsRowShown="0" headerRowDxfId="279" dataDxfId="278" tableBorderDxfId="277">
  <autoFilter ref="A37:D38" xr:uid="{309AD57A-3C24-4BE4-813F-74B0EAB69161}"/>
  <tableColumns count="4">
    <tableColumn id="1" xr3:uid="{8AAAB7DE-D329-48B3-AA6D-C723CABC2A2D}" name="Date" dataDxfId="276"/>
    <tableColumn id="2" xr3:uid="{380448FB-1DA3-4B70-AFFC-60438E356925}" name="Item" dataDxfId="275"/>
    <tableColumn id="3" xr3:uid="{C3C954FA-DE6B-4D8F-BF5C-EBD11B080EA1}" name="Old Size" dataDxfId="274"/>
    <tableColumn id="4" xr3:uid="{DD9E2E77-019E-425B-A2B0-DDF8C39C5072}" name="New Size " dataDxfId="273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13499D-5378-4BDF-952C-4D336AF59077}" name="john_ignoroff_1D355686ExchangeTable" displayName="john_ignoroff_1D355686ExchangeTable" ref="A37:D38" totalsRowShown="0" headerRowDxfId="272" dataDxfId="271" tableBorderDxfId="270">
  <autoFilter ref="A37:D38" xr:uid="{9F13499D-5378-4BDF-952C-4D336AF59077}"/>
  <tableColumns count="4">
    <tableColumn id="1" xr3:uid="{85A987D7-123A-488A-A570-F2FDCD7E62A0}" name="Date" dataDxfId="269"/>
    <tableColumn id="2" xr3:uid="{14815596-453C-42E6-A8F8-31E6D3CA29EA}" name="Item" dataDxfId="268"/>
    <tableColumn id="3" xr3:uid="{B1038C9F-2B91-4228-8218-0A3C942BCC3F}" name="Old Size" dataDxfId="267"/>
    <tableColumn id="4" xr3:uid="{EE8584AC-6CE6-467D-9F26-3E025E60D025}" name="New Size " dataDxfId="266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B14676-9FB0-4CE0-9C19-0EF74A154C6E}" name="john_ignoroff_C4E96CB0ExchangeTable" displayName="john_ignoroff_C4E96CB0ExchangeTable" ref="A37:D38" totalsRowShown="0" headerRowDxfId="265" dataDxfId="264" tableBorderDxfId="263">
  <autoFilter ref="A37:D38" xr:uid="{E7B14676-9FB0-4CE0-9C19-0EF74A154C6E}"/>
  <tableColumns count="4">
    <tableColumn id="1" xr3:uid="{17B56567-228E-4FC1-A1A7-E6C4245D80AC}" name="Date" dataDxfId="262"/>
    <tableColumn id="2" xr3:uid="{284DD8A1-48A6-4A20-B1BF-8CFA4EEF2F3C}" name="Item" dataDxfId="261"/>
    <tableColumn id="3" xr3:uid="{7B29EF65-A71F-4AC3-BAD7-ED94278088E5}" name="Old Size" dataDxfId="260"/>
    <tableColumn id="4" xr3:uid="{3102C827-BE4A-4245-AB24-2698047D303B}" name="New Size " dataDxfId="259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BFC83D-593D-4A90-8200-860194F7FEE6}" name="john_ignoroff_9B2E219DExchangeTable" displayName="john_ignoroff_9B2E219DExchangeTable" ref="A37:D38" totalsRowShown="0" headerRowDxfId="258" dataDxfId="257" tableBorderDxfId="256">
  <autoFilter ref="A37:D38" xr:uid="{D7BFC83D-593D-4A90-8200-860194F7FEE6}"/>
  <tableColumns count="4">
    <tableColumn id="1" xr3:uid="{E7835C64-77B3-4445-A33E-164B3921AB89}" name="Date" dataDxfId="255"/>
    <tableColumn id="2" xr3:uid="{479DFA2A-B81D-4BDE-81FB-1EE6CA25C77C}" name="Item" dataDxfId="254"/>
    <tableColumn id="3" xr3:uid="{F565ED20-9081-40D4-A3C9-582BBAB7C73A}" name="Old Size" dataDxfId="253"/>
    <tableColumn id="4" xr3:uid="{18E60303-9B83-4FB3-BBCA-FC3B4B03AAFE}" name="New Size " dataDxfId="252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288041C-74D5-4250-9E81-B3CF8C0B2643}" name="john_ignoroff_5C972395ExchangeTable" displayName="john_ignoroff_5C972395ExchangeTable" ref="A37:D38" totalsRowShown="0" headerRowDxfId="251" dataDxfId="250" tableBorderDxfId="249">
  <autoFilter ref="A37:D38" xr:uid="{7288041C-74D5-4250-9E81-B3CF8C0B2643}"/>
  <tableColumns count="4">
    <tableColumn id="1" xr3:uid="{16FB70A2-42CE-42C6-9E20-29871ECD8F19}" name="Date" dataDxfId="248"/>
    <tableColumn id="2" xr3:uid="{1A2D68C5-D138-406B-BFFD-61B3A32CAAFC}" name="Item" dataDxfId="247"/>
    <tableColumn id="3" xr3:uid="{33F8E86A-4D39-4F55-8D67-3A35FBA10E6F}" name="Old Size" dataDxfId="246"/>
    <tableColumn id="4" xr3:uid="{3F1A07D5-2658-4D49-ABEB-D8A935E2318C}" name="New Size " dataDxfId="245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371A8C-4C8C-49CB-AA46-8BD52FE73760}" name="john_ignoroff_8D968394ExchangeTable" displayName="john_ignoroff_8D968394ExchangeTable" ref="A37:D38" totalsRowShown="0" headerRowDxfId="244" dataDxfId="243" tableBorderDxfId="242">
  <autoFilter ref="A37:D38" xr:uid="{1F371A8C-4C8C-49CB-AA46-8BD52FE73760}"/>
  <tableColumns count="4">
    <tableColumn id="1" xr3:uid="{A68320E9-0CAB-4D77-89D6-2E313A4C8E5E}" name="Date" dataDxfId="241"/>
    <tableColumn id="2" xr3:uid="{E7B52780-4A99-4AEF-A8A7-52D823BC198C}" name="Item" dataDxfId="240"/>
    <tableColumn id="3" xr3:uid="{D11B0B0D-39BB-4D03-BC5D-FA72EE83253C}" name="Old Size" dataDxfId="239"/>
    <tableColumn id="4" xr3:uid="{D0A7C0BF-27A8-40BB-B5F2-BD539E2FD595}" name="New Size " dataDxfId="238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65A7098-AA39-4EC9-AF64-CE778A7A193A}" name="john_ignoroff_7F96D6BAExchangeTable" displayName="john_ignoroff_7F96D6BAExchangeTable" ref="A37:D38" totalsRowShown="0" headerRowDxfId="237" dataDxfId="236" tableBorderDxfId="235">
  <autoFilter ref="A37:D38" xr:uid="{565A7098-AA39-4EC9-AF64-CE778A7A193A}"/>
  <tableColumns count="4">
    <tableColumn id="1" xr3:uid="{A8755CAF-2E5D-4D53-9F07-686558C49B4E}" name="Date" dataDxfId="234"/>
    <tableColumn id="2" xr3:uid="{0573A758-86A4-4337-A261-5BEAA73E2A0E}" name="Item" dataDxfId="233"/>
    <tableColumn id="3" xr3:uid="{706610D6-AB2C-4B24-BE3F-53CE03038D63}" name="Old Size" dataDxfId="232"/>
    <tableColumn id="4" xr3:uid="{04814F28-9FB0-4E67-8334-62B3C9F83560}" name="New Size " dataDxfId="231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858658-40FF-498E-A56B-0FDBF10E117E}" name="john_ignoroff_FF2E6C92ExchangeTable" displayName="john_ignoroff_FF2E6C92ExchangeTable" ref="A37:D38" totalsRowShown="0" headerRowDxfId="224" dataDxfId="225" tableBorderDxfId="230">
  <autoFilter ref="A37:D38" xr:uid="{FD858658-40FF-498E-A56B-0FDBF10E117E}"/>
  <tableColumns count="4">
    <tableColumn id="1" xr3:uid="{8762A159-A0A7-40F5-888D-D01C39EBF5DA}" name="Date" dataDxfId="229"/>
    <tableColumn id="2" xr3:uid="{D79D169D-0774-418B-967F-39B2292C2C43}" name="Item" dataDxfId="228"/>
    <tableColumn id="3" xr3:uid="{7F4210B6-0F97-4E5E-A279-E0BE28489027}" name="Old Size" dataDxfId="227"/>
    <tableColumn id="4" xr3:uid="{585AC898-199D-4D3B-9B3A-3A76ABACFC1F}" name="New Size " dataDxfId="226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940E03-8235-4B15-93D1-DD3FB54C2608}" name="john_ignoroff_7CBC2586ExchangeTable" displayName="john_ignoroff_7CBC2586ExchangeTable" ref="A37:D38" totalsRowShown="0" headerRowDxfId="217" dataDxfId="218" tableBorderDxfId="223">
  <autoFilter ref="A37:D38" xr:uid="{65940E03-8235-4B15-93D1-DD3FB54C2608}"/>
  <tableColumns count="4">
    <tableColumn id="1" xr3:uid="{D46FC7A0-3EA7-45BA-912A-9812FC43132A}" name="Date" dataDxfId="222"/>
    <tableColumn id="2" xr3:uid="{1DCD072B-8A62-4F8F-8D75-13646C60318A}" name="Item" dataDxfId="221"/>
    <tableColumn id="3" xr3:uid="{C6AB1EBD-2440-4861-9205-CFDEE1716DB4}" name="Old Size" dataDxfId="220"/>
    <tableColumn id="4" xr3:uid="{FD415A8E-B584-4703-9564-949146C2E484}" name="New Size " dataDxfId="219"/>
  </tableColumns>
  <tableStyleInfo name="ExchangeTableSty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CA18C0-3F9C-47E7-A414-4B60E84B7132}" name="john_ignoroff_866290B1ExchangeTable" displayName="john_ignoroff_866290B1ExchangeTable" ref="A37:D39" totalsRowShown="0" headerRowDxfId="210" dataDxfId="211" tableBorderDxfId="216">
  <autoFilter ref="A37:D39" xr:uid="{BFCA18C0-3F9C-47E7-A414-4B60E84B7132}"/>
  <tableColumns count="4">
    <tableColumn id="1" xr3:uid="{1A0982D5-3488-4B5F-9F55-5A6446A83A58}" name="Date" dataDxfId="215"/>
    <tableColumn id="2" xr3:uid="{9EC4E021-24C4-4867-BDA8-F21AD08A0D5B}" name="Item" dataDxfId="214"/>
    <tableColumn id="3" xr3:uid="{11A2189D-B620-41D0-A7C6-C00705EC0D9C}" name="Old Size" dataDxfId="213"/>
    <tableColumn id="4" xr3:uid="{0881F423-5A16-41BD-9F23-227AD63E8B74}" name="New Size " dataDxfId="212"/>
  </tableColumns>
  <tableStyleInfo name="ExchangeTableSty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11E7C1-9F2C-437D-BA2D-C6FECB8C8B8B}" name="john_ignoroff_BE04ABB9ExchangeTable" displayName="john_ignoroff_BE04ABB9ExchangeTable" ref="A37:D43" totalsRowShown="0" headerRowDxfId="203" dataDxfId="204" tableBorderDxfId="209">
  <autoFilter ref="A37:D43" xr:uid="{1711E7C1-9F2C-437D-BA2D-C6FECB8C8B8B}"/>
  <tableColumns count="4">
    <tableColumn id="1" xr3:uid="{53E67DEA-C57C-4F36-9F75-467250B2574A}" name="Date" dataDxfId="208"/>
    <tableColumn id="2" xr3:uid="{F811A66C-F78B-41B3-BD62-260296AD323A}" name="Item" dataDxfId="207"/>
    <tableColumn id="3" xr3:uid="{0D92798C-DC04-449F-A365-AE9F7C879005}" name="Old Size" dataDxfId="206"/>
    <tableColumn id="4" xr3:uid="{B05036EA-7CFC-4DB0-8E7A-687589395DF5}" name="New Size " dataDxfId="205"/>
  </tableColumns>
  <tableStyleInfo name="ExchangeTableSty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918CD36-58B8-4C18-BBBF-7E33786C42B1}" name="john_ignoroff_40CB8D97ExchangeTable" displayName="john_ignoroff_40CB8D97ExchangeTable" ref="A37:D38" totalsRowShown="0" headerRowDxfId="196" dataDxfId="197" tableBorderDxfId="202">
  <autoFilter ref="A37:D38" xr:uid="{F918CD36-58B8-4C18-BBBF-7E33786C42B1}"/>
  <tableColumns count="4">
    <tableColumn id="1" xr3:uid="{F437425B-9E18-4B11-BDA8-1E9F4A6A31C0}" name="Date" dataDxfId="201"/>
    <tableColumn id="2" xr3:uid="{90A370DB-8064-44D4-916E-DBB958E8D18C}" name="Item" dataDxfId="200"/>
    <tableColumn id="3" xr3:uid="{577581B8-97A6-48B6-85D8-5DCF99CF16D2}" name="Old Size" dataDxfId="199"/>
    <tableColumn id="4" xr3:uid="{3BF8AB39-E23F-45A1-B0AC-BED017FAC02C}" name="New Size " dataDxfId="198"/>
  </tableColumns>
  <tableStyleInfo name="ExchangeTableSty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BF5CAB5-AE64-4F9E-BFC8-1AD398BF33AD}" name="john_ignoroff_905DDC88ExchangeTable" displayName="john_ignoroff_905DDC88ExchangeTable" ref="A37:D39" totalsRowShown="0" headerRowDxfId="189" dataDxfId="190" tableBorderDxfId="195">
  <autoFilter ref="A37:D39" xr:uid="{9BF5CAB5-AE64-4F9E-BFC8-1AD398BF33AD}"/>
  <tableColumns count="4">
    <tableColumn id="1" xr3:uid="{974AB800-5885-48A8-9C01-DAE965AA0EAF}" name="Date" dataDxfId="194"/>
    <tableColumn id="2" xr3:uid="{6823FF9A-5177-4A87-BA1D-3F056986BD75}" name="Item" dataDxfId="193"/>
    <tableColumn id="3" xr3:uid="{497747C8-6B36-4FE3-A11C-EDE165B3829D}" name="Old Size" dataDxfId="192"/>
    <tableColumn id="4" xr3:uid="{741FE42C-0587-4FDF-9D35-5F22E217678C}" name="New Size " dataDxfId="191"/>
  </tableColumns>
  <tableStyleInfo name="ExchangeTableSty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DEDFDB8-A14B-4294-89E0-E465ACD4A3BD}" name="john_ignoroff_FA33A295ExchangeTable" displayName="john_ignoroff_FA33A295ExchangeTable" ref="A37:D39" totalsRowShown="0" headerRowDxfId="182" dataDxfId="183" tableBorderDxfId="188">
  <autoFilter ref="A37:D39" xr:uid="{FDEDFDB8-A14B-4294-89E0-E465ACD4A3BD}"/>
  <tableColumns count="4">
    <tableColumn id="1" xr3:uid="{8181803A-2075-453E-AC55-70F752936116}" name="Date" dataDxfId="187"/>
    <tableColumn id="2" xr3:uid="{140A03A4-9CA0-4FC7-941D-0D064747FBCB}" name="Item" dataDxfId="186"/>
    <tableColumn id="3" xr3:uid="{FD209CA1-7244-40FB-B4FC-0BE70DAD3145}" name="Old Size" dataDxfId="185"/>
    <tableColumn id="4" xr3:uid="{BFD8530D-BF36-4DC3-9332-84200B6E9D63}" name="New Size " dataDxfId="184"/>
  </tableColumns>
  <tableStyleInfo name="ExchangeTableSty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941EE8E-4C30-4898-B5E1-3E9DA8B798CA}" name="john_ignoroff_7B31F9B8ExchangeTable" displayName="john_ignoroff_7B31F9B8ExchangeTable" ref="A37:D42" totalsRowShown="0" headerRowDxfId="175" dataDxfId="176" tableBorderDxfId="181">
  <autoFilter ref="A37:D42" xr:uid="{8941EE8E-4C30-4898-B5E1-3E9DA8B798CA}"/>
  <tableColumns count="4">
    <tableColumn id="1" xr3:uid="{580D4E44-4587-4E50-BE46-6BA8DFD0E186}" name="Date" dataDxfId="180"/>
    <tableColumn id="2" xr3:uid="{CC7225F2-9D3D-4F89-B981-24E3667FB771}" name="Item" dataDxfId="179"/>
    <tableColumn id="3" xr3:uid="{D1D39400-F996-4B23-85CA-D7563D12C69F}" name="Old Size" dataDxfId="178"/>
    <tableColumn id="4" xr3:uid="{2D69FDD4-D0A8-4FBF-B785-A4AC01739171}" name="New Size " dataDxfId="177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67.xml"/><Relationship Id="rId7" Type="http://schemas.openxmlformats.org/officeDocument/2006/relationships/ctrlProp" Target="../ctrlProps/ctrlProp7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72.xml"/><Relationship Id="rId7" Type="http://schemas.openxmlformats.org/officeDocument/2006/relationships/ctrlProp" Target="../ctrlProps/ctrlProp7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ctrlProp" Target="../ctrlProps/ctrlProp77.xml"/><Relationship Id="rId7" Type="http://schemas.openxmlformats.org/officeDocument/2006/relationships/ctrlProp" Target="../ctrlProps/ctrlProp8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82.xml"/><Relationship Id="rId7" Type="http://schemas.openxmlformats.org/officeDocument/2006/relationships/ctrlProp" Target="../ctrlProps/ctrlProp8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85.xml"/><Relationship Id="rId5" Type="http://schemas.openxmlformats.org/officeDocument/2006/relationships/ctrlProp" Target="../ctrlProps/ctrlProp84.xml"/><Relationship Id="rId4" Type="http://schemas.openxmlformats.org/officeDocument/2006/relationships/ctrlProp" Target="../ctrlProps/ctrlProp8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ctrlProp" Target="../ctrlProps/ctrlProp87.xml"/><Relationship Id="rId7" Type="http://schemas.openxmlformats.org/officeDocument/2006/relationships/ctrlProp" Target="../ctrlProps/ctrlProp9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ctrlProp" Target="../ctrlProps/ctrlProp97.xml"/><Relationship Id="rId7" Type="http://schemas.openxmlformats.org/officeDocument/2006/relationships/ctrlProp" Target="../ctrlProps/ctrlProp101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0.xml"/><Relationship Id="rId5" Type="http://schemas.openxmlformats.org/officeDocument/2006/relationships/ctrlProp" Target="../ctrlProps/ctrlProp99.xml"/><Relationship Id="rId4" Type="http://schemas.openxmlformats.org/officeDocument/2006/relationships/ctrlProp" Target="../ctrlProps/ctrlProp9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ctrlProp" Target="../ctrlProps/ctrlProp102.xml"/><Relationship Id="rId7" Type="http://schemas.openxmlformats.org/officeDocument/2006/relationships/ctrlProp" Target="../ctrlProps/ctrlProp10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7" Type="http://schemas.openxmlformats.org/officeDocument/2006/relationships/ctrlProp" Target="../ctrlProps/ctrlProp11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32"/>
  <sheetViews>
    <sheetView topLeftCell="M1" workbookViewId="0">
      <selection activeCell="A2" sqref="A2:E32"/>
    </sheetView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</row>
    <row r="2" spans="1:5" x14ac:dyDescent="0.3">
      <c r="A2" s="32" t="s">
        <v>183</v>
      </c>
      <c r="B2" s="30" t="s">
        <v>184</v>
      </c>
      <c r="C2" s="31"/>
      <c r="D2" s="33">
        <v>45287.603738425925</v>
      </c>
      <c r="E2" s="34" t="s">
        <v>185</v>
      </c>
    </row>
    <row r="3" spans="1:5" x14ac:dyDescent="0.3">
      <c r="A3" s="32" t="s">
        <v>183</v>
      </c>
      <c r="B3" s="30" t="s">
        <v>184</v>
      </c>
      <c r="C3" s="31"/>
      <c r="D3" s="33">
        <v>45287.604548611111</v>
      </c>
      <c r="E3" s="34" t="s">
        <v>188</v>
      </c>
    </row>
    <row r="4" spans="1:5" x14ac:dyDescent="0.3">
      <c r="A4" s="32" t="s">
        <v>183</v>
      </c>
      <c r="B4" s="30" t="s">
        <v>184</v>
      </c>
      <c r="C4" s="31"/>
      <c r="D4" s="33">
        <v>45287.606678240743</v>
      </c>
      <c r="E4" s="34" t="s">
        <v>190</v>
      </c>
    </row>
    <row r="5" spans="1:5" x14ac:dyDescent="0.3">
      <c r="A5" s="32" t="s">
        <v>183</v>
      </c>
      <c r="B5" s="30" t="s">
        <v>184</v>
      </c>
      <c r="C5" s="31"/>
      <c r="D5" s="33">
        <v>45287.607175925928</v>
      </c>
      <c r="E5" s="34" t="s">
        <v>192</v>
      </c>
    </row>
    <row r="6" spans="1:5" x14ac:dyDescent="0.3">
      <c r="A6" s="32" t="s">
        <v>183</v>
      </c>
      <c r="B6" s="30" t="s">
        <v>184</v>
      </c>
      <c r="C6" s="31"/>
      <c r="D6" s="33">
        <v>45287.607881944445</v>
      </c>
      <c r="E6" s="34" t="s">
        <v>248</v>
      </c>
    </row>
    <row r="7" spans="1:5" x14ac:dyDescent="0.3">
      <c r="A7" s="32" t="s">
        <v>183</v>
      </c>
      <c r="B7" s="30" t="s">
        <v>184</v>
      </c>
      <c r="C7" s="31"/>
      <c r="D7" s="33">
        <v>45287.60837962963</v>
      </c>
      <c r="E7" s="34" t="s">
        <v>248</v>
      </c>
    </row>
    <row r="8" spans="1:5" x14ac:dyDescent="0.3">
      <c r="A8" s="32" t="s">
        <v>183</v>
      </c>
      <c r="B8" s="30" t="s">
        <v>184</v>
      </c>
      <c r="C8" s="31"/>
      <c r="D8" s="33">
        <v>45287.611111111109</v>
      </c>
      <c r="E8" s="34" t="s">
        <v>248</v>
      </c>
    </row>
    <row r="9" spans="1:5" x14ac:dyDescent="0.3">
      <c r="A9" s="32" t="s">
        <v>183</v>
      </c>
      <c r="B9" s="30" t="s">
        <v>184</v>
      </c>
      <c r="C9" s="31"/>
      <c r="D9" s="33">
        <v>45287.615486111114</v>
      </c>
      <c r="E9" s="34" t="s">
        <v>248</v>
      </c>
    </row>
    <row r="10" spans="1:5" x14ac:dyDescent="0.3">
      <c r="A10" s="32" t="s">
        <v>183</v>
      </c>
      <c r="B10" s="30" t="s">
        <v>184</v>
      </c>
      <c r="C10" s="31"/>
      <c r="D10" s="33">
        <v>45287.616030092591</v>
      </c>
      <c r="E10" s="34" t="s">
        <v>248</v>
      </c>
    </row>
    <row r="11" spans="1:5" x14ac:dyDescent="0.3">
      <c r="A11" s="32" t="s">
        <v>183</v>
      </c>
      <c r="B11" s="30" t="s">
        <v>184</v>
      </c>
      <c r="C11" s="31"/>
      <c r="D11" s="67">
        <v>45287.617210648146</v>
      </c>
      <c r="E11" s="68" t="s">
        <v>248</v>
      </c>
    </row>
    <row r="12" spans="1:5" x14ac:dyDescent="0.3">
      <c r="A12" s="32" t="s">
        <v>183</v>
      </c>
      <c r="B12" s="30" t="s">
        <v>184</v>
      </c>
      <c r="C12" s="31"/>
      <c r="D12" s="67">
        <v>45287.621099537035</v>
      </c>
      <c r="E12" s="68" t="s">
        <v>248</v>
      </c>
    </row>
    <row r="13" spans="1:5" x14ac:dyDescent="0.3">
      <c r="A13" s="32" t="s">
        <v>183</v>
      </c>
      <c r="B13" s="30" t="s">
        <v>184</v>
      </c>
      <c r="C13" s="31"/>
      <c r="D13" s="67">
        <v>45287.621770833335</v>
      </c>
      <c r="E13" s="68" t="s">
        <v>253</v>
      </c>
    </row>
    <row r="14" spans="1:5" x14ac:dyDescent="0.3">
      <c r="A14" s="32" t="s">
        <v>183</v>
      </c>
      <c r="B14" s="30" t="s">
        <v>184</v>
      </c>
      <c r="C14" s="31"/>
      <c r="D14" s="67">
        <v>45287.622453703705</v>
      </c>
      <c r="E14" s="68" t="s">
        <v>258</v>
      </c>
    </row>
    <row r="15" spans="1:5" x14ac:dyDescent="0.3">
      <c r="A15" s="32" t="s">
        <v>183</v>
      </c>
      <c r="B15" s="30" t="s">
        <v>184</v>
      </c>
      <c r="C15" s="31"/>
      <c r="D15" s="67">
        <v>45287.637569444443</v>
      </c>
      <c r="E15" s="68" t="s">
        <v>265</v>
      </c>
    </row>
    <row r="16" spans="1:5" x14ac:dyDescent="0.3">
      <c r="A16" s="32" t="s">
        <v>183</v>
      </c>
      <c r="B16" s="30" t="s">
        <v>184</v>
      </c>
      <c r="C16" s="31"/>
      <c r="D16" s="67">
        <v>45287.638668981483</v>
      </c>
      <c r="E16" s="68" t="s">
        <v>271</v>
      </c>
    </row>
    <row r="17" spans="1:5" x14ac:dyDescent="0.3">
      <c r="A17" s="32" t="s">
        <v>183</v>
      </c>
      <c r="B17" s="30" t="s">
        <v>184</v>
      </c>
      <c r="C17" s="31"/>
      <c r="D17" s="67">
        <v>45287.640543981484</v>
      </c>
      <c r="E17" s="68" t="s">
        <v>272</v>
      </c>
    </row>
    <row r="18" spans="1:5" x14ac:dyDescent="0.3">
      <c r="A18" s="32" t="s">
        <v>173</v>
      </c>
      <c r="B18" s="30" t="s">
        <v>174</v>
      </c>
      <c r="C18" s="31"/>
      <c r="D18" s="33">
        <v>45287.575891203705</v>
      </c>
      <c r="E18" s="34" t="s">
        <v>248</v>
      </c>
    </row>
    <row r="19" spans="1:5" x14ac:dyDescent="0.3">
      <c r="A19" s="32" t="s">
        <v>87</v>
      </c>
      <c r="B19" s="30" t="s">
        <v>88</v>
      </c>
      <c r="C19" s="31" t="s">
        <v>47</v>
      </c>
      <c r="D19" s="33">
        <v>45263.695231481484</v>
      </c>
      <c r="E19" s="34" t="s">
        <v>248</v>
      </c>
    </row>
    <row r="20" spans="1:5" x14ac:dyDescent="0.3">
      <c r="A20" s="32" t="s">
        <v>87</v>
      </c>
      <c r="B20" s="30" t="s">
        <v>103</v>
      </c>
      <c r="C20" s="31" t="s">
        <v>47</v>
      </c>
      <c r="D20" s="33">
        <v>45263.695451388892</v>
      </c>
      <c r="E20" s="34" t="s">
        <v>248</v>
      </c>
    </row>
    <row r="21" spans="1:5" x14ac:dyDescent="0.3">
      <c r="A21" s="32" t="s">
        <v>62</v>
      </c>
      <c r="B21" s="30" t="s">
        <v>70</v>
      </c>
      <c r="C21" s="31" t="s">
        <v>47</v>
      </c>
      <c r="D21" s="33">
        <v>45201.988206018519</v>
      </c>
      <c r="E21" s="34" t="s">
        <v>248</v>
      </c>
    </row>
    <row r="22" spans="1:5" x14ac:dyDescent="0.3">
      <c r="A22" s="32" t="s">
        <v>62</v>
      </c>
      <c r="B22" s="30" t="s">
        <v>151</v>
      </c>
      <c r="C22" s="31" t="s">
        <v>175</v>
      </c>
      <c r="D22" s="33">
        <v>45286.693171296298</v>
      </c>
      <c r="E22" s="34" t="s">
        <v>248</v>
      </c>
    </row>
    <row r="23" spans="1:5" x14ac:dyDescent="0.3">
      <c r="A23" s="32" t="s">
        <v>123</v>
      </c>
      <c r="B23" s="30" t="s">
        <v>124</v>
      </c>
      <c r="C23" s="31" t="s">
        <v>47</v>
      </c>
      <c r="D23" s="33">
        <v>45263.701226851852</v>
      </c>
      <c r="E23" s="34" t="s">
        <v>248</v>
      </c>
    </row>
    <row r="24" spans="1:5" x14ac:dyDescent="0.3">
      <c r="A24" s="32" t="s">
        <v>123</v>
      </c>
      <c r="B24" s="30" t="s">
        <v>176</v>
      </c>
      <c r="C24" s="31"/>
      <c r="D24" s="33">
        <v>45287.6</v>
      </c>
      <c r="E24" s="34" t="s">
        <v>248</v>
      </c>
    </row>
    <row r="25" spans="1:5" x14ac:dyDescent="0.3">
      <c r="A25" s="32"/>
      <c r="B25" s="30"/>
      <c r="C25" s="31" t="s">
        <v>47</v>
      </c>
      <c r="D25" s="33"/>
      <c r="E25" s="34" t="s">
        <v>248</v>
      </c>
    </row>
    <row r="26" spans="1:5" x14ac:dyDescent="0.3">
      <c r="A26" s="66"/>
      <c r="B26" s="30"/>
      <c r="C26" s="31"/>
      <c r="D26" s="67"/>
      <c r="E26" s="68" t="s">
        <v>248</v>
      </c>
    </row>
    <row r="27" spans="1:5" x14ac:dyDescent="0.3">
      <c r="A27" s="66"/>
      <c r="B27" s="30"/>
      <c r="C27" s="31"/>
      <c r="D27" s="67"/>
      <c r="E27" s="68" t="s">
        <v>248</v>
      </c>
    </row>
    <row r="28" spans="1:5" x14ac:dyDescent="0.3">
      <c r="A28" s="66"/>
      <c r="B28" s="30"/>
      <c r="C28" s="31"/>
      <c r="D28" s="67"/>
      <c r="E28" s="68" t="s">
        <v>248</v>
      </c>
    </row>
    <row r="29" spans="1:5" x14ac:dyDescent="0.3">
      <c r="A29" s="66"/>
      <c r="B29" s="30"/>
      <c r="C29" s="31"/>
      <c r="D29" s="67"/>
      <c r="E29" s="68" t="s">
        <v>248</v>
      </c>
    </row>
    <row r="30" spans="1:5" x14ac:dyDescent="0.3">
      <c r="A30" s="66"/>
      <c r="B30" s="30"/>
      <c r="C30" s="31"/>
      <c r="D30" s="67"/>
      <c r="E30" s="68" t="s">
        <v>248</v>
      </c>
    </row>
    <row r="31" spans="1:5" x14ac:dyDescent="0.3">
      <c r="A31" s="66"/>
      <c r="B31" s="30"/>
      <c r="C31" s="31"/>
      <c r="D31" s="67"/>
      <c r="E31" s="68" t="s">
        <v>248</v>
      </c>
    </row>
    <row r="32" spans="1:5" x14ac:dyDescent="0.3">
      <c r="A32" s="66"/>
      <c r="B32" s="30"/>
      <c r="C32" s="31"/>
      <c r="D32" s="67"/>
      <c r="E32" s="68" t="s">
        <v>248</v>
      </c>
    </row>
  </sheetData>
  <conditionalFormatting sqref="C2:C32">
    <cfRule type="cellIs" dxfId="174" priority="1" operator="equal">
      <formula>"S.O.S"</formula>
    </cfRule>
    <cfRule type="containsText" dxfId="173" priority="2" operator="containsText" text="UNP">
      <formula>NOT(ISERROR(SEARCH("UNP",C2)))</formula>
    </cfRule>
    <cfRule type="containsText" dxfId="172" priority="3" operator="containsText" text="Pick Up">
      <formula>NOT(ISERROR(SEARCH("Pick Up",C2)))</formula>
    </cfRule>
    <cfRule type="cellIs" dxfId="171" priority="8" operator="equal">
      <formula>"Ready To Order"</formula>
    </cfRule>
    <cfRule type="containsText" dxfId="170" priority="9" operator="containsText" text="Ordered">
      <formula>NOT(ISERROR(SEARCH("Ordered",C2)))</formula>
    </cfRule>
    <cfRule type="containsText" dxfId="169" priority="10" operator="containsText" text="Complete">
      <formula>NOT(ISERROR(SEARCH("Complete",C2)))</formula>
    </cfRule>
    <cfRule type="cellIs" dxfId="168" priority="11" operator="equal">
      <formula>"Returned"</formula>
    </cfRule>
  </conditionalFormatting>
  <hyperlinks>
    <hyperlink ref="A21" location="'Henry_Smith_AB6D98A0'!A1" display="Smith" xr:uid="{F0491C2D-9026-45AA-BDE6-9C7BDC7799B0}"/>
    <hyperlink ref="A19" location="'Alice_Robinson_AB7A73BD'!A1" display="Robinson" xr:uid="{1BF412B7-D95B-4B05-BB50-2AF2D53F7E87}"/>
    <hyperlink ref="A20" location="'Liam_Robinson_FD0E829E'!A1" display="Robinson" xr:uid="{59E2DE7E-42B1-4A2F-8807-32153C3DB157}"/>
    <hyperlink ref="A23" location="'Taylor_White_0556E08D'!A1" display="White" xr:uid="{8036E8A5-CB76-4F77-9574-3F69FE4BE62B}"/>
    <hyperlink ref="A22" location="'Frank_Smith_31E069A4'!A1" display="Smith" xr:uid="{798BBAC1-010C-41F5-9AE9-334E3413D9A8}"/>
    <hyperlink ref="A18" location="'Wendy_Lee_FD66B198'!A1" display="Lee" xr:uid="{3AD25ECD-E321-4B49-BA3F-91855BFA410F}"/>
    <hyperlink ref="A24" location="'Samuel_White_3930959D'!A1" display="White" xr:uid="{25D456E1-D753-4510-9807-23BBE464E3B7}"/>
    <hyperlink ref="A2" location="'john_ignoroff_5270AEB8'!A1" display="ignoroff" xr:uid="{378FE0DF-C73C-4821-B72F-98D26F18A378}"/>
    <hyperlink ref="A3" location="'john_ignoroff_5B2FB396'!A1" display="ignoroff" xr:uid="{504588CA-6425-46EA-9194-DC65FD302E11}"/>
    <hyperlink ref="A4" location="'john_ignoroff_2EF86181'!A1" display="ignoroff" xr:uid="{1F9553BF-DA53-42E0-BBF0-5A7D06354A28}"/>
    <hyperlink ref="A5" location="'john_ignoroff_C7A2769D'!A1" display="ignoroff" xr:uid="{76EC3DA0-ADAB-4967-98CE-A0E39093110D}"/>
    <hyperlink ref="A6" location="'john_ignoroff_1D355686'!A1" display="ignoroff" xr:uid="{A56C88A6-FC7F-4389-B26F-99818FD3D64B}"/>
    <hyperlink ref="A7" location="'john_ignoroff_C4E96CB0'!A1" display="ignoroff" xr:uid="{5BD74DFD-6D25-4FB8-B2BE-A1BF32A7F033}"/>
    <hyperlink ref="A8" location="'john_ignoroff_5C972395'!A1" display="ignoroff" xr:uid="{67A4FBDE-C361-4557-8964-E1E042D27C18}"/>
    <hyperlink ref="A9" location="'john_ignoroff_8D968394'!A1" display="ignoroff" xr:uid="{D0B7916F-F340-424D-81BB-0EEF155C8810}"/>
    <hyperlink ref="A10" location="'john_ignoroff_7F96D6BA'!A1" display="ignoroff" xr:uid="{10C20FF0-BCEB-4283-A51D-8D6FBFF8DA8C}"/>
    <hyperlink ref="A11" location="'john_ignoroff_FF2E6C92'!A1" display="ignoroff" xr:uid="{CBB2D264-780E-4096-B6D0-EC8FD227F52C}"/>
    <hyperlink ref="A12" location="'john_ignoroff_7CBC2586'!A1" display="ignoroff" xr:uid="{FEE501C3-9C7E-4FCF-8A62-245D7881A84C}"/>
    <hyperlink ref="A13" location="'john_ignoroff_866290B1'!A1" display="ignoroff" xr:uid="{33424648-7F5C-439A-B89B-3566C64A9040}"/>
    <hyperlink ref="A14" location="'john_ignoroff_BE04ABB9'!A1" display="ignoroff" xr:uid="{5225CB36-1F15-410F-AF50-DD36FF389018}"/>
    <hyperlink ref="A15" location="'john_ignoroff_905DDC88'!A1" display="ignoroff" xr:uid="{89A9B5E1-FBA3-48DA-BA30-B96EE82AD133}"/>
    <hyperlink ref="A16" location="'john_ignoroff_FA33A295'!A1" display="ignoroff" xr:uid="{C31EDC9A-D4D2-477A-8A21-D4B03668405A}"/>
    <hyperlink ref="A17" location="'john_ignoroff_7B31F9B8'!A1" display="ignoroff" xr:uid="{D291A82C-0199-406D-B8E9-2732F37A4EA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304800</xdr:colOff>
                    <xdr:row>0</xdr:row>
                    <xdr:rowOff>0</xdr:rowOff>
                  </from>
                  <to>
                    <xdr:col>7</xdr:col>
                    <xdr:colOff>487680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ManualBackup">
                <anchor moveWithCells="1" sizeWithCells="1">
                  <from>
                    <xdr:col>10</xdr:col>
                    <xdr:colOff>350520</xdr:colOff>
                    <xdr:row>0</xdr:row>
                    <xdr:rowOff>0</xdr:rowOff>
                  </from>
                  <to>
                    <xdr:col>12</xdr:col>
                    <xdr:colOff>525780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CInput_Button">
                <anchor moveWithCells="1" sizeWithCells="1">
                  <from>
                    <xdr:col>7</xdr:col>
                    <xdr:colOff>609600</xdr:colOff>
                    <xdr:row>0</xdr:row>
                    <xdr:rowOff>0</xdr:rowOff>
                  </from>
                  <to>
                    <xdr:col>10</xdr:col>
                    <xdr:colOff>175260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NC_Experiment">
                <anchor moveWithCells="1" sizeWithCells="1">
                  <from>
                    <xdr:col>13</xdr:col>
                    <xdr:colOff>83820</xdr:colOff>
                    <xdr:row>0</xdr:row>
                    <xdr:rowOff>0</xdr:rowOff>
                  </from>
                  <to>
                    <xdr:col>15</xdr:col>
                    <xdr:colOff>259080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E24" sqref="E24"/>
    </sheetView>
  </sheetViews>
  <sheetFormatPr defaultRowHeight="14.4" x14ac:dyDescent="0.3"/>
  <sheetData>
    <row r="1" spans="1:13" ht="37.950000000000003" customHeight="1" x14ac:dyDescent="0.3">
      <c r="A1" s="35">
        <v>111</v>
      </c>
      <c r="B1" s="35" t="s">
        <v>63</v>
      </c>
      <c r="C1" s="35" t="s">
        <v>2</v>
      </c>
      <c r="D1" s="35" t="s">
        <v>64</v>
      </c>
      <c r="E1" s="35" t="s">
        <v>9</v>
      </c>
      <c r="F1" s="35" t="s">
        <v>11</v>
      </c>
      <c r="G1" s="35" t="s">
        <v>12</v>
      </c>
      <c r="H1" s="35" t="s">
        <v>13</v>
      </c>
      <c r="I1" s="35" t="s">
        <v>65</v>
      </c>
      <c r="J1" s="35" t="s">
        <v>15</v>
      </c>
      <c r="K1" s="35" t="s">
        <v>66</v>
      </c>
      <c r="L1" s="35" t="s">
        <v>67</v>
      </c>
      <c r="M1" s="35" t="s">
        <v>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V5"/>
  <sheetViews>
    <sheetView topLeftCell="E1" workbookViewId="0">
      <selection activeCell="S9" sqref="S9:X9"/>
    </sheetView>
  </sheetViews>
  <sheetFormatPr defaultRowHeight="14.4" x14ac:dyDescent="0.3"/>
  <cols>
    <col min="1" max="1" width="30.6640625" customWidth="1"/>
    <col min="3" max="3" width="10.88671875" customWidth="1"/>
    <col min="4" max="4" width="12.21875" customWidth="1"/>
    <col min="5" max="5" width="13.88671875" customWidth="1"/>
    <col min="7" max="7" width="12.44140625" customWidth="1"/>
    <col min="10" max="10" width="12" customWidth="1"/>
    <col min="14" max="14" width="11.77734375" customWidth="1"/>
    <col min="15" max="15" width="14.109375" customWidth="1"/>
  </cols>
  <sheetData>
    <row r="1" spans="1:22" ht="30.15" customHeight="1" x14ac:dyDescent="0.3">
      <c r="B1" s="4" t="s">
        <v>18</v>
      </c>
      <c r="C1" s="1" t="s">
        <v>21</v>
      </c>
      <c r="D1" s="4" t="s">
        <v>19</v>
      </c>
      <c r="E1" s="1" t="s">
        <v>20</v>
      </c>
      <c r="F1" s="4" t="s">
        <v>24</v>
      </c>
      <c r="G1" s="1" t="s">
        <v>23</v>
      </c>
      <c r="H1" s="4" t="s">
        <v>25</v>
      </c>
      <c r="I1" s="1" t="s">
        <v>26</v>
      </c>
      <c r="J1" s="4" t="s">
        <v>27</v>
      </c>
      <c r="K1" s="2"/>
      <c r="L1" s="4" t="s">
        <v>28</v>
      </c>
      <c r="M1" s="1" t="s">
        <v>22</v>
      </c>
      <c r="N1" s="4" t="s">
        <v>29</v>
      </c>
      <c r="O1" s="1" t="s">
        <v>30</v>
      </c>
      <c r="P1" s="10"/>
      <c r="Q1" s="1" t="s">
        <v>33</v>
      </c>
      <c r="R1" s="4" t="s">
        <v>31</v>
      </c>
      <c r="S1" s="1" t="s">
        <v>50</v>
      </c>
      <c r="T1" s="4" t="s">
        <v>32</v>
      </c>
      <c r="U1" s="1"/>
      <c r="V1" s="4"/>
    </row>
    <row r="2" spans="1:22" x14ac:dyDescent="0.3">
      <c r="A2" t="s">
        <v>144</v>
      </c>
      <c r="B2" s="37">
        <v>8060</v>
      </c>
      <c r="C2" s="37">
        <v>20</v>
      </c>
      <c r="D2" s="37" t="s">
        <v>45</v>
      </c>
      <c r="E2" s="37">
        <v>7658</v>
      </c>
      <c r="F2" s="37">
        <v>6.375</v>
      </c>
      <c r="G2" s="38" t="s">
        <v>56</v>
      </c>
      <c r="H2" s="37" t="s">
        <v>68</v>
      </c>
      <c r="I2" s="38" t="s">
        <v>46</v>
      </c>
      <c r="J2" s="37" t="s">
        <v>53</v>
      </c>
      <c r="L2" s="37" t="s">
        <v>54</v>
      </c>
      <c r="M2" s="37" t="s">
        <v>45</v>
      </c>
      <c r="N2" s="37">
        <v>6432</v>
      </c>
      <c r="O2" s="37" t="s">
        <v>75</v>
      </c>
      <c r="Q2" s="37">
        <v>6.125</v>
      </c>
      <c r="R2" s="37">
        <v>7036</v>
      </c>
    </row>
    <row r="3" spans="1:22" x14ac:dyDescent="0.3">
      <c r="A3" t="s">
        <v>145</v>
      </c>
      <c r="B3" s="37">
        <v>6134</v>
      </c>
      <c r="C3" s="37" t="s">
        <v>92</v>
      </c>
      <c r="D3" s="37" t="s">
        <v>81</v>
      </c>
      <c r="E3" t="s">
        <v>146</v>
      </c>
      <c r="F3" s="37">
        <v>7.625</v>
      </c>
      <c r="G3" s="37" t="s">
        <v>95</v>
      </c>
      <c r="H3" t="s">
        <v>146</v>
      </c>
      <c r="I3" s="38" t="s">
        <v>46</v>
      </c>
      <c r="J3" s="37" t="s">
        <v>53</v>
      </c>
      <c r="L3" s="37" t="s">
        <v>54</v>
      </c>
      <c r="M3" s="37" t="s">
        <v>68</v>
      </c>
      <c r="N3" s="37">
        <v>6444</v>
      </c>
      <c r="O3" s="37" t="s">
        <v>99</v>
      </c>
      <c r="Q3" s="37">
        <v>7.625</v>
      </c>
      <c r="R3" s="37">
        <v>6436</v>
      </c>
    </row>
    <row r="4" spans="1:22" x14ac:dyDescent="0.3">
      <c r="A4" t="s">
        <v>147</v>
      </c>
      <c r="B4" s="37">
        <v>6442</v>
      </c>
      <c r="C4" s="37" t="s">
        <v>106</v>
      </c>
      <c r="D4" s="37" t="s">
        <v>108</v>
      </c>
      <c r="E4" s="37" t="s">
        <v>110</v>
      </c>
      <c r="F4" s="37">
        <v>6.5</v>
      </c>
      <c r="G4" s="37" t="s">
        <v>95</v>
      </c>
      <c r="H4" s="37" t="s">
        <v>113</v>
      </c>
      <c r="I4" s="38" t="s">
        <v>46</v>
      </c>
      <c r="J4" s="37" t="s">
        <v>115</v>
      </c>
      <c r="L4" s="37" t="s">
        <v>54</v>
      </c>
      <c r="M4" s="37" t="s">
        <v>45</v>
      </c>
      <c r="N4" s="37">
        <v>7648</v>
      </c>
      <c r="O4" s="37" t="s">
        <v>75</v>
      </c>
      <c r="Q4" s="37">
        <v>6.5</v>
      </c>
      <c r="R4" s="37">
        <v>6744</v>
      </c>
    </row>
    <row r="5" spans="1:22" x14ac:dyDescent="0.3">
      <c r="A5" t="s">
        <v>148</v>
      </c>
      <c r="B5" s="37">
        <v>8034</v>
      </c>
      <c r="C5" s="37">
        <v>16</v>
      </c>
      <c r="D5" s="37" t="s">
        <v>81</v>
      </c>
      <c r="E5" s="37">
        <v>7642</v>
      </c>
      <c r="F5" s="37">
        <v>6.375</v>
      </c>
      <c r="G5" s="37" t="s">
        <v>129</v>
      </c>
      <c r="H5" s="37" t="s">
        <v>113</v>
      </c>
      <c r="I5" s="37" t="s">
        <v>131</v>
      </c>
      <c r="J5" s="37" t="s">
        <v>133</v>
      </c>
      <c r="L5" s="37" t="s">
        <v>54</v>
      </c>
      <c r="M5" s="37" t="s">
        <v>45</v>
      </c>
      <c r="N5" s="37">
        <v>7648</v>
      </c>
      <c r="O5" s="37" t="s">
        <v>138</v>
      </c>
      <c r="Q5" s="37">
        <v>6.25</v>
      </c>
      <c r="R5" s="37">
        <v>7640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Button 1">
              <controlPr defaultSize="0" print="0" autoFill="0" autoPict="0" macro="[0]!pickup">
                <anchor moveWithCells="1" sizeWithCells="1">
                  <from>
                    <xdr:col>22</xdr:col>
                    <xdr:colOff>30480</xdr:colOff>
                    <xdr:row>0</xdr:row>
                    <xdr:rowOff>53340</xdr:rowOff>
                  </from>
                  <to>
                    <xdr:col>25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00C4-525A-4B6F-B684-05266ED0D55D}">
  <sheetPr codeName="Sheet51"/>
  <dimension ref="A1:L34"/>
  <sheetViews>
    <sheetView topLeftCell="A16" workbookViewId="0">
      <selection activeCell="I40" sqref="I40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52" t="s">
        <v>62</v>
      </c>
      <c r="D2" s="52"/>
      <c r="E2" s="52" t="s">
        <v>70</v>
      </c>
      <c r="F2" s="52"/>
      <c r="G2" s="1" t="s">
        <v>71</v>
      </c>
      <c r="K2" s="4" t="s">
        <v>9</v>
      </c>
      <c r="L2" s="4">
        <v>19.3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56">
        <v>3727638738</v>
      </c>
      <c r="C4" s="56"/>
      <c r="D4" s="56"/>
      <c r="E4" s="52" t="s">
        <v>58</v>
      </c>
      <c r="F4" s="52"/>
      <c r="G4" s="1" t="s">
        <v>44</v>
      </c>
      <c r="K4" s="4" t="s">
        <v>12</v>
      </c>
      <c r="L4" s="4">
        <v>61.4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48.3</v>
      </c>
    </row>
    <row r="6" spans="1:12" x14ac:dyDescent="0.3">
      <c r="A6" s="3" t="s">
        <v>72</v>
      </c>
      <c r="B6" s="48" t="s">
        <v>18</v>
      </c>
      <c r="C6" s="48"/>
      <c r="D6" s="48"/>
      <c r="E6" s="4">
        <v>8060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63.7</v>
      </c>
    </row>
    <row r="7" spans="1:12" x14ac:dyDescent="0.3">
      <c r="A7" s="2" t="s">
        <v>73</v>
      </c>
      <c r="B7" s="52" t="s">
        <v>21</v>
      </c>
      <c r="C7" s="52"/>
      <c r="D7" s="52"/>
      <c r="E7" s="1">
        <v>20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70.2</v>
      </c>
    </row>
    <row r="8" spans="1:12" x14ac:dyDescent="0.3">
      <c r="A8" s="3" t="s">
        <v>80</v>
      </c>
      <c r="B8" s="48" t="s">
        <v>19</v>
      </c>
      <c r="C8" s="48"/>
      <c r="D8" s="48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276.89999999999998</v>
      </c>
    </row>
    <row r="9" spans="1:12" x14ac:dyDescent="0.3">
      <c r="A9" s="2" t="s">
        <v>74</v>
      </c>
      <c r="B9" s="52" t="s">
        <v>20</v>
      </c>
      <c r="C9" s="52"/>
      <c r="D9" s="52"/>
      <c r="E9" s="1">
        <v>7658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124.3</v>
      </c>
    </row>
    <row r="10" spans="1:12" x14ac:dyDescent="0.3">
      <c r="A10" s="3" t="s">
        <v>60</v>
      </c>
      <c r="B10" s="48" t="s">
        <v>24</v>
      </c>
      <c r="C10" s="48"/>
      <c r="D10" s="48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9.9</v>
      </c>
    </row>
    <row r="11" spans="1:12" x14ac:dyDescent="0.3">
      <c r="A11" s="2" t="s">
        <v>57</v>
      </c>
      <c r="B11" s="52" t="s">
        <v>23</v>
      </c>
      <c r="C11" s="52"/>
      <c r="D11" s="52"/>
      <c r="E11" s="1" t="s">
        <v>56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69</v>
      </c>
      <c r="B12" s="48" t="s">
        <v>25</v>
      </c>
      <c r="C12" s="48"/>
      <c r="D12" s="48"/>
      <c r="E12" s="4" t="s">
        <v>68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8" t="s">
        <v>27</v>
      </c>
      <c r="C14" s="48"/>
      <c r="D14" s="48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2" t="s">
        <v>22</v>
      </c>
      <c r="C17" s="52"/>
      <c r="D17" s="52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79</v>
      </c>
      <c r="B18" s="48" t="s">
        <v>29</v>
      </c>
      <c r="C18" s="48"/>
      <c r="D18" s="48"/>
      <c r="E18" s="4">
        <v>6432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2" t="s">
        <v>30</v>
      </c>
      <c r="C19" s="52"/>
      <c r="D19" s="52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77</v>
      </c>
      <c r="B21" s="52" t="s">
        <v>33</v>
      </c>
      <c r="C21" s="52"/>
      <c r="D21" s="52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48" t="s">
        <v>31</v>
      </c>
      <c r="C22" s="48"/>
      <c r="D22" s="48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83</v>
      </c>
      <c r="B23" s="52" t="s">
        <v>50</v>
      </c>
      <c r="C23" s="52"/>
      <c r="D23" s="52"/>
      <c r="E23" s="1">
        <v>6426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85</v>
      </c>
      <c r="B24" s="48" t="s">
        <v>32</v>
      </c>
      <c r="C24" s="48"/>
      <c r="D24" s="48"/>
      <c r="E24" s="4" t="s">
        <v>84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61"/>
    </row>
    <row r="28" spans="1:10" x14ac:dyDescent="0.3">
      <c r="G28" s="62"/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67" priority="1" operator="equal">
      <formula>"Returned"</formula>
    </cfRule>
    <cfRule type="cellIs" dxfId="166" priority="4" operator="equal">
      <formula>"Ready To Order"</formula>
    </cfRule>
    <cfRule type="containsText" dxfId="165" priority="5" operator="containsText" text="UNP">
      <formula>NOT(ISERROR(SEARCH("UNP",G6)))</formula>
    </cfRule>
    <cfRule type="containsText" dxfId="164" priority="6" operator="containsText" text="Ordered">
      <formula>NOT(ISERROR(SEARCH("Ordered",G6)))</formula>
    </cfRule>
    <cfRule type="containsText" dxfId="163" priority="7" operator="containsText" text="Pick Up">
      <formula>NOT(ISERROR(SEARCH("Pick Up",G6)))</formula>
    </cfRule>
    <cfRule type="containsText" dxfId="162" priority="8" operator="containsText" text="Complete">
      <formula>NOT(ISERROR(SEARCH("Complete",G6)))</formula>
    </cfRule>
  </conditionalFormatting>
  <conditionalFormatting sqref="G30:G33">
    <cfRule type="containsText" dxfId="161" priority="3" operator="containsText" text="Given">
      <formula>NOT(ISERROR(SEARCH("Given",G30)))</formula>
    </cfRule>
  </conditionalFormatting>
  <conditionalFormatting sqref="G30:G34">
    <cfRule type="containsText" dxfId="160" priority="2" operator="containsText" text="Returned">
      <formula>NOT(ISERROR(SEARCH("Returned",G30)))</formula>
    </cfRule>
  </conditionalFormatting>
  <dataValidations disablePrompts="1" count="3">
    <dataValidation type="list" allowBlank="1" showInputMessage="1" showErrorMessage="1" sqref="G30:G34" xr:uid="{4B6FA9E9-34ED-4E45-9C0B-1D950C934FDF}">
      <formula1>"--,Returned, Given"</formula1>
    </dataValidation>
    <dataValidation type="list" allowBlank="1" showInputMessage="1" showErrorMessage="1" sqref="G6:G26" xr:uid="{4C57E8C5-5091-4E9B-BBDB-64168138A210}">
      <formula1>"UNP, Ready To Order, Ordered, Pick Up, Complete, Returned"</formula1>
    </dataValidation>
    <dataValidation type="decimal" allowBlank="1" showInputMessage="1" showErrorMessage="1" sqref="L2" xr:uid="{76E50FD3-5B9F-4F7F-8EC6-1FE1028305C3}">
      <formula1>19</formula1>
      <formula2>26</formula2>
    </dataValidation>
  </dataValidations>
  <hyperlinks>
    <hyperlink ref="A1:A2" location="Menu!A1" display="Back to Menu" xr:uid="{B65373D3-2D5B-4903-816D-C82730D8872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A0EA-2E72-487D-A83C-A8ABDB46773C}">
  <sheetPr codeName="Sheet7"/>
  <dimension ref="A1:L34"/>
  <sheetViews>
    <sheetView workbookViewId="0">
      <selection sqref="A1:A2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52" t="s">
        <v>87</v>
      </c>
      <c r="D2" s="52"/>
      <c r="E2" s="52" t="s">
        <v>88</v>
      </c>
      <c r="F2" s="52"/>
      <c r="G2" s="1" t="s">
        <v>89</v>
      </c>
      <c r="K2" s="4" t="s">
        <v>9</v>
      </c>
      <c r="L2" s="4">
        <v>23.8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56">
        <v>5796352250</v>
      </c>
      <c r="C4" s="56"/>
      <c r="D4" s="56"/>
      <c r="E4" s="52" t="s">
        <v>58</v>
      </c>
      <c r="F4" s="52"/>
      <c r="G4" s="1" t="s">
        <v>90</v>
      </c>
      <c r="K4" s="4" t="s">
        <v>12</v>
      </c>
      <c r="L4" s="4">
        <v>33.799999999999997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61.1</v>
      </c>
    </row>
    <row r="6" spans="1:12" x14ac:dyDescent="0.3">
      <c r="A6" s="3" t="s">
        <v>91</v>
      </c>
      <c r="B6" s="48" t="s">
        <v>18</v>
      </c>
      <c r="C6" s="48"/>
      <c r="D6" s="48"/>
      <c r="E6" s="4">
        <v>6134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43.4</v>
      </c>
    </row>
    <row r="7" spans="1:12" x14ac:dyDescent="0.3">
      <c r="A7" s="2" t="s">
        <v>93</v>
      </c>
      <c r="B7" s="52" t="s">
        <v>21</v>
      </c>
      <c r="C7" s="52"/>
      <c r="D7" s="52"/>
      <c r="E7" s="1" t="s">
        <v>92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57.8</v>
      </c>
    </row>
    <row r="8" spans="1:12" x14ac:dyDescent="0.3">
      <c r="A8" s="3" t="s">
        <v>82</v>
      </c>
      <c r="B8" s="48" t="s">
        <v>19</v>
      </c>
      <c r="C8" s="48"/>
      <c r="D8" s="48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302.8</v>
      </c>
    </row>
    <row r="9" spans="1:12" x14ac:dyDescent="0.3">
      <c r="A9" s="2"/>
      <c r="B9" s="52" t="s">
        <v>20</v>
      </c>
      <c r="C9" s="52"/>
      <c r="D9" s="52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125.7</v>
      </c>
    </row>
    <row r="10" spans="1:12" x14ac:dyDescent="0.3">
      <c r="A10" s="3" t="s">
        <v>94</v>
      </c>
      <c r="B10" s="48" t="s">
        <v>24</v>
      </c>
      <c r="C10" s="48"/>
      <c r="D10" s="48"/>
      <c r="E10" s="8">
        <v>7.625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8" t="s">
        <v>27</v>
      </c>
      <c r="C14" s="48"/>
      <c r="D14" s="48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98</v>
      </c>
      <c r="B18" s="48" t="s">
        <v>29</v>
      </c>
      <c r="C18" s="48"/>
      <c r="D18" s="48"/>
      <c r="E18" s="4">
        <v>6444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101</v>
      </c>
      <c r="B21" s="52" t="s">
        <v>33</v>
      </c>
      <c r="C21" s="52"/>
      <c r="D21" s="52"/>
      <c r="E21" s="9">
        <v>7.625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102</v>
      </c>
      <c r="B22" s="48" t="s">
        <v>31</v>
      </c>
      <c r="C22" s="48"/>
      <c r="D22" s="48"/>
      <c r="E22" s="4">
        <v>6436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61"/>
    </row>
    <row r="28" spans="1:10" x14ac:dyDescent="0.3">
      <c r="G28" s="62"/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9" priority="1" operator="equal">
      <formula>"Returned"</formula>
    </cfRule>
    <cfRule type="cellIs" dxfId="158" priority="4" operator="equal">
      <formula>"Ready To Order"</formula>
    </cfRule>
    <cfRule type="containsText" dxfId="157" priority="5" operator="containsText" text="UNP">
      <formula>NOT(ISERROR(SEARCH("UNP",G6)))</formula>
    </cfRule>
    <cfRule type="containsText" dxfId="156" priority="6" operator="containsText" text="Ordered">
      <formula>NOT(ISERROR(SEARCH("Ordered",G6)))</formula>
    </cfRule>
    <cfRule type="containsText" dxfId="155" priority="7" operator="containsText" text="Pick Up">
      <formula>NOT(ISERROR(SEARCH("Pick Up",G6)))</formula>
    </cfRule>
    <cfRule type="containsText" dxfId="154" priority="8" operator="containsText" text="Complete">
      <formula>NOT(ISERROR(SEARCH("Complete",G6)))</formula>
    </cfRule>
  </conditionalFormatting>
  <conditionalFormatting sqref="G30:G33">
    <cfRule type="containsText" dxfId="153" priority="3" operator="containsText" text="Given">
      <formula>NOT(ISERROR(SEARCH("Given",G30)))</formula>
    </cfRule>
  </conditionalFormatting>
  <conditionalFormatting sqref="G30:G34">
    <cfRule type="containsText" dxfId="15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3EDF432-BE4A-49EE-8A99-E22616EBDB7F}">
      <formula1>"--,Returned, Given"</formula1>
    </dataValidation>
    <dataValidation type="list" allowBlank="1" showInputMessage="1" showErrorMessage="1" sqref="G6:G26" xr:uid="{BD1BF856-5278-44E0-A095-3D8ED868B696}">
      <formula1>"UNP, Ready To Order, Ordered, Pick Up, Complete, Returned"</formula1>
    </dataValidation>
    <dataValidation type="decimal" allowBlank="1" showInputMessage="1" showErrorMessage="1" sqref="L2" xr:uid="{A2B60D61-33BC-4F5D-976C-3DEE74569D93}">
      <formula1>19</formula1>
      <formula2>26</formula2>
    </dataValidation>
  </dataValidations>
  <hyperlinks>
    <hyperlink ref="A1:A2" location="Menu!A1" display="Back to Menu" xr:uid="{D8B693AC-CC18-4D6F-AEE3-D286E82819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BD80-4625-467D-A047-C66780E85D27}">
  <sheetPr codeName="Sheet8"/>
  <dimension ref="A1:L34"/>
  <sheetViews>
    <sheetView topLeftCell="A13" workbookViewId="0">
      <selection activeCell="G27" sqref="G27:G28"/>
    </sheetView>
  </sheetViews>
  <sheetFormatPr defaultRowHeight="14.4" x14ac:dyDescent="0.3"/>
  <cols>
    <col min="1" max="1" width="18.66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52" t="s">
        <v>87</v>
      </c>
      <c r="D2" s="52"/>
      <c r="E2" s="52" t="s">
        <v>103</v>
      </c>
      <c r="F2" s="52"/>
      <c r="G2" s="1" t="s">
        <v>104</v>
      </c>
      <c r="K2" s="4" t="s">
        <v>9</v>
      </c>
      <c r="L2" s="4">
        <v>20.2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12.8</v>
      </c>
    </row>
    <row r="4" spans="1:12" x14ac:dyDescent="0.3">
      <c r="A4" s="1" t="s">
        <v>39</v>
      </c>
      <c r="B4" s="56">
        <v>4465777595</v>
      </c>
      <c r="C4" s="56"/>
      <c r="D4" s="56"/>
      <c r="E4" s="52" t="s">
        <v>58</v>
      </c>
      <c r="F4" s="52"/>
      <c r="G4" s="1" t="s">
        <v>90</v>
      </c>
      <c r="K4" s="4" t="s">
        <v>12</v>
      </c>
      <c r="L4" s="4">
        <v>40.700000000000003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34</v>
      </c>
    </row>
    <row r="6" spans="1:12" x14ac:dyDescent="0.3">
      <c r="A6" s="3" t="s">
        <v>105</v>
      </c>
      <c r="B6" s="48" t="s">
        <v>18</v>
      </c>
      <c r="C6" s="48"/>
      <c r="D6" s="48"/>
      <c r="E6" s="4">
        <v>6442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46.7</v>
      </c>
    </row>
    <row r="7" spans="1:12" x14ac:dyDescent="0.3">
      <c r="A7" s="2" t="s">
        <v>107</v>
      </c>
      <c r="B7" s="52" t="s">
        <v>21</v>
      </c>
      <c r="C7" s="52"/>
      <c r="D7" s="52"/>
      <c r="E7" s="1" t="s">
        <v>106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63.6</v>
      </c>
    </row>
    <row r="8" spans="1:12" x14ac:dyDescent="0.3">
      <c r="A8" s="3" t="s">
        <v>109</v>
      </c>
      <c r="B8" s="48" t="s">
        <v>19</v>
      </c>
      <c r="C8" s="48"/>
      <c r="D8" s="48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284.7</v>
      </c>
    </row>
    <row r="9" spans="1:12" x14ac:dyDescent="0.3">
      <c r="A9" s="2" t="s">
        <v>111</v>
      </c>
      <c r="B9" s="52" t="s">
        <v>20</v>
      </c>
      <c r="C9" s="52"/>
      <c r="D9" s="52"/>
      <c r="E9" s="1" t="s">
        <v>110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112.1</v>
      </c>
    </row>
    <row r="10" spans="1:12" x14ac:dyDescent="0.3">
      <c r="A10" s="3" t="s">
        <v>112</v>
      </c>
      <c r="B10" s="48" t="s">
        <v>24</v>
      </c>
      <c r="C10" s="48"/>
      <c r="D10" s="48"/>
      <c r="E10" s="8">
        <v>6.5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116</v>
      </c>
      <c r="B14" s="48" t="s">
        <v>27</v>
      </c>
      <c r="C14" s="48"/>
      <c r="D14" s="48"/>
      <c r="E14" s="4" t="s">
        <v>115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2" t="s">
        <v>22</v>
      </c>
      <c r="C17" s="52"/>
      <c r="D17" s="52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48" t="s">
        <v>29</v>
      </c>
      <c r="C18" s="48"/>
      <c r="D18" s="48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2" t="s">
        <v>30</v>
      </c>
      <c r="C19" s="52"/>
      <c r="D19" s="52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118</v>
      </c>
      <c r="B21" s="52" t="s">
        <v>33</v>
      </c>
      <c r="C21" s="52"/>
      <c r="D21" s="52"/>
      <c r="E21" s="9">
        <v>6.5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48" t="s">
        <v>31</v>
      </c>
      <c r="C22" s="48"/>
      <c r="D22" s="48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2" t="s">
        <v>50</v>
      </c>
      <c r="C23" s="52"/>
      <c r="D23" s="52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122</v>
      </c>
      <c r="B24" s="48" t="s">
        <v>32</v>
      </c>
      <c r="C24" s="48"/>
      <c r="D24" s="48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Robinson</v>
      </c>
      <c r="F26" s="4">
        <v>1</v>
      </c>
      <c r="G26" s="4" t="s">
        <v>47</v>
      </c>
      <c r="H26" s="24" t="str">
        <f>HYPERLINK("#G26",CHAR(128))</f>
        <v>€</v>
      </c>
    </row>
    <row r="27" spans="1:10" x14ac:dyDescent="0.3">
      <c r="G27" s="61"/>
    </row>
    <row r="28" spans="1:10" x14ac:dyDescent="0.3">
      <c r="G28" s="62"/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51" priority="1" operator="equal">
      <formula>"Returned"</formula>
    </cfRule>
    <cfRule type="cellIs" dxfId="150" priority="4" operator="equal">
      <formula>"Ready To Order"</formula>
    </cfRule>
    <cfRule type="containsText" dxfId="149" priority="5" operator="containsText" text="UNP">
      <formula>NOT(ISERROR(SEARCH("UNP",G6)))</formula>
    </cfRule>
    <cfRule type="containsText" dxfId="148" priority="6" operator="containsText" text="Ordered">
      <formula>NOT(ISERROR(SEARCH("Ordered",G6)))</formula>
    </cfRule>
    <cfRule type="containsText" dxfId="147" priority="7" operator="containsText" text="Pick Up">
      <formula>NOT(ISERROR(SEARCH("Pick Up",G6)))</formula>
    </cfRule>
    <cfRule type="containsText" dxfId="146" priority="8" operator="containsText" text="Complete">
      <formula>NOT(ISERROR(SEARCH("Complete",G6)))</formula>
    </cfRule>
  </conditionalFormatting>
  <conditionalFormatting sqref="G30:G33">
    <cfRule type="containsText" dxfId="145" priority="3" operator="containsText" text="Given">
      <formula>NOT(ISERROR(SEARCH("Given",G30)))</formula>
    </cfRule>
  </conditionalFormatting>
  <conditionalFormatting sqref="G30:G34">
    <cfRule type="containsText" dxfId="14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0BDE421-38B2-48E9-A268-D7C61310AC96}">
      <formula1>"--,Returned, Given"</formula1>
    </dataValidation>
    <dataValidation type="list" allowBlank="1" showInputMessage="1" showErrorMessage="1" sqref="G6:G26" xr:uid="{CFC03184-2B84-4CAD-AC05-BE6E307972BF}">
      <formula1>"UNP, Ready To Order, Ordered, Pick Up, Complete, Returned"</formula1>
    </dataValidation>
    <dataValidation type="decimal" allowBlank="1" showInputMessage="1" showErrorMessage="1" sqref="L2" xr:uid="{120371CA-B393-402B-9903-6E7368DE13F9}">
      <formula1>19</formula1>
      <formula2>26</formula2>
    </dataValidation>
  </dataValidations>
  <hyperlinks>
    <hyperlink ref="A1:A2" location="Menu!A1" display="Back to Menu" xr:uid="{CC5FD93A-1C93-476C-91F2-E7D568D2CC4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1" r:id="rId7" name="Button 7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F37C-3907-4FE6-B3F4-88B147A8A806}">
  <sheetPr codeName="Sheet11"/>
  <dimension ref="A1:L34"/>
  <sheetViews>
    <sheetView topLeftCell="AJ1" workbookViewId="0">
      <selection activeCell="A42" sqref="A42"/>
    </sheetView>
  </sheetViews>
  <sheetFormatPr defaultRowHeight="14.4" x14ac:dyDescent="0.3"/>
  <cols>
    <col min="1" max="1" width="18.6640625" customWidth="1"/>
    <col min="2" max="3" width="10.441406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52" t="s">
        <v>123</v>
      </c>
      <c r="D2" s="52"/>
      <c r="E2" s="52" t="s">
        <v>124</v>
      </c>
      <c r="F2" s="52"/>
      <c r="G2" s="1" t="s">
        <v>125</v>
      </c>
      <c r="K2" s="4" t="s">
        <v>9</v>
      </c>
      <c r="L2" s="4">
        <v>19.5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56">
        <v>7345806215</v>
      </c>
      <c r="C4" s="56"/>
      <c r="D4" s="56"/>
      <c r="E4" s="52" t="s">
        <v>58</v>
      </c>
      <c r="F4" s="52"/>
      <c r="G4" s="1" t="s">
        <v>44</v>
      </c>
      <c r="K4" s="4" t="s">
        <v>12</v>
      </c>
      <c r="L4" s="4">
        <v>33.299999999999997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30.6</v>
      </c>
    </row>
    <row r="6" spans="1:12" x14ac:dyDescent="0.3">
      <c r="A6" s="3" t="s">
        <v>126</v>
      </c>
      <c r="B6" s="48" t="s">
        <v>18</v>
      </c>
      <c r="C6" s="48"/>
      <c r="D6" s="48"/>
      <c r="E6" s="4">
        <v>8034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46.9</v>
      </c>
    </row>
    <row r="7" spans="1:12" x14ac:dyDescent="0.3">
      <c r="A7" s="2" t="s">
        <v>127</v>
      </c>
      <c r="B7" s="52" t="s">
        <v>21</v>
      </c>
      <c r="C7" s="52"/>
      <c r="D7" s="52"/>
      <c r="E7" s="1">
        <v>16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74.5</v>
      </c>
    </row>
    <row r="8" spans="1:12" x14ac:dyDescent="0.3">
      <c r="A8" s="3" t="s">
        <v>82</v>
      </c>
      <c r="B8" s="48" t="s">
        <v>19</v>
      </c>
      <c r="C8" s="48"/>
      <c r="D8" s="48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261.3</v>
      </c>
    </row>
    <row r="9" spans="1:12" x14ac:dyDescent="0.3">
      <c r="A9" s="2" t="s">
        <v>128</v>
      </c>
      <c r="B9" s="52" t="s">
        <v>20</v>
      </c>
      <c r="C9" s="52"/>
      <c r="D9" s="52"/>
      <c r="E9" s="1">
        <v>7642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128.6</v>
      </c>
    </row>
    <row r="10" spans="1:12" x14ac:dyDescent="0.3">
      <c r="A10" s="3" t="s">
        <v>60</v>
      </c>
      <c r="B10" s="48" t="s">
        <v>24</v>
      </c>
      <c r="C10" s="48"/>
      <c r="D10" s="48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</v>
      </c>
    </row>
    <row r="11" spans="1:12" x14ac:dyDescent="0.3">
      <c r="A11" s="2" t="s">
        <v>130</v>
      </c>
      <c r="B11" s="52" t="s">
        <v>23</v>
      </c>
      <c r="C11" s="52"/>
      <c r="D11" s="52"/>
      <c r="E11" s="1" t="s">
        <v>129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52" t="s">
        <v>26</v>
      </c>
      <c r="C13" s="52"/>
      <c r="D13" s="52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8" t="s">
        <v>27</v>
      </c>
      <c r="C14" s="48"/>
      <c r="D14" s="48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2" t="s">
        <v>22</v>
      </c>
      <c r="C17" s="52"/>
      <c r="D17" s="52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117</v>
      </c>
      <c r="B18" s="48" t="s">
        <v>29</v>
      </c>
      <c r="C18" s="48"/>
      <c r="D18" s="48"/>
      <c r="E18" s="4">
        <v>7648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139</v>
      </c>
      <c r="B19" s="52" t="s">
        <v>30</v>
      </c>
      <c r="C19" s="52"/>
      <c r="D19" s="52"/>
      <c r="E19" s="1" t="s">
        <v>138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135</v>
      </c>
      <c r="B21" s="52" t="s">
        <v>33</v>
      </c>
      <c r="C21" s="52"/>
      <c r="D21" s="52"/>
      <c r="E21" s="9">
        <v>6.25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136</v>
      </c>
      <c r="B22" s="48" t="s">
        <v>31</v>
      </c>
      <c r="C22" s="48"/>
      <c r="D22" s="48"/>
      <c r="E22" s="4">
        <v>7640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137</v>
      </c>
      <c r="B23" s="52" t="s">
        <v>50</v>
      </c>
      <c r="C23" s="52"/>
      <c r="D23" s="52"/>
      <c r="E23" s="1">
        <v>7634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141</v>
      </c>
      <c r="B24" s="48" t="s">
        <v>32</v>
      </c>
      <c r="C24" s="48"/>
      <c r="D24" s="48"/>
      <c r="E24" s="4" t="s">
        <v>140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White</v>
      </c>
      <c r="F26" s="4">
        <v>1</v>
      </c>
      <c r="G26" s="36" t="s">
        <v>47</v>
      </c>
      <c r="H26" s="24" t="str">
        <f>HYPERLINK("#G26",CHAR(128))</f>
        <v>€</v>
      </c>
    </row>
    <row r="27" spans="1:10" x14ac:dyDescent="0.3">
      <c r="G27" s="63"/>
    </row>
    <row r="28" spans="1:10" x14ac:dyDescent="0.3">
      <c r="G28" s="64"/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</sheetData>
  <mergeCells count="38">
    <mergeCell ref="G27:G28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43" priority="1" operator="equal">
      <formula>"Returned"</formula>
    </cfRule>
    <cfRule type="cellIs" dxfId="142" priority="4" operator="equal">
      <formula>"Ready To Order"</formula>
    </cfRule>
    <cfRule type="containsText" dxfId="141" priority="5" operator="containsText" text="UNP">
      <formula>NOT(ISERROR(SEARCH("UNP",G6)))</formula>
    </cfRule>
    <cfRule type="containsText" dxfId="140" priority="6" operator="containsText" text="Ordered">
      <formula>NOT(ISERROR(SEARCH("Ordered",G6)))</formula>
    </cfRule>
    <cfRule type="containsText" dxfId="139" priority="7" operator="containsText" text="Pick Up">
      <formula>NOT(ISERROR(SEARCH("Pick Up",G6)))</formula>
    </cfRule>
    <cfRule type="containsText" dxfId="138" priority="8" operator="containsText" text="Complete">
      <formula>NOT(ISERROR(SEARCH("Complete",G6)))</formula>
    </cfRule>
  </conditionalFormatting>
  <conditionalFormatting sqref="G30:G33">
    <cfRule type="containsText" dxfId="137" priority="3" operator="containsText" text="Given">
      <formula>NOT(ISERROR(SEARCH("Given",G30)))</formula>
    </cfRule>
  </conditionalFormatting>
  <conditionalFormatting sqref="G30:G34">
    <cfRule type="containsText" dxfId="13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092A4A-4B1C-4356-80E4-FC82E8AA8610}">
      <formula1>"--,Returned, Given"</formula1>
    </dataValidation>
    <dataValidation type="list" allowBlank="1" showInputMessage="1" showErrorMessage="1" sqref="G6:G26" xr:uid="{5DC5B6F9-2A0E-4824-A566-9833968A0491}">
      <formula1>"UNP, Ready To Order, Ordered, Pick Up, Complete, Returned"</formula1>
    </dataValidation>
    <dataValidation type="decimal" allowBlank="1" showInputMessage="1" showErrorMessage="1" sqref="L2" xr:uid="{F1FE6A9B-9354-4E3A-8220-E3A065BA172E}">
      <formula1>19</formula1>
      <formula2>26</formula2>
    </dataValidation>
  </dataValidations>
  <hyperlinks>
    <hyperlink ref="A1:A2" location="Menu!A1" display="Back to Menu" xr:uid="{EDED0F91-88DE-40B9-956B-10BAE79DE96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31</xdr:row>
                    <xdr:rowOff>152400</xdr:rowOff>
                  </from>
                  <to>
                    <xdr:col>12</xdr:col>
                    <xdr:colOff>7620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Button 3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205740</xdr:rowOff>
                  </from>
                  <to>
                    <xdr:col>12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Button 5">
              <controlPr defaultSize="0" print="0" autoFill="0" autoPict="0" macro="[0]!MarkAsSOS">
                <anchor moveWithCells="1" sizeWithCells="1">
                  <from>
                    <xdr:col>10</xdr:col>
                    <xdr:colOff>7620</xdr:colOff>
                    <xdr:row>28</xdr:row>
                    <xdr:rowOff>175260</xdr:rowOff>
                  </from>
                  <to>
                    <xdr:col>12</xdr:col>
                    <xdr:colOff>7620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1E2-6234-4F9F-A5E5-F2BD498DC4C2}">
  <sheetPr codeName="Sheet6"/>
  <dimension ref="A1:L38"/>
  <sheetViews>
    <sheetView workbookViewId="0">
      <selection activeCell="E10" sqref="E10"/>
    </sheetView>
  </sheetViews>
  <sheetFormatPr defaultRowHeight="14.4" x14ac:dyDescent="0.3"/>
  <cols>
    <col min="1" max="1" width="18.6640625" customWidth="1"/>
    <col min="3" max="3" width="9.5546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43</v>
      </c>
      <c r="C2" s="52" t="s">
        <v>62</v>
      </c>
      <c r="D2" s="52"/>
      <c r="E2" s="52" t="s">
        <v>151</v>
      </c>
      <c r="F2" s="52"/>
      <c r="G2" s="1" t="s">
        <v>152</v>
      </c>
      <c r="K2" s="4" t="s">
        <v>9</v>
      </c>
      <c r="L2" s="4">
        <v>24.1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18.100000000000001</v>
      </c>
    </row>
    <row r="4" spans="1:12" x14ac:dyDescent="0.3">
      <c r="A4" s="1" t="s">
        <v>39</v>
      </c>
      <c r="B4" s="56">
        <v>7345806215</v>
      </c>
      <c r="C4" s="56"/>
      <c r="D4" s="56"/>
      <c r="E4" s="52" t="s">
        <v>58</v>
      </c>
      <c r="F4" s="52"/>
      <c r="G4" s="1" t="s">
        <v>90</v>
      </c>
      <c r="K4" s="4" t="s">
        <v>12</v>
      </c>
      <c r="L4" s="4">
        <v>49.2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45.5</v>
      </c>
    </row>
    <row r="6" spans="1:12" x14ac:dyDescent="0.3">
      <c r="A6" s="3" t="s">
        <v>153</v>
      </c>
      <c r="B6" s="48" t="s">
        <v>18</v>
      </c>
      <c r="C6" s="48"/>
      <c r="D6" s="48"/>
      <c r="E6" s="4">
        <v>7050</v>
      </c>
      <c r="F6" s="4">
        <v>1</v>
      </c>
      <c r="G6" s="25" t="s">
        <v>172</v>
      </c>
      <c r="H6" s="28" t="str">
        <f>HYPERLINK("#G6",CHAR(128))</f>
        <v>€</v>
      </c>
      <c r="K6" s="4" t="s">
        <v>14</v>
      </c>
      <c r="L6" s="4">
        <v>49.2</v>
      </c>
    </row>
    <row r="7" spans="1:12" x14ac:dyDescent="0.3">
      <c r="A7" s="2" t="s">
        <v>155</v>
      </c>
      <c r="B7" s="52" t="s">
        <v>21</v>
      </c>
      <c r="C7" s="52"/>
      <c r="D7" s="52"/>
      <c r="E7" s="1" t="s">
        <v>154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55</v>
      </c>
    </row>
    <row r="8" spans="1:12" x14ac:dyDescent="0.3">
      <c r="A8" s="3" t="s">
        <v>157</v>
      </c>
      <c r="B8" s="48" t="s">
        <v>19</v>
      </c>
      <c r="C8" s="48"/>
      <c r="D8" s="48"/>
      <c r="E8" s="4" t="s">
        <v>156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218.7</v>
      </c>
    </row>
    <row r="9" spans="1:12" x14ac:dyDescent="0.3">
      <c r="A9" s="2" t="s">
        <v>159</v>
      </c>
      <c r="B9" s="52" t="s">
        <v>20</v>
      </c>
      <c r="C9" s="52"/>
      <c r="D9" s="52"/>
      <c r="E9" s="1" t="s">
        <v>158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102.1</v>
      </c>
    </row>
    <row r="10" spans="1:12" x14ac:dyDescent="0.3">
      <c r="A10" s="3" t="s">
        <v>160</v>
      </c>
      <c r="B10" s="48" t="s">
        <v>24</v>
      </c>
      <c r="C10" s="48"/>
      <c r="D10" s="48"/>
      <c r="E10" s="8">
        <v>7.75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7.9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161</v>
      </c>
      <c r="B12" s="48" t="s">
        <v>25</v>
      </c>
      <c r="C12" s="48"/>
      <c r="D12" s="48"/>
      <c r="E12" s="4" t="s">
        <v>149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2" t="s">
        <v>26</v>
      </c>
      <c r="C13" s="52"/>
      <c r="D13" s="52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165</v>
      </c>
      <c r="B14" s="48" t="s">
        <v>27</v>
      </c>
      <c r="C14" s="48"/>
      <c r="D14" s="48"/>
      <c r="E14" s="4" t="s">
        <v>164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166</v>
      </c>
      <c r="B18" s="48" t="s">
        <v>29</v>
      </c>
      <c r="C18" s="48"/>
      <c r="D18" s="48"/>
      <c r="E18" s="4">
        <v>7652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167</v>
      </c>
      <c r="B21" s="52" t="s">
        <v>33</v>
      </c>
      <c r="C21" s="52"/>
      <c r="D21" s="52"/>
      <c r="E21" s="9">
        <v>7.75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168</v>
      </c>
      <c r="B22" s="48" t="s">
        <v>31</v>
      </c>
      <c r="C22" s="48"/>
      <c r="D22" s="48"/>
      <c r="E22" s="4">
        <v>7052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169</v>
      </c>
      <c r="B23" s="52" t="s">
        <v>50</v>
      </c>
      <c r="C23" s="52"/>
      <c r="D23" s="52"/>
      <c r="E23" s="1">
        <v>7046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171</v>
      </c>
      <c r="B24" s="48" t="s">
        <v>32</v>
      </c>
      <c r="C24" s="48"/>
      <c r="D24" s="48"/>
      <c r="E24" s="4" t="s">
        <v>170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Smith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135" priority="1" operator="equal">
      <formula>"Returned"</formula>
    </cfRule>
    <cfRule type="cellIs" dxfId="134" priority="4" operator="equal">
      <formula>"Ready To Order"</formula>
    </cfRule>
    <cfRule type="containsText" dxfId="133" priority="5" operator="containsText" text="UNP">
      <formula>NOT(ISERROR(SEARCH("UNP",G6)))</formula>
    </cfRule>
    <cfRule type="containsText" dxfId="132" priority="6" operator="containsText" text="Ordered">
      <formula>NOT(ISERROR(SEARCH("Ordered",G6)))</formula>
    </cfRule>
    <cfRule type="containsText" dxfId="131" priority="7" operator="containsText" text="Pick Up">
      <formula>NOT(ISERROR(SEARCH("Pick Up",G6)))</formula>
    </cfRule>
    <cfRule type="containsText" dxfId="130" priority="8" operator="containsText" text="Complete">
      <formula>NOT(ISERROR(SEARCH("Complete",G6)))</formula>
    </cfRule>
  </conditionalFormatting>
  <conditionalFormatting sqref="G30:G33">
    <cfRule type="containsText" dxfId="129" priority="3" operator="containsText" text="Given">
      <formula>NOT(ISERROR(SEARCH("Given",G30)))</formula>
    </cfRule>
  </conditionalFormatting>
  <conditionalFormatting sqref="G30:G34">
    <cfRule type="containsText" dxfId="12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2DB751E-4097-4D97-9305-0BD921933D5E}">
      <formula1>"--,Returned, Given"</formula1>
    </dataValidation>
    <dataValidation type="list" allowBlank="1" showInputMessage="1" showErrorMessage="1" sqref="G6:G26" xr:uid="{904F4AA8-1D45-40CC-818C-D28492B96615}">
      <formula1>"UNP, Ready To Order, Ordered, Pick Up, Complete, Returned"</formula1>
    </dataValidation>
    <dataValidation type="decimal" allowBlank="1" showInputMessage="1" showErrorMessage="1" sqref="L2" xr:uid="{58D8B3F9-3D1F-4D7C-92B6-9664595781C6}">
      <formula1>19</formula1>
      <formula2>26</formula2>
    </dataValidation>
  </dataValidations>
  <hyperlinks>
    <hyperlink ref="A1:A2" location="Menu!A1" display="Back to Menu" xr:uid="{CDD7B1DA-E2AD-42FA-843E-3248EEF8B0B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24A08-0A42-4321-B64B-34495A0B32A1}">
  <sheetPr codeName="Sheet18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192</v>
      </c>
      <c r="K2" s="4" t="s">
        <v>9</v>
      </c>
      <c r="L2" s="4">
        <v>24.4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15.6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90</v>
      </c>
      <c r="K4" s="4" t="s">
        <v>12</v>
      </c>
      <c r="L4" s="4">
        <v>42.8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33.4</v>
      </c>
    </row>
    <row r="6" spans="1:12" x14ac:dyDescent="0.3">
      <c r="A6" s="3" t="s">
        <v>193</v>
      </c>
      <c r="B6" s="48" t="s">
        <v>18</v>
      </c>
      <c r="C6" s="48"/>
      <c r="D6" s="48"/>
      <c r="E6" s="4">
        <v>6144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55.4</v>
      </c>
    </row>
    <row r="7" spans="1:12" x14ac:dyDescent="0.3">
      <c r="A7" s="2" t="s">
        <v>195</v>
      </c>
      <c r="B7" s="52" t="s">
        <v>21</v>
      </c>
      <c r="C7" s="52"/>
      <c r="D7" s="52"/>
      <c r="E7" s="1" t="s">
        <v>194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61</v>
      </c>
    </row>
    <row r="8" spans="1:12" x14ac:dyDescent="0.3">
      <c r="A8" s="3" t="s">
        <v>196</v>
      </c>
      <c r="B8" s="48" t="s">
        <v>19</v>
      </c>
      <c r="C8" s="48"/>
      <c r="D8" s="48"/>
      <c r="E8" s="4" t="s">
        <v>149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243.9</v>
      </c>
    </row>
    <row r="9" spans="1:12" x14ac:dyDescent="0.3">
      <c r="A9" s="2" t="s">
        <v>198</v>
      </c>
      <c r="B9" s="52" t="s">
        <v>20</v>
      </c>
      <c r="C9" s="52"/>
      <c r="D9" s="52"/>
      <c r="E9" s="1" t="s">
        <v>197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105.7</v>
      </c>
    </row>
    <row r="10" spans="1:12" x14ac:dyDescent="0.3">
      <c r="A10" s="3" t="s">
        <v>199</v>
      </c>
      <c r="B10" s="48" t="s">
        <v>24</v>
      </c>
      <c r="C10" s="48"/>
      <c r="D10" s="48"/>
      <c r="E10" s="8">
        <v>7.875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6.9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189</v>
      </c>
      <c r="B13" s="52" t="s">
        <v>26</v>
      </c>
      <c r="C13" s="52"/>
      <c r="D13" s="52"/>
      <c r="E13" s="1" t="s">
        <v>81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201</v>
      </c>
      <c r="B14" s="48" t="s">
        <v>27</v>
      </c>
      <c r="C14" s="48"/>
      <c r="D14" s="48"/>
      <c r="E14" s="4" t="s">
        <v>200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191</v>
      </c>
      <c r="B18" s="48" t="s">
        <v>29</v>
      </c>
      <c r="C18" s="48"/>
      <c r="D18" s="48"/>
      <c r="E18" s="4">
        <v>7656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2" t="s">
        <v>30</v>
      </c>
      <c r="C19" s="52"/>
      <c r="D19" s="52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202</v>
      </c>
      <c r="B21" s="52" t="s">
        <v>33</v>
      </c>
      <c r="C21" s="52"/>
      <c r="D21" s="52"/>
      <c r="E21" s="9">
        <v>7.875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119</v>
      </c>
      <c r="B22" s="48" t="s">
        <v>31</v>
      </c>
      <c r="C22" s="48"/>
      <c r="D22" s="48"/>
      <c r="E22" s="4">
        <v>6744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2" t="s">
        <v>50</v>
      </c>
      <c r="C23" s="52"/>
      <c r="D23" s="52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204</v>
      </c>
      <c r="B24" s="48" t="s">
        <v>32</v>
      </c>
      <c r="C24" s="48"/>
      <c r="D24" s="48"/>
      <c r="E24" s="4" t="s">
        <v>203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27" priority="1" operator="equal">
      <formula>"Returned"</formula>
    </cfRule>
    <cfRule type="cellIs" dxfId="126" priority="4" operator="equal">
      <formula>"Ready To Order"</formula>
    </cfRule>
    <cfRule type="containsText" dxfId="125" priority="5" operator="containsText" text="UNP">
      <formula>NOT(ISERROR(SEARCH("UNP",G6)))</formula>
    </cfRule>
    <cfRule type="containsText" dxfId="124" priority="6" operator="containsText" text="Ordered">
      <formula>NOT(ISERROR(SEARCH("Ordered",G6)))</formula>
    </cfRule>
    <cfRule type="containsText" dxfId="123" priority="7" operator="containsText" text="Pick Up">
      <formula>NOT(ISERROR(SEARCH("Pick Up",G6)))</formula>
    </cfRule>
    <cfRule type="containsText" dxfId="122" priority="8" operator="containsText" text="Complete">
      <formula>NOT(ISERROR(SEARCH("Complete",G6)))</formula>
    </cfRule>
  </conditionalFormatting>
  <conditionalFormatting sqref="G30:G33">
    <cfRule type="containsText" dxfId="121" priority="3" operator="containsText" text="Given">
      <formula>NOT(ISERROR(SEARCH("Given",G30)))</formula>
    </cfRule>
  </conditionalFormatting>
  <conditionalFormatting sqref="G30:G34">
    <cfRule type="containsText" dxfId="12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83BBE6C-2B2A-4631-9DDD-DC3787CBE6DC}">
      <formula1>"--,Returned, Given"</formula1>
    </dataValidation>
    <dataValidation type="list" allowBlank="1" showInputMessage="1" showErrorMessage="1" sqref="G6:G26" xr:uid="{542EA836-3715-4DA2-A526-1784879D33ED}">
      <formula1>"UNP, Ready To Order, Ordered, Pick Up, Complete, Returned"</formula1>
    </dataValidation>
    <dataValidation type="decimal" allowBlank="1" showInputMessage="1" showErrorMessage="1" sqref="L2" xr:uid="{2CAE99A4-2011-4392-B277-DAD5A8CA223B}">
      <formula1>19</formula1>
      <formula2>26</formula2>
    </dataValidation>
  </dataValidations>
  <hyperlinks>
    <hyperlink ref="A1:A2" location="Menu!A1" display="Back to Menu" xr:uid="{2F553E42-9CFB-4F82-952E-F4F54BF68F8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A3CB-B74B-43E0-88E6-4C1E017501D0}">
  <sheetPr codeName="Sheet19"/>
  <dimension ref="A1:L38"/>
  <sheetViews>
    <sheetView workbookViewId="0">
      <selection activeCell="E8" sqref="E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205</v>
      </c>
      <c r="K2" s="4" t="s">
        <v>9</v>
      </c>
      <c r="L2" s="4">
        <v>22.3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17.7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27.9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53.5</v>
      </c>
    </row>
    <row r="6" spans="1:12" x14ac:dyDescent="0.3">
      <c r="A6" s="3" t="s">
        <v>206</v>
      </c>
      <c r="B6" s="48" t="s">
        <v>18</v>
      </c>
      <c r="C6" s="48"/>
      <c r="D6" s="48"/>
      <c r="E6" s="4">
        <v>5828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55.1</v>
      </c>
    </row>
    <row r="7" spans="1:12" x14ac:dyDescent="0.3">
      <c r="A7" s="2" t="s">
        <v>207</v>
      </c>
      <c r="B7" s="52" t="s">
        <v>21</v>
      </c>
      <c r="C7" s="52"/>
      <c r="D7" s="52"/>
      <c r="E7" s="1">
        <v>18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57.3</v>
      </c>
    </row>
    <row r="8" spans="1:12" x14ac:dyDescent="0.3">
      <c r="A8" s="3" t="s">
        <v>80</v>
      </c>
      <c r="B8" s="48" t="s">
        <v>19</v>
      </c>
      <c r="C8" s="48"/>
      <c r="D8" s="48"/>
      <c r="E8" s="4" t="s">
        <v>45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219.9</v>
      </c>
    </row>
    <row r="9" spans="1:12" x14ac:dyDescent="0.3">
      <c r="A9" s="2" t="s">
        <v>208</v>
      </c>
      <c r="B9" s="52" t="s">
        <v>20</v>
      </c>
      <c r="C9" s="52"/>
      <c r="D9" s="52"/>
      <c r="E9" s="1">
        <v>6454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91.1</v>
      </c>
    </row>
    <row r="10" spans="1:12" x14ac:dyDescent="0.3">
      <c r="A10" s="3" t="s">
        <v>209</v>
      </c>
      <c r="B10" s="48" t="s">
        <v>24</v>
      </c>
      <c r="C10" s="48"/>
      <c r="D10" s="48"/>
      <c r="E10" s="8">
        <v>7.125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6.3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48" t="s">
        <v>25</v>
      </c>
      <c r="C12" s="48"/>
      <c r="D12" s="48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2" t="s">
        <v>26</v>
      </c>
      <c r="C13" s="52"/>
      <c r="D13" s="52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211</v>
      </c>
      <c r="B14" s="48" t="s">
        <v>27</v>
      </c>
      <c r="C14" s="48"/>
      <c r="D14" s="48"/>
      <c r="E14" s="4" t="s">
        <v>210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212</v>
      </c>
      <c r="B17" s="52" t="s">
        <v>22</v>
      </c>
      <c r="C17" s="52"/>
      <c r="D17" s="52"/>
      <c r="E17" s="1" t="s">
        <v>108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191</v>
      </c>
      <c r="B18" s="48" t="s">
        <v>29</v>
      </c>
      <c r="C18" s="48"/>
      <c r="D18" s="48"/>
      <c r="E18" s="4">
        <v>7656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2" t="s">
        <v>30</v>
      </c>
      <c r="C19" s="52"/>
      <c r="D19" s="52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213</v>
      </c>
      <c r="B21" s="52" t="s">
        <v>33</v>
      </c>
      <c r="C21" s="52"/>
      <c r="D21" s="52"/>
      <c r="E21" s="9">
        <v>7.125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214</v>
      </c>
      <c r="B22" s="48" t="s">
        <v>31</v>
      </c>
      <c r="C22" s="48"/>
      <c r="D22" s="48"/>
      <c r="E22" s="4">
        <v>6432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 t="s">
        <v>216</v>
      </c>
      <c r="B24" s="48" t="s">
        <v>32</v>
      </c>
      <c r="C24" s="48"/>
      <c r="D24" s="48"/>
      <c r="E24" s="4" t="s">
        <v>215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19" priority="1" operator="equal">
      <formula>"Returned"</formula>
    </cfRule>
    <cfRule type="cellIs" dxfId="118" priority="4" operator="equal">
      <formula>"Ready To Order"</formula>
    </cfRule>
    <cfRule type="containsText" dxfId="117" priority="5" operator="containsText" text="UNP">
      <formula>NOT(ISERROR(SEARCH("UNP",G6)))</formula>
    </cfRule>
    <cfRule type="containsText" dxfId="116" priority="6" operator="containsText" text="Ordered">
      <formula>NOT(ISERROR(SEARCH("Ordered",G6)))</formula>
    </cfRule>
    <cfRule type="containsText" dxfId="115" priority="7" operator="containsText" text="Pick Up">
      <formula>NOT(ISERROR(SEARCH("Pick Up",G6)))</formula>
    </cfRule>
    <cfRule type="containsText" dxfId="114" priority="8" operator="containsText" text="Complete">
      <formula>NOT(ISERROR(SEARCH("Complete",G6)))</formula>
    </cfRule>
  </conditionalFormatting>
  <conditionalFormatting sqref="G30:G33">
    <cfRule type="containsText" dxfId="113" priority="3" operator="containsText" text="Given">
      <formula>NOT(ISERROR(SEARCH("Given",G30)))</formula>
    </cfRule>
  </conditionalFormatting>
  <conditionalFormatting sqref="G30:G34">
    <cfRule type="containsText" dxfId="11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3867508-5E38-409F-9017-49D52135301C}">
      <formula1>"--,Returned, Given"</formula1>
    </dataValidation>
    <dataValidation type="list" allowBlank="1" showInputMessage="1" showErrorMessage="1" sqref="G6:G26" xr:uid="{422D5CA1-C591-47DD-9DCE-95468E2EB067}">
      <formula1>"UNP, Ready To Order, Ordered, Pick Up, Complete, Returned"</formula1>
    </dataValidation>
    <dataValidation type="decimal" allowBlank="1" showInputMessage="1" showErrorMessage="1" sqref="L2" xr:uid="{90472F96-4387-4D6E-879E-0A4BFD78CCA3}">
      <formula1>19</formula1>
      <formula2>26</formula2>
    </dataValidation>
  </dataValidations>
  <hyperlinks>
    <hyperlink ref="A1:A2" location="Menu!A1" display="Back to Menu" xr:uid="{AE453C40-1708-4F14-8F99-9DC710BF5E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D398-3721-47B3-972A-B8A814A8F2F1}">
  <sheetPr codeName="Sheet20"/>
  <dimension ref="A1:L38"/>
  <sheetViews>
    <sheetView workbookViewId="0">
      <selection activeCell="E8" sqref="E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217</v>
      </c>
      <c r="K2" s="4" t="s">
        <v>9</v>
      </c>
      <c r="L2" s="4">
        <v>19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19.399999999999999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90</v>
      </c>
      <c r="K4" s="4" t="s">
        <v>12</v>
      </c>
      <c r="L4" s="4">
        <v>62.7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44.9</v>
      </c>
    </row>
    <row r="6" spans="1:12" x14ac:dyDescent="0.3">
      <c r="A6" s="3" t="s">
        <v>218</v>
      </c>
      <c r="B6" s="48" t="s">
        <v>18</v>
      </c>
      <c r="C6" s="48"/>
      <c r="D6" s="48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42.7</v>
      </c>
    </row>
    <row r="7" spans="1:12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56.1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261.2</v>
      </c>
    </row>
    <row r="9" spans="1:12" x14ac:dyDescent="0.3">
      <c r="A9" s="2" t="s">
        <v>159</v>
      </c>
      <c r="B9" s="52" t="s">
        <v>20</v>
      </c>
      <c r="C9" s="52"/>
      <c r="D9" s="52"/>
      <c r="E9" s="1" t="s">
        <v>158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125.1</v>
      </c>
    </row>
    <row r="10" spans="1:12" x14ac:dyDescent="0.3">
      <c r="A10" s="3" t="s">
        <v>60</v>
      </c>
      <c r="B10" s="48" t="s">
        <v>24</v>
      </c>
      <c r="C10" s="48"/>
      <c r="D10" s="48"/>
      <c r="E10" s="8">
        <v>6.375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7.8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161</v>
      </c>
      <c r="B12" s="48" t="s">
        <v>25</v>
      </c>
      <c r="C12" s="48"/>
      <c r="D12" s="48"/>
      <c r="E12" s="4" t="s">
        <v>149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132</v>
      </c>
      <c r="B13" s="52" t="s">
        <v>26</v>
      </c>
      <c r="C13" s="52"/>
      <c r="D13" s="52"/>
      <c r="E13" s="1" t="s">
        <v>131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8" t="s">
        <v>27</v>
      </c>
      <c r="C14" s="48"/>
      <c r="D14" s="48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61</v>
      </c>
      <c r="B17" s="52" t="s">
        <v>22</v>
      </c>
      <c r="C17" s="52"/>
      <c r="D17" s="52"/>
      <c r="E17" s="1" t="s">
        <v>45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77</v>
      </c>
      <c r="B21" s="52" t="s">
        <v>33</v>
      </c>
      <c r="C21" s="52"/>
      <c r="D21" s="52"/>
      <c r="E21" s="9">
        <v>6.125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169</v>
      </c>
      <c r="B23" s="52" t="s">
        <v>50</v>
      </c>
      <c r="C23" s="52"/>
      <c r="D23" s="52"/>
      <c r="E23" s="1">
        <v>7046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11" priority="1" operator="equal">
      <formula>"Returned"</formula>
    </cfRule>
    <cfRule type="cellIs" dxfId="110" priority="4" operator="equal">
      <formula>"Ready To Order"</formula>
    </cfRule>
    <cfRule type="containsText" dxfId="109" priority="5" operator="containsText" text="UNP">
      <formula>NOT(ISERROR(SEARCH("UNP",G6)))</formula>
    </cfRule>
    <cfRule type="containsText" dxfId="108" priority="6" operator="containsText" text="Ordered">
      <formula>NOT(ISERROR(SEARCH("Ordered",G6)))</formula>
    </cfRule>
    <cfRule type="containsText" dxfId="107" priority="7" operator="containsText" text="Pick Up">
      <formula>NOT(ISERROR(SEARCH("Pick Up",G6)))</formula>
    </cfRule>
    <cfRule type="containsText" dxfId="106" priority="8" operator="containsText" text="Complete">
      <formula>NOT(ISERROR(SEARCH("Complete",G6)))</formula>
    </cfRule>
  </conditionalFormatting>
  <conditionalFormatting sqref="G30:G33">
    <cfRule type="containsText" dxfId="105" priority="3" operator="containsText" text="Given">
      <formula>NOT(ISERROR(SEARCH("Given",G30)))</formula>
    </cfRule>
  </conditionalFormatting>
  <conditionalFormatting sqref="G30:G34">
    <cfRule type="containsText" dxfId="10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86DF7B6-2358-419B-81DA-EFD5D4C08124}">
      <formula1>"--,Returned, Given"</formula1>
    </dataValidation>
    <dataValidation type="list" allowBlank="1" showInputMessage="1" showErrorMessage="1" sqref="G6:G26" xr:uid="{EB29E478-CC49-4D1E-879B-12EE5F671100}">
      <formula1>"UNP, Ready To Order, Ordered, Pick Up, Complete, Returned"</formula1>
    </dataValidation>
    <dataValidation type="decimal" allowBlank="1" showInputMessage="1" showErrorMessage="1" sqref="L2" xr:uid="{F4373548-D5F2-4DE8-91CE-800B530A4C89}">
      <formula1>19</formula1>
      <formula2>26</formula2>
    </dataValidation>
  </dataValidations>
  <hyperlinks>
    <hyperlink ref="A1:A2" location="Menu!A1" display="Back to Menu" xr:uid="{DE595A46-8605-469B-9D0D-1A1D93F3E9A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2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5F0AA-8D6A-485A-9FAB-16565CCC5B87}">
  <sheetPr codeName="Sheet21"/>
  <dimension ref="A1:L38"/>
  <sheetViews>
    <sheetView workbookViewId="0">
      <selection activeCell="J25" sqref="A1:J25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219</v>
      </c>
      <c r="K2" s="4" t="s">
        <v>9</v>
      </c>
      <c r="L2" s="4"/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60.5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48" t="s">
        <v>18</v>
      </c>
      <c r="C6" s="48"/>
      <c r="D6" s="48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52" t="s">
        <v>20</v>
      </c>
      <c r="C9" s="52"/>
      <c r="D9" s="52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115.6</v>
      </c>
    </row>
    <row r="10" spans="1:12" x14ac:dyDescent="0.3">
      <c r="A10" s="3"/>
      <c r="B10" s="48" t="s">
        <v>24</v>
      </c>
      <c r="C10" s="48"/>
      <c r="D10" s="48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6.9</v>
      </c>
    </row>
    <row r="11" spans="1:12" x14ac:dyDescent="0.3">
      <c r="A11" s="2"/>
      <c r="B11" s="52" t="s">
        <v>23</v>
      </c>
      <c r="C11" s="52"/>
      <c r="D11" s="52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/>
      <c r="B13" s="52" t="s">
        <v>26</v>
      </c>
      <c r="C13" s="52"/>
      <c r="D13" s="52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/>
      <c r="B14" s="48" t="s">
        <v>27</v>
      </c>
      <c r="C14" s="48"/>
      <c r="D14" s="48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/>
      <c r="B16" s="48" t="s">
        <v>28</v>
      </c>
      <c r="C16" s="48"/>
      <c r="D16" s="48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/>
      <c r="B17" s="52" t="s">
        <v>22</v>
      </c>
      <c r="C17" s="52"/>
      <c r="D17" s="52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/>
      <c r="B19" s="52" t="s">
        <v>30</v>
      </c>
      <c r="C19" s="52"/>
      <c r="D19" s="52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/>
      <c r="B21" s="52" t="s">
        <v>33</v>
      </c>
      <c r="C21" s="52"/>
      <c r="D21" s="52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103" priority="1" operator="equal">
      <formula>"Returned"</formula>
    </cfRule>
    <cfRule type="cellIs" dxfId="102" priority="4" operator="equal">
      <formula>"Ready To Order"</formula>
    </cfRule>
    <cfRule type="containsText" dxfId="101" priority="5" operator="containsText" text="UNP">
      <formula>NOT(ISERROR(SEARCH("UNP",G6)))</formula>
    </cfRule>
    <cfRule type="containsText" dxfId="100" priority="6" operator="containsText" text="Ordered">
      <formula>NOT(ISERROR(SEARCH("Ordered",G6)))</formula>
    </cfRule>
    <cfRule type="containsText" dxfId="99" priority="7" operator="containsText" text="Pick Up">
      <formula>NOT(ISERROR(SEARCH("Pick Up",G6)))</formula>
    </cfRule>
    <cfRule type="containsText" dxfId="98" priority="8" operator="containsText" text="Complete">
      <formula>NOT(ISERROR(SEARCH("Complete",G6)))</formula>
    </cfRule>
  </conditionalFormatting>
  <conditionalFormatting sqref="G30:G33">
    <cfRule type="containsText" dxfId="97" priority="3" operator="containsText" text="Given">
      <formula>NOT(ISERROR(SEARCH("Given",G30)))</formula>
    </cfRule>
  </conditionalFormatting>
  <conditionalFormatting sqref="G30:G34">
    <cfRule type="containsText" dxfId="9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26D47E5C-9DE6-40B6-B7DF-1056F13839CE}">
      <formula1>"--,Returned, Given"</formula1>
    </dataValidation>
    <dataValidation type="list" allowBlank="1" showInputMessage="1" showErrorMessage="1" sqref="G6:G26" xr:uid="{D2F5BFE7-CB9F-4140-B0E9-44F4FD0DBBB0}">
      <formula1>"UNP, Ready To Order, Ordered, Pick Up, Complete, Returned"</formula1>
    </dataValidation>
    <dataValidation type="decimal" allowBlank="1" showInputMessage="1" showErrorMessage="1" sqref="L2" xr:uid="{04ED911E-1508-4106-A30A-7CFF8EB96CA9}">
      <formula1>19</formula1>
      <formula2>26</formula2>
    </dataValidation>
  </dataValidations>
  <hyperlinks>
    <hyperlink ref="A1:A2" location="Menu!A1" display="Back to Menu" xr:uid="{18A045F0-8567-4113-99D5-7AB36B4E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6DB3-9164-42EE-9636-3D4CFEB05664}">
  <sheetPr codeName="Sheet22"/>
  <dimension ref="A1:L38"/>
  <sheetViews>
    <sheetView topLeftCell="A16" workbookViewId="0">
      <selection activeCell="E9" sqref="E9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220</v>
      </c>
      <c r="K2" s="4" t="s">
        <v>9</v>
      </c>
      <c r="L2" s="4">
        <v>25.2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19.399999999999999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39.9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60.1</v>
      </c>
    </row>
    <row r="6" spans="1:12" x14ac:dyDescent="0.3">
      <c r="A6" s="3" t="s">
        <v>221</v>
      </c>
      <c r="B6" s="48" t="s">
        <v>18</v>
      </c>
      <c r="C6" s="48"/>
      <c r="D6" s="48"/>
      <c r="E6" s="4">
        <v>7040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42.4</v>
      </c>
    </row>
    <row r="7" spans="1:12" x14ac:dyDescent="0.3">
      <c r="A7" s="2" t="s">
        <v>223</v>
      </c>
      <c r="B7" s="52" t="s">
        <v>21</v>
      </c>
      <c r="C7" s="52"/>
      <c r="D7" s="52"/>
      <c r="E7" s="1" t="s">
        <v>222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68.5</v>
      </c>
    </row>
    <row r="8" spans="1:12" x14ac:dyDescent="0.3">
      <c r="A8" s="3" t="s">
        <v>109</v>
      </c>
      <c r="B8" s="48" t="s">
        <v>19</v>
      </c>
      <c r="C8" s="48"/>
      <c r="D8" s="48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325.2</v>
      </c>
    </row>
    <row r="9" spans="1:12" x14ac:dyDescent="0.3">
      <c r="A9" s="2" t="s">
        <v>224</v>
      </c>
      <c r="B9" s="52" t="s">
        <v>20</v>
      </c>
      <c r="C9" s="52"/>
      <c r="D9" s="52"/>
      <c r="E9" s="1">
        <v>7060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114.5</v>
      </c>
    </row>
    <row r="10" spans="1:12" x14ac:dyDescent="0.3">
      <c r="A10" s="3"/>
      <c r="B10" s="48" t="s">
        <v>24</v>
      </c>
      <c r="C10" s="48"/>
      <c r="D10" s="48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7.6</v>
      </c>
    </row>
    <row r="11" spans="1:12" x14ac:dyDescent="0.3">
      <c r="A11" s="2" t="s">
        <v>57</v>
      </c>
      <c r="B11" s="52" t="s">
        <v>23</v>
      </c>
      <c r="C11" s="52"/>
      <c r="D11" s="52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8" t="s">
        <v>27</v>
      </c>
      <c r="C14" s="48"/>
      <c r="D14" s="48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227</v>
      </c>
      <c r="B17" s="52" t="s">
        <v>22</v>
      </c>
      <c r="C17" s="52"/>
      <c r="D17" s="52"/>
      <c r="E17" s="1" t="s">
        <v>226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179</v>
      </c>
      <c r="B18" s="48" t="s">
        <v>29</v>
      </c>
      <c r="C18" s="48"/>
      <c r="D18" s="48"/>
      <c r="E18" s="4">
        <v>7052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/>
      <c r="B21" s="52" t="s">
        <v>33</v>
      </c>
      <c r="C21" s="52"/>
      <c r="D21" s="52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228</v>
      </c>
      <c r="B22" s="48" t="s">
        <v>31</v>
      </c>
      <c r="C22" s="48"/>
      <c r="D22" s="48"/>
      <c r="E22" s="4">
        <v>7040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95" priority="1" operator="equal">
      <formula>"Returned"</formula>
    </cfRule>
    <cfRule type="cellIs" dxfId="94" priority="4" operator="equal">
      <formula>"Ready To Order"</formula>
    </cfRule>
    <cfRule type="containsText" dxfId="93" priority="5" operator="containsText" text="UNP">
      <formula>NOT(ISERROR(SEARCH("UNP",G6)))</formula>
    </cfRule>
    <cfRule type="containsText" dxfId="92" priority="6" operator="containsText" text="Ordered">
      <formula>NOT(ISERROR(SEARCH("Ordered",G6)))</formula>
    </cfRule>
    <cfRule type="containsText" dxfId="91" priority="7" operator="containsText" text="Pick Up">
      <formula>NOT(ISERROR(SEARCH("Pick Up",G6)))</formula>
    </cfRule>
    <cfRule type="containsText" dxfId="90" priority="8" operator="containsText" text="Complete">
      <formula>NOT(ISERROR(SEARCH("Complete",G6)))</formula>
    </cfRule>
  </conditionalFormatting>
  <conditionalFormatting sqref="G30:G33">
    <cfRule type="containsText" dxfId="89" priority="3" operator="containsText" text="Given">
      <formula>NOT(ISERROR(SEARCH("Given",G30)))</formula>
    </cfRule>
  </conditionalFormatting>
  <conditionalFormatting sqref="G30:G34">
    <cfRule type="containsText" dxfId="8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F1E9302C-CF35-4188-A745-7BA93BDEA7E8}">
      <formula1>"--,Returned, Given"</formula1>
    </dataValidation>
    <dataValidation type="list" allowBlank="1" showInputMessage="1" showErrorMessage="1" sqref="G6:G26" xr:uid="{3C6C16D2-4897-417E-B50D-6C23A96120AA}">
      <formula1>"UNP, Ready To Order, Ordered, Pick Up, Complete, Returned"</formula1>
    </dataValidation>
    <dataValidation type="decimal" allowBlank="1" showInputMessage="1" showErrorMessage="1" sqref="L2" xr:uid="{A123E558-11F3-4F28-9B92-781C75802CD5}">
      <formula1>19</formula1>
      <formula2>26</formula2>
    </dataValidation>
  </dataValidations>
  <hyperlinks>
    <hyperlink ref="A1:A2" location="Menu!A1" display="Back to Menu" xr:uid="{31507E54-93FA-4174-BD6E-9E64879EBF5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45BA2-44DF-4227-B97D-0625F9ED87F0}">
  <sheetPr codeName="Sheet23"/>
  <dimension ref="A1:L38"/>
  <sheetViews>
    <sheetView topLeftCell="A3" workbookViewId="0">
      <selection activeCell="E6" sqref="E6:E21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229</v>
      </c>
      <c r="K2" s="4" t="s">
        <v>9</v>
      </c>
      <c r="L2" s="4">
        <v>24.5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18.2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63.1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55.4</v>
      </c>
    </row>
    <row r="6" spans="1:12" x14ac:dyDescent="0.3">
      <c r="A6" s="3" t="s">
        <v>218</v>
      </c>
      <c r="B6" s="48" t="s">
        <v>18</v>
      </c>
      <c r="C6" s="48"/>
      <c r="D6" s="48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63.5</v>
      </c>
    </row>
    <row r="7" spans="1:12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67.5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312.2</v>
      </c>
    </row>
    <row r="9" spans="1:12" x14ac:dyDescent="0.3">
      <c r="A9" s="2" t="s">
        <v>230</v>
      </c>
      <c r="B9" s="52" t="s">
        <v>20</v>
      </c>
      <c r="C9" s="52"/>
      <c r="D9" s="52"/>
      <c r="E9" s="1">
        <v>7058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116.4</v>
      </c>
    </row>
    <row r="10" spans="1:12" x14ac:dyDescent="0.3">
      <c r="A10" s="3" t="s">
        <v>186</v>
      </c>
      <c r="B10" s="48" t="s">
        <v>24</v>
      </c>
      <c r="C10" s="48"/>
      <c r="D10" s="48"/>
      <c r="E10" s="8">
        <v>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7.2</v>
      </c>
    </row>
    <row r="11" spans="1:12" x14ac:dyDescent="0.3">
      <c r="A11" s="2" t="s">
        <v>57</v>
      </c>
      <c r="B11" s="52" t="s">
        <v>23</v>
      </c>
      <c r="C11" s="52"/>
      <c r="D11" s="52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48" t="s">
        <v>25</v>
      </c>
      <c r="C12" s="48"/>
      <c r="D12" s="48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8" t="s">
        <v>27</v>
      </c>
      <c r="C14" s="48"/>
      <c r="D14" s="48"/>
      <c r="E14" s="4" t="s">
        <v>53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187</v>
      </c>
      <c r="B21" s="52" t="s">
        <v>33</v>
      </c>
      <c r="C21" s="52"/>
      <c r="D21" s="52"/>
      <c r="E21" s="9">
        <v>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87" priority="1" operator="equal">
      <formula>"Returned"</formula>
    </cfRule>
    <cfRule type="cellIs" dxfId="86" priority="4" operator="equal">
      <formula>"Ready To Order"</formula>
    </cfRule>
    <cfRule type="containsText" dxfId="85" priority="5" operator="containsText" text="UNP">
      <formula>NOT(ISERROR(SEARCH("UNP",G6)))</formula>
    </cfRule>
    <cfRule type="containsText" dxfId="84" priority="6" operator="containsText" text="Ordered">
      <formula>NOT(ISERROR(SEARCH("Ordered",G6)))</formula>
    </cfRule>
    <cfRule type="containsText" dxfId="83" priority="7" operator="containsText" text="Pick Up">
      <formula>NOT(ISERROR(SEARCH("Pick Up",G6)))</formula>
    </cfRule>
    <cfRule type="containsText" dxfId="82" priority="8" operator="containsText" text="Complete">
      <formula>NOT(ISERROR(SEARCH("Complete",G6)))</formula>
    </cfRule>
  </conditionalFormatting>
  <conditionalFormatting sqref="G30:G33">
    <cfRule type="containsText" dxfId="81" priority="3" operator="containsText" text="Given">
      <formula>NOT(ISERROR(SEARCH("Given",G30)))</formula>
    </cfRule>
  </conditionalFormatting>
  <conditionalFormatting sqref="G30:G34">
    <cfRule type="containsText" dxfId="8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1AFE569-28D2-40E4-BCEC-E36C88FF3FC9}">
      <formula1>"--,Returned, Given"</formula1>
    </dataValidation>
    <dataValidation type="list" allowBlank="1" showInputMessage="1" showErrorMessage="1" sqref="G6:G26" xr:uid="{3B3807C2-2C5E-45CD-A1FA-D734FF5A878B}">
      <formula1>"UNP, Ready To Order, Ordered, Pick Up, Complete, Returned"</formula1>
    </dataValidation>
    <dataValidation type="decimal" allowBlank="1" showInputMessage="1" showErrorMessage="1" sqref="L2" xr:uid="{88D57614-16B0-4164-9A99-BDF7AEBE3F42}">
      <formula1>19</formula1>
      <formula2>26</formula2>
    </dataValidation>
  </dataValidations>
  <hyperlinks>
    <hyperlink ref="A1:A2" location="Menu!A1" display="Back to Menu" xr:uid="{02F622C8-CF36-405C-9551-23CE8FCD5DE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9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6AF9-5B7E-4696-8851-CFE063AE0755}">
  <sheetPr codeName="Sheet24"/>
  <dimension ref="A1:L38"/>
  <sheetViews>
    <sheetView workbookViewId="0">
      <selection activeCell="J21" sqref="J21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231</v>
      </c>
      <c r="K2" s="4" t="s">
        <v>9</v>
      </c>
      <c r="L2" s="4">
        <v>23.2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14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35.299999999999997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60.1</v>
      </c>
    </row>
    <row r="6" spans="1:12" x14ac:dyDescent="0.3">
      <c r="A6" s="3" t="s">
        <v>232</v>
      </c>
      <c r="B6" s="48" t="s">
        <v>18</v>
      </c>
      <c r="C6" s="48"/>
      <c r="D6" s="48"/>
      <c r="E6" s="4">
        <v>7036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40.6</v>
      </c>
    </row>
    <row r="7" spans="1:12" x14ac:dyDescent="0.3">
      <c r="A7" s="2" t="s">
        <v>233</v>
      </c>
      <c r="B7" s="52" t="s">
        <v>21</v>
      </c>
      <c r="C7" s="52"/>
      <c r="D7" s="52"/>
      <c r="E7" s="1">
        <v>14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82</v>
      </c>
      <c r="B8" s="48" t="s">
        <v>19</v>
      </c>
      <c r="C8" s="48"/>
      <c r="D8" s="48"/>
      <c r="E8" s="4" t="s">
        <v>81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218.1</v>
      </c>
    </row>
    <row r="9" spans="1:12" x14ac:dyDescent="0.3">
      <c r="A9" s="2" t="s">
        <v>224</v>
      </c>
      <c r="B9" s="52" t="s">
        <v>20</v>
      </c>
      <c r="C9" s="52"/>
      <c r="D9" s="52"/>
      <c r="E9" s="1">
        <v>7060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127.7</v>
      </c>
    </row>
    <row r="10" spans="1:12" x14ac:dyDescent="0.3">
      <c r="A10" s="3" t="s">
        <v>234</v>
      </c>
      <c r="B10" s="48" t="s">
        <v>24</v>
      </c>
      <c r="C10" s="48"/>
      <c r="D10" s="48"/>
      <c r="E10" s="8">
        <v>7.5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10</v>
      </c>
    </row>
    <row r="11" spans="1:12" x14ac:dyDescent="0.3">
      <c r="A11" s="2" t="s">
        <v>57</v>
      </c>
      <c r="B11" s="52" t="s">
        <v>23</v>
      </c>
      <c r="C11" s="52"/>
      <c r="D11" s="52"/>
      <c r="E11" s="1" t="s">
        <v>225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163</v>
      </c>
      <c r="B13" s="52" t="s">
        <v>26</v>
      </c>
      <c r="C13" s="52"/>
      <c r="D13" s="52"/>
      <c r="E13" s="1" t="s">
        <v>162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8" t="s">
        <v>27</v>
      </c>
      <c r="C14" s="48"/>
      <c r="D14" s="48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2" t="s">
        <v>22</v>
      </c>
      <c r="C17" s="52"/>
      <c r="D17" s="52"/>
      <c r="E17" s="1" t="s">
        <v>149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236</v>
      </c>
      <c r="B18" s="48" t="s">
        <v>29</v>
      </c>
      <c r="C18" s="48"/>
      <c r="D18" s="48"/>
      <c r="E18" s="4">
        <v>7040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2" t="s">
        <v>30</v>
      </c>
      <c r="C19" s="52"/>
      <c r="D19" s="52"/>
      <c r="E19" s="1" t="s">
        <v>75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237</v>
      </c>
      <c r="B21" s="52" t="s">
        <v>33</v>
      </c>
      <c r="C21" s="52"/>
      <c r="D21" s="52"/>
      <c r="E21" s="9">
        <v>7.5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78</v>
      </c>
      <c r="B22" s="48" t="s">
        <v>31</v>
      </c>
      <c r="C22" s="48"/>
      <c r="D22" s="48"/>
      <c r="E22" s="4">
        <v>7036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4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26">
    <cfRule type="cellIs" dxfId="79" priority="1" operator="equal">
      <formula>"Returned"</formula>
    </cfRule>
    <cfRule type="cellIs" dxfId="78" priority="4" operator="equal">
      <formula>"Ready To Order"</formula>
    </cfRule>
    <cfRule type="containsText" dxfId="77" priority="5" operator="containsText" text="UNP">
      <formula>NOT(ISERROR(SEARCH("UNP",G6)))</formula>
    </cfRule>
    <cfRule type="containsText" dxfId="76" priority="6" operator="containsText" text="Ordered">
      <formula>NOT(ISERROR(SEARCH("Ordered",G6)))</formula>
    </cfRule>
    <cfRule type="containsText" dxfId="75" priority="7" operator="containsText" text="Pick Up">
      <formula>NOT(ISERROR(SEARCH("Pick Up",G6)))</formula>
    </cfRule>
    <cfRule type="containsText" dxfId="74" priority="8" operator="containsText" text="Complete">
      <formula>NOT(ISERROR(SEARCH("Complete",G6)))</formula>
    </cfRule>
  </conditionalFormatting>
  <conditionalFormatting sqref="G30:G33">
    <cfRule type="containsText" dxfId="73" priority="3" operator="containsText" text="Given">
      <formula>NOT(ISERROR(SEARCH("Given",G30)))</formula>
    </cfRule>
  </conditionalFormatting>
  <conditionalFormatting sqref="G30:G34">
    <cfRule type="containsText" dxfId="7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66CCB504-5EEA-47A5-8B40-37F558BD54CB}">
      <formula1>"--,Returned, Given"</formula1>
    </dataValidation>
    <dataValidation type="list" allowBlank="1" showInputMessage="1" showErrorMessage="1" sqref="G6:G26" xr:uid="{B3BA4F89-A342-472D-80DF-0A4BCC74EBB2}">
      <formula1>"UNP, Ready To Order, Ordered, Pick Up, Complete, Returned"</formula1>
    </dataValidation>
    <dataValidation type="decimal" allowBlank="1" showInputMessage="1" showErrorMessage="1" sqref="L2" xr:uid="{2909E737-1AE2-482C-BA6E-3E3F17B58F8C}">
      <formula1>19</formula1>
      <formula2>26</formula2>
    </dataValidation>
  </dataValidations>
  <hyperlinks>
    <hyperlink ref="A1:A2" location="Menu!A1" display="Back to Menu" xr:uid="{2F3A0E4C-F421-4B6D-AD52-7DFD987B149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AEE95-77D1-469E-B5F2-01FFC87AD3B2}">
  <sheetPr codeName="Sheet4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238</v>
      </c>
      <c r="K2" s="4" t="s">
        <v>9</v>
      </c>
      <c r="L2" s="4">
        <v>24.5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17.399999999999999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37.299999999999997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30.1</v>
      </c>
    </row>
    <row r="6" spans="1:12" x14ac:dyDescent="0.3">
      <c r="A6" s="3" t="s">
        <v>239</v>
      </c>
      <c r="B6" s="48" t="s">
        <v>18</v>
      </c>
      <c r="C6" s="48"/>
      <c r="D6" s="48"/>
      <c r="E6" s="4">
        <v>6438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41.9</v>
      </c>
    </row>
    <row r="7" spans="1:12" x14ac:dyDescent="0.3">
      <c r="A7" s="2" t="s">
        <v>241</v>
      </c>
      <c r="B7" s="52" t="s">
        <v>21</v>
      </c>
      <c r="C7" s="52"/>
      <c r="D7" s="52"/>
      <c r="E7" s="1" t="s">
        <v>240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63.4</v>
      </c>
    </row>
    <row r="8" spans="1:12" x14ac:dyDescent="0.3">
      <c r="A8" s="3" t="s">
        <v>109</v>
      </c>
      <c r="B8" s="48" t="s">
        <v>19</v>
      </c>
      <c r="C8" s="48"/>
      <c r="D8" s="48"/>
      <c r="E8" s="4" t="s">
        <v>108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303.8</v>
      </c>
    </row>
    <row r="9" spans="1:12" x14ac:dyDescent="0.3">
      <c r="A9" s="2" t="s">
        <v>242</v>
      </c>
      <c r="B9" s="52" t="s">
        <v>20</v>
      </c>
      <c r="C9" s="52"/>
      <c r="D9" s="52"/>
      <c r="E9" s="1">
        <v>6436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115.2</v>
      </c>
    </row>
    <row r="10" spans="1:12" x14ac:dyDescent="0.3">
      <c r="A10" s="3" t="s">
        <v>186</v>
      </c>
      <c r="B10" s="48" t="s">
        <v>24</v>
      </c>
      <c r="C10" s="48"/>
      <c r="D10" s="48"/>
      <c r="E10" s="8">
        <v>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6.1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244</v>
      </c>
      <c r="B14" s="48" t="s">
        <v>27</v>
      </c>
      <c r="C14" s="48"/>
      <c r="D14" s="48"/>
      <c r="E14" s="4" t="s">
        <v>243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68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245</v>
      </c>
      <c r="B18" s="48" t="s">
        <v>29</v>
      </c>
      <c r="C18" s="48"/>
      <c r="D18" s="48"/>
      <c r="E18" s="4">
        <v>6440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181</v>
      </c>
      <c r="B19" s="52" t="s">
        <v>30</v>
      </c>
      <c r="C19" s="52"/>
      <c r="D19" s="52"/>
      <c r="E19" s="1" t="s">
        <v>180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187</v>
      </c>
      <c r="B21" s="52" t="s">
        <v>33</v>
      </c>
      <c r="C21" s="52"/>
      <c r="D21" s="52"/>
      <c r="E21" s="9">
        <v>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246</v>
      </c>
      <c r="B22" s="48" t="s">
        <v>31</v>
      </c>
      <c r="C22" s="48"/>
      <c r="D22" s="48"/>
      <c r="E22" s="4">
        <v>6440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247</v>
      </c>
      <c r="B23" s="52" t="s">
        <v>50</v>
      </c>
      <c r="C23" s="52"/>
      <c r="D23" s="52"/>
      <c r="E23" s="1">
        <v>6430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71" priority="1" operator="equal">
      <formula>"Returned"</formula>
    </cfRule>
    <cfRule type="cellIs" dxfId="70" priority="4" operator="equal">
      <formula>"Ready To Order"</formula>
    </cfRule>
    <cfRule type="containsText" dxfId="69" priority="5" operator="containsText" text="UNP">
      <formula>NOT(ISERROR(SEARCH("UNP",G6)))</formula>
    </cfRule>
    <cfRule type="containsText" dxfId="68" priority="6" operator="containsText" text="Ordered">
      <formula>NOT(ISERROR(SEARCH("Ordered",G6)))</formula>
    </cfRule>
    <cfRule type="containsText" dxfId="67" priority="7" operator="containsText" text="Pick Up">
      <formula>NOT(ISERROR(SEARCH("Pick Up",G6)))</formula>
    </cfRule>
    <cfRule type="containsText" dxfId="66" priority="8" operator="containsText" text="Complete">
      <formula>NOT(ISERROR(SEARCH("Complete",G6)))</formula>
    </cfRule>
  </conditionalFormatting>
  <conditionalFormatting sqref="G30:G33">
    <cfRule type="containsText" dxfId="65" priority="3" operator="containsText" text="Given">
      <formula>NOT(ISERROR(SEARCH("Given",G30)))</formula>
    </cfRule>
  </conditionalFormatting>
  <conditionalFormatting sqref="G30:G34">
    <cfRule type="containsText" dxfId="6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5E67E7EB-10D4-48F6-90E4-F2FEE7C19156}">
      <formula1>"--,Returned, Given"</formula1>
    </dataValidation>
    <dataValidation type="list" allowBlank="1" showInputMessage="1" showErrorMessage="1" sqref="G6:G26" xr:uid="{30C065DD-45CB-4224-9998-BF149EEE49C3}">
      <formula1>"UNP, Ready To Order, Ordered, Pick Up, Complete, Returned"</formula1>
    </dataValidation>
    <dataValidation type="decimal" allowBlank="1" showInputMessage="1" showErrorMessage="1" sqref="L2" xr:uid="{4BC783B2-5CCF-4386-A4BE-3282B95688DD}">
      <formula1>19</formula1>
      <formula2>26</formula2>
    </dataValidation>
  </dataValidations>
  <hyperlinks>
    <hyperlink ref="A1:A2" location="Menu!A1" display="Back to Menu" xr:uid="{39395503-2686-432A-9A78-A4757A931A3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6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6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15C04-D4AC-40BA-8EA6-360ECE1F156E}">
  <sheetPr codeName="Sheet5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249</v>
      </c>
      <c r="K2" s="4" t="s">
        <v>9</v>
      </c>
      <c r="L2" s="4">
        <v>23.1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17.899999999999999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63.8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32.9</v>
      </c>
    </row>
    <row r="6" spans="1:12" x14ac:dyDescent="0.3">
      <c r="A6" s="3" t="s">
        <v>218</v>
      </c>
      <c r="B6" s="48" t="s">
        <v>18</v>
      </c>
      <c r="C6" s="48"/>
      <c r="D6" s="48"/>
      <c r="E6" s="4">
        <v>8062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51</v>
      </c>
    </row>
    <row r="7" spans="1:12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57.3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326.5</v>
      </c>
    </row>
    <row r="9" spans="1:12" x14ac:dyDescent="0.3">
      <c r="A9" s="2" t="s">
        <v>250</v>
      </c>
      <c r="B9" s="52" t="s">
        <v>20</v>
      </c>
      <c r="C9" s="52"/>
      <c r="D9" s="52"/>
      <c r="E9" s="1">
        <v>6146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93.4</v>
      </c>
    </row>
    <row r="10" spans="1:12" x14ac:dyDescent="0.3">
      <c r="A10" s="3" t="s">
        <v>251</v>
      </c>
      <c r="B10" s="48" t="s">
        <v>24</v>
      </c>
      <c r="C10" s="48"/>
      <c r="D10" s="48"/>
      <c r="E10" s="8">
        <v>7.375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7.9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8" t="s">
        <v>27</v>
      </c>
      <c r="C14" s="48"/>
      <c r="D14" s="48"/>
      <c r="E14" s="4" t="s">
        <v>133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2" t="s">
        <v>22</v>
      </c>
      <c r="C17" s="52"/>
      <c r="D17" s="52"/>
      <c r="E17" s="1" t="s">
        <v>149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 t="s">
        <v>252</v>
      </c>
      <c r="B21" s="52" t="s">
        <v>33</v>
      </c>
      <c r="C21" s="52"/>
      <c r="D21" s="52"/>
      <c r="E21" s="9">
        <v>7.375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120</v>
      </c>
      <c r="B23" s="52" t="s">
        <v>50</v>
      </c>
      <c r="C23" s="52"/>
      <c r="D23" s="52"/>
      <c r="E23" s="1">
        <v>6434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63" priority="1" operator="equal">
      <formula>"Returned"</formula>
    </cfRule>
    <cfRule type="cellIs" dxfId="62" priority="4" operator="equal">
      <formula>"Ready To Order"</formula>
    </cfRule>
    <cfRule type="containsText" dxfId="61" priority="5" operator="containsText" text="UNP">
      <formula>NOT(ISERROR(SEARCH("UNP",G6)))</formula>
    </cfRule>
    <cfRule type="containsText" dxfId="60" priority="6" operator="containsText" text="Ordered">
      <formula>NOT(ISERROR(SEARCH("Ordered",G6)))</formula>
    </cfRule>
    <cfRule type="containsText" dxfId="59" priority="7" operator="containsText" text="Pick Up">
      <formula>NOT(ISERROR(SEARCH("Pick Up",G6)))</formula>
    </cfRule>
    <cfRule type="containsText" dxfId="58" priority="8" operator="containsText" text="Complete">
      <formula>NOT(ISERROR(SEARCH("Complete",G6)))</formula>
    </cfRule>
  </conditionalFormatting>
  <conditionalFormatting sqref="G30:G33">
    <cfRule type="containsText" dxfId="57" priority="3" operator="containsText" text="Given">
      <formula>NOT(ISERROR(SEARCH("Given",G30)))</formula>
    </cfRule>
  </conditionalFormatting>
  <conditionalFormatting sqref="G30:G34">
    <cfRule type="containsText" dxfId="5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CAE83D7A-F336-40F6-AB90-318D8B87C4DB}">
      <formula1>"--,Returned, Given"</formula1>
    </dataValidation>
    <dataValidation type="list" allowBlank="1" showInputMessage="1" showErrorMessage="1" sqref="G6:G26" xr:uid="{9A279936-298B-4321-8775-E7D9A2A8900E}">
      <formula1>"UNP, Ready To Order, Ordered, Pick Up, Complete, Returned"</formula1>
    </dataValidation>
    <dataValidation type="decimal" allowBlank="1" showInputMessage="1" showErrorMessage="1" sqref="L2" xr:uid="{FBE0DCED-6315-4C1C-8620-EB5175680055}">
      <formula1>19</formula1>
      <formula2>26</formula2>
    </dataValidation>
  </dataValidations>
  <hyperlinks>
    <hyperlink ref="A1:A2" location="Menu!A1" display="Back to Menu" xr:uid="{F7D9C0B4-71B2-42D0-A762-7906102EC0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A3FA-F582-4657-8750-7D687CC72A9C}">
  <sheetPr codeName="Sheet9"/>
  <dimension ref="A1:L39"/>
  <sheetViews>
    <sheetView workbookViewId="0">
      <selection activeCell="N4" sqref="N4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253</v>
      </c>
      <c r="K2" s="4" t="s">
        <v>9</v>
      </c>
      <c r="L2" s="4">
        <v>24.3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19.600000000000001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63.7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30.5</v>
      </c>
    </row>
    <row r="6" spans="1:12" x14ac:dyDescent="0.3">
      <c r="A6" s="3" t="s">
        <v>218</v>
      </c>
      <c r="B6" s="48" t="s">
        <v>18</v>
      </c>
      <c r="C6" s="48"/>
      <c r="D6" s="48"/>
      <c r="E6" s="4" t="s">
        <v>248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64.599999999999994</v>
      </c>
    </row>
    <row r="7" spans="1:12" x14ac:dyDescent="0.3">
      <c r="A7" s="2"/>
      <c r="B7" s="52" t="s">
        <v>21</v>
      </c>
      <c r="C7" s="52"/>
      <c r="D7" s="52"/>
      <c r="E7" s="1" t="s">
        <v>248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257</v>
      </c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242.9</v>
      </c>
    </row>
    <row r="9" spans="1:12" x14ac:dyDescent="0.3">
      <c r="A9" s="2" t="s">
        <v>224</v>
      </c>
      <c r="B9" s="52" t="s">
        <v>20</v>
      </c>
      <c r="C9" s="52"/>
      <c r="D9" s="52"/>
      <c r="E9" s="1" t="s">
        <v>248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122.7</v>
      </c>
    </row>
    <row r="10" spans="1:12" x14ac:dyDescent="0.3">
      <c r="A10" s="3" t="s">
        <v>199</v>
      </c>
      <c r="B10" s="48" t="s">
        <v>24</v>
      </c>
      <c r="C10" s="48"/>
      <c r="D10" s="48"/>
      <c r="E10" s="8" t="s">
        <v>248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8.5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248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248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189</v>
      </c>
      <c r="B13" s="52" t="s">
        <v>26</v>
      </c>
      <c r="C13" s="52"/>
      <c r="D13" s="52"/>
      <c r="E13" s="1" t="s">
        <v>248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59</v>
      </c>
      <c r="B14" s="48" t="s">
        <v>27</v>
      </c>
      <c r="C14" s="48"/>
      <c r="D14" s="48"/>
      <c r="E14" s="4" t="s">
        <v>248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 t="s">
        <v>248</v>
      </c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248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97</v>
      </c>
      <c r="B17" s="52" t="s">
        <v>22</v>
      </c>
      <c r="C17" s="52"/>
      <c r="D17" s="52"/>
      <c r="E17" s="1" t="s">
        <v>248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 t="s">
        <v>248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254</v>
      </c>
      <c r="B19" s="52" t="s">
        <v>30</v>
      </c>
      <c r="C19" s="52"/>
      <c r="D19" s="52"/>
      <c r="E19" s="1" t="s">
        <v>248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 t="s">
        <v>248</v>
      </c>
      <c r="F20" s="4"/>
      <c r="G20" s="4"/>
      <c r="H20" s="14"/>
    </row>
    <row r="21" spans="1:10" x14ac:dyDescent="0.3">
      <c r="A21" s="2" t="s">
        <v>202</v>
      </c>
      <c r="B21" s="52" t="s">
        <v>33</v>
      </c>
      <c r="C21" s="52"/>
      <c r="D21" s="52"/>
      <c r="E21" s="9" t="s">
        <v>248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 t="s">
        <v>248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255</v>
      </c>
      <c r="B23" s="52" t="s">
        <v>50</v>
      </c>
      <c r="C23" s="52"/>
      <c r="D23" s="52"/>
      <c r="E23" s="1" t="s">
        <v>248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 t="s">
        <v>248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 t="s">
        <v>248</v>
      </c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">
        <v>248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55" priority="1" operator="equal">
      <formula>"Returned"</formula>
    </cfRule>
    <cfRule type="cellIs" dxfId="54" priority="4" operator="equal">
      <formula>"Ready To Order"</formula>
    </cfRule>
    <cfRule type="containsText" dxfId="53" priority="5" operator="containsText" text="UNP">
      <formula>NOT(ISERROR(SEARCH("UNP",G6)))</formula>
    </cfRule>
    <cfRule type="containsText" dxfId="52" priority="6" operator="containsText" text="Ordered">
      <formula>NOT(ISERROR(SEARCH("Ordered",G6)))</formula>
    </cfRule>
    <cfRule type="containsText" dxfId="51" priority="7" operator="containsText" text="Pick Up">
      <formula>NOT(ISERROR(SEARCH("Pick Up",G6)))</formula>
    </cfRule>
    <cfRule type="containsText" dxfId="50" priority="8" operator="containsText" text="Complete">
      <formula>NOT(ISERROR(SEARCH("Complete",G6)))</formula>
    </cfRule>
  </conditionalFormatting>
  <conditionalFormatting sqref="G30:G33">
    <cfRule type="containsText" dxfId="49" priority="3" operator="containsText" text="Given">
      <formula>NOT(ISERROR(SEARCH("Given",G30)))</formula>
    </cfRule>
  </conditionalFormatting>
  <conditionalFormatting sqref="G30:G34">
    <cfRule type="containsText" dxfId="4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EF9D3747-2777-4AD5-B6E7-517750A37C0F}">
      <formula1>"--,Returned, Given"</formula1>
    </dataValidation>
    <dataValidation type="list" allowBlank="1" showInputMessage="1" showErrorMessage="1" sqref="G6:G26" xr:uid="{920443EA-FEB1-464D-A4C3-5210C4E15479}">
      <formula1>"UNP, Ready To Order, Ordered, Pick Up, Complete, Returned"</formula1>
    </dataValidation>
    <dataValidation type="decimal" allowBlank="1" showInputMessage="1" showErrorMessage="1" sqref="L2" xr:uid="{6AAFEF96-1234-4864-AF7A-E61D92E099C4}">
      <formula1>19</formula1>
      <formula2>26</formula2>
    </dataValidation>
  </dataValidations>
  <hyperlinks>
    <hyperlink ref="A1:A2" location="Menu!A1" display="Back to Menu" xr:uid="{26894974-DFB7-4BC2-A0AA-501D46CA433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0D0C-30E4-4DB5-A9C7-B56D30C40B61}">
  <sheetPr codeName="Sheet10"/>
  <dimension ref="A1:L43"/>
  <sheetViews>
    <sheetView workbookViewId="0">
      <selection activeCell="L6" sqref="L6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258</v>
      </c>
      <c r="K2" s="4" t="s">
        <v>9</v>
      </c>
      <c r="L2" s="4">
        <v>23.5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16.399999999999999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90</v>
      </c>
      <c r="K4" s="4" t="s">
        <v>12</v>
      </c>
      <c r="L4" s="4">
        <v>53.2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38.4</v>
      </c>
    </row>
    <row r="6" spans="1:12" x14ac:dyDescent="0.3">
      <c r="A6" s="3" t="s">
        <v>259</v>
      </c>
      <c r="B6" s="48" t="s">
        <v>18</v>
      </c>
      <c r="C6" s="48"/>
      <c r="D6" s="48"/>
      <c r="E6" s="4" t="s">
        <v>248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67.2</v>
      </c>
    </row>
    <row r="7" spans="1:12" x14ac:dyDescent="0.3">
      <c r="A7" s="2" t="s">
        <v>260</v>
      </c>
      <c r="B7" s="52" t="s">
        <v>21</v>
      </c>
      <c r="C7" s="52"/>
      <c r="D7" s="52"/>
      <c r="E7" s="1" t="s">
        <v>248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60.1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327</v>
      </c>
    </row>
    <row r="9" spans="1:12" x14ac:dyDescent="0.3">
      <c r="A9" s="2"/>
      <c r="B9" s="52" t="s">
        <v>20</v>
      </c>
      <c r="C9" s="52"/>
      <c r="D9" s="52"/>
      <c r="E9" s="1" t="s">
        <v>248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114</v>
      </c>
    </row>
    <row r="10" spans="1:12" x14ac:dyDescent="0.3">
      <c r="A10" s="3" t="s">
        <v>234</v>
      </c>
      <c r="B10" s="48" t="s">
        <v>24</v>
      </c>
      <c r="C10" s="48"/>
      <c r="D10" s="48"/>
      <c r="E10" s="8">
        <v>7.5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9.5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248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114</v>
      </c>
      <c r="B12" s="48" t="s">
        <v>25</v>
      </c>
      <c r="C12" s="48"/>
      <c r="D12" s="48"/>
      <c r="E12" s="4" t="s">
        <v>113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248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134</v>
      </c>
      <c r="B14" s="48" t="s">
        <v>27</v>
      </c>
      <c r="C14" s="48"/>
      <c r="D14" s="48"/>
      <c r="E14" s="4" t="s">
        <v>248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 t="s">
        <v>248</v>
      </c>
      <c r="F15" s="16"/>
      <c r="G15" s="4"/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248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235</v>
      </c>
      <c r="B17" s="52" t="s">
        <v>22</v>
      </c>
      <c r="C17" s="52"/>
      <c r="D17" s="52"/>
      <c r="E17" s="1" t="s">
        <v>248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 t="s">
        <v>248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76</v>
      </c>
      <c r="B19" s="52" t="s">
        <v>30</v>
      </c>
      <c r="C19" s="52"/>
      <c r="D19" s="52"/>
      <c r="E19" s="1" t="s">
        <v>248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 t="s">
        <v>248</v>
      </c>
      <c r="F20" s="4"/>
      <c r="G20" s="4"/>
      <c r="H20" s="14"/>
    </row>
    <row r="21" spans="1:10" x14ac:dyDescent="0.3">
      <c r="A21" s="2" t="s">
        <v>237</v>
      </c>
      <c r="B21" s="52" t="s">
        <v>33</v>
      </c>
      <c r="C21" s="52"/>
      <c r="D21" s="52"/>
      <c r="E21" s="9">
        <v>7.5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 t="s">
        <v>248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261</v>
      </c>
      <c r="B23" s="52" t="s">
        <v>50</v>
      </c>
      <c r="C23" s="52"/>
      <c r="D23" s="52"/>
      <c r="E23" s="1">
        <v>6738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 t="s">
        <v>248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 t="s">
        <v>248</v>
      </c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">
        <v>248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262</v>
      </c>
      <c r="D39" s="47"/>
    </row>
    <row r="40" spans="1:8" x14ac:dyDescent="0.3">
      <c r="A40" s="46">
        <v>45287</v>
      </c>
      <c r="B40" s="47" t="s">
        <v>24</v>
      </c>
      <c r="C40" s="47">
        <v>23</v>
      </c>
      <c r="D40" s="47">
        <v>7.5</v>
      </c>
    </row>
    <row r="41" spans="1:8" x14ac:dyDescent="0.3">
      <c r="A41" s="46">
        <v>45287</v>
      </c>
      <c r="B41" s="47" t="s">
        <v>25</v>
      </c>
      <c r="C41" s="47">
        <v>234</v>
      </c>
      <c r="D41" s="47" t="s">
        <v>113</v>
      </c>
    </row>
    <row r="42" spans="1:8" x14ac:dyDescent="0.3">
      <c r="A42" s="46">
        <v>45287</v>
      </c>
      <c r="B42" s="47" t="s">
        <v>33</v>
      </c>
      <c r="C42" s="47" t="s">
        <v>263</v>
      </c>
      <c r="D42" s="47">
        <v>7.5</v>
      </c>
    </row>
    <row r="43" spans="1:8" x14ac:dyDescent="0.3">
      <c r="A43" s="46">
        <v>45287</v>
      </c>
      <c r="B43" s="47" t="s">
        <v>50</v>
      </c>
      <c r="C43" s="47">
        <v>2354326</v>
      </c>
      <c r="D43" s="47">
        <v>6738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47" priority="1" operator="equal">
      <formula>"Returned"</formula>
    </cfRule>
    <cfRule type="cellIs" dxfId="46" priority="4" operator="equal">
      <formula>"Ready To Order"</formula>
    </cfRule>
    <cfRule type="containsText" dxfId="45" priority="5" operator="containsText" text="UNP">
      <formula>NOT(ISERROR(SEARCH("UNP",G6)))</formula>
    </cfRule>
    <cfRule type="containsText" dxfId="44" priority="6" operator="containsText" text="Ordered">
      <formula>NOT(ISERROR(SEARCH("Ordered",G6)))</formula>
    </cfRule>
    <cfRule type="containsText" dxfId="43" priority="7" operator="containsText" text="Pick Up">
      <formula>NOT(ISERROR(SEARCH("Pick Up",G6)))</formula>
    </cfRule>
    <cfRule type="containsText" dxfId="42" priority="8" operator="containsText" text="Complete">
      <formula>NOT(ISERROR(SEARCH("Complete",G6)))</formula>
    </cfRule>
  </conditionalFormatting>
  <conditionalFormatting sqref="G30:G33">
    <cfRule type="containsText" dxfId="41" priority="3" operator="containsText" text="Given">
      <formula>NOT(ISERROR(SEARCH("Given",G30)))</formula>
    </cfRule>
  </conditionalFormatting>
  <conditionalFormatting sqref="G30:G34">
    <cfRule type="containsText" dxfId="40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A0B88E8C-791C-4265-AA43-1BBA253ACAAE}">
      <formula1>"--,Returned, Given"</formula1>
    </dataValidation>
    <dataValidation type="list" allowBlank="1" showInputMessage="1" showErrorMessage="1" sqref="G6:G26" xr:uid="{30C471B0-CB34-4201-AD83-8FF4895D8043}">
      <formula1>"UNP, Ready To Order, Ordered, Pick Up, Complete, Returned"</formula1>
    </dataValidation>
    <dataValidation type="decimal" allowBlank="1" showInputMessage="1" showErrorMessage="1" sqref="L2" xr:uid="{3F464815-BAA1-4B05-9CB3-5A2780F5D570}">
      <formula1>19</formula1>
      <formula2>26</formula2>
    </dataValidation>
  </dataValidations>
  <hyperlinks>
    <hyperlink ref="A1:A2" location="Menu!A1" display="Back to Menu" xr:uid="{85C49AD3-9D42-4DA5-B64B-14D08FBA3923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7633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4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5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6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009E-5E89-4C70-9881-110CDFFAA9C7}">
  <sheetPr codeName="Sheet13"/>
  <dimension ref="A1:L38"/>
  <sheetViews>
    <sheetView workbookViewId="0">
      <selection activeCell="L27" sqref="L27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264</v>
      </c>
      <c r="K2" s="4" t="s">
        <v>9</v>
      </c>
      <c r="L2" s="4">
        <v>22.4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19.7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90</v>
      </c>
      <c r="K4" s="4" t="s">
        <v>12</v>
      </c>
      <c r="L4" s="4">
        <v>30.8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/>
      <c r="B6" s="48" t="s">
        <v>18</v>
      </c>
      <c r="C6" s="48"/>
      <c r="D6" s="48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317.3</v>
      </c>
    </row>
    <row r="9" spans="1:12" x14ac:dyDescent="0.3">
      <c r="A9" s="2"/>
      <c r="B9" s="52" t="s">
        <v>20</v>
      </c>
      <c r="C9" s="52"/>
      <c r="D9" s="52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48" t="s">
        <v>24</v>
      </c>
      <c r="C10" s="48"/>
      <c r="D10" s="48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x14ac:dyDescent="0.3">
      <c r="A11" s="2"/>
      <c r="B11" s="52" t="s">
        <v>23</v>
      </c>
      <c r="C11" s="52"/>
      <c r="D11" s="52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/>
      <c r="B13" s="52" t="s">
        <v>26</v>
      </c>
      <c r="C13" s="52"/>
      <c r="D13" s="52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/>
      <c r="B14" s="48" t="s">
        <v>27</v>
      </c>
      <c r="C14" s="48"/>
      <c r="D14" s="48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/>
      <c r="F15" s="16"/>
      <c r="G15" s="4"/>
      <c r="H15" s="14"/>
    </row>
    <row r="16" spans="1:12" x14ac:dyDescent="0.3">
      <c r="A16" s="5"/>
      <c r="B16" s="48" t="s">
        <v>28</v>
      </c>
      <c r="C16" s="48"/>
      <c r="D16" s="48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/>
      <c r="B17" s="52" t="s">
        <v>22</v>
      </c>
      <c r="C17" s="52"/>
      <c r="D17" s="52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/>
      <c r="B19" s="52" t="s">
        <v>30</v>
      </c>
      <c r="C19" s="52"/>
      <c r="D19" s="52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/>
      <c r="B21" s="52" t="s">
        <v>33</v>
      </c>
      <c r="C21" s="52"/>
      <c r="D21" s="52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tr">
        <f>C2</f>
        <v>ignoroff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9" priority="1" operator="equal">
      <formula>"Returned"</formula>
    </cfRule>
    <cfRule type="cellIs" dxfId="38" priority="4" operator="equal">
      <formula>"Ready To Order"</formula>
    </cfRule>
    <cfRule type="containsText" dxfId="37" priority="5" operator="containsText" text="UNP">
      <formula>NOT(ISERROR(SEARCH("UNP",G6)))</formula>
    </cfRule>
    <cfRule type="containsText" dxfId="36" priority="6" operator="containsText" text="Ordered">
      <formula>NOT(ISERROR(SEARCH("Ordered",G6)))</formula>
    </cfRule>
    <cfRule type="containsText" dxfId="35" priority="7" operator="containsText" text="Pick Up">
      <formula>NOT(ISERROR(SEARCH("Pick Up",G6)))</formula>
    </cfRule>
    <cfRule type="containsText" dxfId="34" priority="8" operator="containsText" text="Complete">
      <formula>NOT(ISERROR(SEARCH("Complete",G6)))</formula>
    </cfRule>
  </conditionalFormatting>
  <conditionalFormatting sqref="G30:G33">
    <cfRule type="containsText" dxfId="33" priority="3" operator="containsText" text="Given">
      <formula>NOT(ISERROR(SEARCH("Given",G30)))</formula>
    </cfRule>
  </conditionalFormatting>
  <conditionalFormatting sqref="G30:G34">
    <cfRule type="containsText" dxfId="32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0F094B92-6073-43D0-B162-0C05B2B322A0}">
      <formula1>"--,Returned, Given"</formula1>
    </dataValidation>
    <dataValidation type="list" allowBlank="1" showInputMessage="1" showErrorMessage="1" sqref="G6:G26" xr:uid="{72197AFC-FDF3-4168-B868-19F06C467FC1}">
      <formula1>"UNP, Ready To Order, Ordered, Pick Up, Complete, Returned"</formula1>
    </dataValidation>
    <dataValidation type="decimal" allowBlank="1" showInputMessage="1" showErrorMessage="1" sqref="L2" xr:uid="{A20BC2C8-73D9-4E73-B3EF-EC4D050CE414}">
      <formula1>19</formula1>
      <formula2>26</formula2>
    </dataValidation>
  </dataValidations>
  <hyperlinks>
    <hyperlink ref="A1:A2" location="Menu!A1" display="Back to Menu" xr:uid="{D70E8CDA-8F35-4E73-AC04-2F8B9F53F75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9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0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DB7B-473E-44A5-BA3F-B0BD15375C6D}">
  <sheetPr codeName="Sheet14"/>
  <dimension ref="A1:L39"/>
  <sheetViews>
    <sheetView workbookViewId="0">
      <selection activeCell="I24" sqref="I24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265</v>
      </c>
      <c r="K2" s="4" t="s">
        <v>9</v>
      </c>
      <c r="L2" s="4">
        <v>22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50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53.2</v>
      </c>
    </row>
    <row r="6" spans="1:12" x14ac:dyDescent="0.3">
      <c r="A6" s="3" t="s">
        <v>153</v>
      </c>
      <c r="B6" s="48" t="s">
        <v>18</v>
      </c>
      <c r="C6" s="48"/>
      <c r="D6" s="48"/>
      <c r="E6" s="4">
        <v>7050</v>
      </c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>
        <v>46.1</v>
      </c>
    </row>
    <row r="7" spans="1:12" x14ac:dyDescent="0.3">
      <c r="A7" s="2" t="s">
        <v>241</v>
      </c>
      <c r="B7" s="52" t="s">
        <v>21</v>
      </c>
      <c r="C7" s="52"/>
      <c r="D7" s="52"/>
      <c r="E7" s="1" t="s">
        <v>240</v>
      </c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>
        <v>59.2</v>
      </c>
    </row>
    <row r="8" spans="1:12" x14ac:dyDescent="0.3">
      <c r="A8" s="3" t="s">
        <v>157</v>
      </c>
      <c r="B8" s="48" t="s">
        <v>19</v>
      </c>
      <c r="C8" s="48"/>
      <c r="D8" s="48"/>
      <c r="E8" s="4" t="s">
        <v>156</v>
      </c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292.3</v>
      </c>
    </row>
    <row r="9" spans="1:12" x14ac:dyDescent="0.3">
      <c r="A9" s="2" t="s">
        <v>208</v>
      </c>
      <c r="B9" s="52" t="s">
        <v>20</v>
      </c>
      <c r="C9" s="52"/>
      <c r="D9" s="52"/>
      <c r="E9" s="1">
        <v>6454</v>
      </c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>
        <v>112.9</v>
      </c>
    </row>
    <row r="10" spans="1:12" x14ac:dyDescent="0.3">
      <c r="A10" s="3" t="s">
        <v>266</v>
      </c>
      <c r="B10" s="48" t="s">
        <v>24</v>
      </c>
      <c r="C10" s="48"/>
      <c r="D10" s="48"/>
      <c r="E10" s="8">
        <v>7</v>
      </c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>
        <v>7.5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 t="s">
        <v>178</v>
      </c>
      <c r="B12" s="48" t="s">
        <v>25</v>
      </c>
      <c r="C12" s="48"/>
      <c r="D12" s="48"/>
      <c r="E12" s="4" t="s">
        <v>177</v>
      </c>
      <c r="F12" s="4">
        <v>1</v>
      </c>
      <c r="G12" s="4" t="s">
        <v>47</v>
      </c>
      <c r="H12" s="28" t="str">
        <f>HYPERLINK("#G12",CHAR(128))</f>
        <v>€</v>
      </c>
    </row>
    <row r="13" spans="1:12" x14ac:dyDescent="0.3">
      <c r="A13" s="2" t="s">
        <v>55</v>
      </c>
      <c r="B13" s="52" t="s">
        <v>26</v>
      </c>
      <c r="C13" s="52"/>
      <c r="D13" s="52"/>
      <c r="E13" s="1" t="s">
        <v>46</v>
      </c>
      <c r="F13" s="16">
        <v>1</v>
      </c>
      <c r="G13" s="4" t="s">
        <v>47</v>
      </c>
      <c r="H13" s="28" t="str">
        <f>HYPERLINK("#G13",CHAR(128))</f>
        <v>€</v>
      </c>
    </row>
    <row r="14" spans="1:12" x14ac:dyDescent="0.3">
      <c r="A14" s="5" t="s">
        <v>268</v>
      </c>
      <c r="B14" s="48" t="s">
        <v>27</v>
      </c>
      <c r="C14" s="48"/>
      <c r="D14" s="48"/>
      <c r="E14" s="4" t="s">
        <v>267</v>
      </c>
      <c r="F14" s="4">
        <v>1</v>
      </c>
      <c r="G14" s="4" t="s">
        <v>47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 t="s">
        <v>248</v>
      </c>
      <c r="F15" s="16"/>
      <c r="G15" s="4" t="s">
        <v>270</v>
      </c>
      <c r="H15" s="14"/>
    </row>
    <row r="16" spans="1:12" x14ac:dyDescent="0.3">
      <c r="A16" s="5" t="s">
        <v>48</v>
      </c>
      <c r="B16" s="48" t="s">
        <v>28</v>
      </c>
      <c r="C16" s="48"/>
      <c r="D16" s="48"/>
      <c r="E16" s="4" t="s">
        <v>54</v>
      </c>
      <c r="F16" s="4">
        <v>1</v>
      </c>
      <c r="G16" s="4" t="s">
        <v>47</v>
      </c>
      <c r="H16" s="23" t="str">
        <f>HYPERLINK("#G16",CHAR(128))</f>
        <v>€</v>
      </c>
    </row>
    <row r="17" spans="1:10" x14ac:dyDescent="0.3">
      <c r="A17" s="2" t="s">
        <v>212</v>
      </c>
      <c r="B17" s="52" t="s">
        <v>22</v>
      </c>
      <c r="C17" s="52"/>
      <c r="D17" s="52"/>
      <c r="E17" s="1" t="s">
        <v>108</v>
      </c>
      <c r="F17" s="16">
        <v>1</v>
      </c>
      <c r="G17" s="4" t="s">
        <v>47</v>
      </c>
      <c r="H17" s="23" t="str">
        <f>HYPERLINK("#G17",CHAR(128))</f>
        <v>€</v>
      </c>
    </row>
    <row r="18" spans="1:10" x14ac:dyDescent="0.3">
      <c r="A18" s="5" t="s">
        <v>166</v>
      </c>
      <c r="B18" s="48" t="s">
        <v>29</v>
      </c>
      <c r="C18" s="48"/>
      <c r="D18" s="48"/>
      <c r="E18" s="4">
        <v>7652</v>
      </c>
      <c r="F18" s="4">
        <v>1</v>
      </c>
      <c r="G18" s="4" t="s">
        <v>47</v>
      </c>
      <c r="H18" s="23" t="str">
        <f>HYPERLINK("#G18",CHAR(128))</f>
        <v>€</v>
      </c>
    </row>
    <row r="19" spans="1:10" x14ac:dyDescent="0.3">
      <c r="A19" s="2" t="s">
        <v>100</v>
      </c>
      <c r="B19" s="52" t="s">
        <v>30</v>
      </c>
      <c r="C19" s="52"/>
      <c r="D19" s="52"/>
      <c r="E19" s="1" t="s">
        <v>99</v>
      </c>
      <c r="F19" s="16">
        <v>1</v>
      </c>
      <c r="G19" s="4" t="s">
        <v>47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 t="s">
        <v>248</v>
      </c>
      <c r="F20" s="4"/>
      <c r="G20" s="4" t="s">
        <v>270</v>
      </c>
      <c r="H20" s="14"/>
    </row>
    <row r="21" spans="1:10" x14ac:dyDescent="0.3">
      <c r="A21" s="2" t="s">
        <v>269</v>
      </c>
      <c r="B21" s="52" t="s">
        <v>33</v>
      </c>
      <c r="C21" s="52"/>
      <c r="D21" s="52"/>
      <c r="E21" s="9">
        <v>7</v>
      </c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 t="s">
        <v>168</v>
      </c>
      <c r="B22" s="48" t="s">
        <v>31</v>
      </c>
      <c r="C22" s="48"/>
      <c r="D22" s="48"/>
      <c r="E22" s="4">
        <v>7052</v>
      </c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 t="s">
        <v>122</v>
      </c>
      <c r="B24" s="48" t="s">
        <v>32</v>
      </c>
      <c r="C24" s="48"/>
      <c r="D24" s="48"/>
      <c r="E24" s="4" t="s">
        <v>121</v>
      </c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31" priority="1" operator="equal">
      <formula>"Returned"</formula>
    </cfRule>
    <cfRule type="cellIs" dxfId="30" priority="4" operator="equal">
      <formula>"Ready To Order"</formula>
    </cfRule>
    <cfRule type="containsText" dxfId="29" priority="5" operator="containsText" text="UNP">
      <formula>NOT(ISERROR(SEARCH("UNP",G6)))</formula>
    </cfRule>
    <cfRule type="containsText" dxfId="28" priority="6" operator="containsText" text="Ordered">
      <formula>NOT(ISERROR(SEARCH("Ordered",G6)))</formula>
    </cfRule>
    <cfRule type="containsText" dxfId="27" priority="7" operator="containsText" text="Pick Up">
      <formula>NOT(ISERROR(SEARCH("Pick Up",G6)))</formula>
    </cfRule>
    <cfRule type="containsText" dxfId="26" priority="8" operator="containsText" text="Complete">
      <formula>NOT(ISERROR(SEARCH("Complete",G6)))</formula>
    </cfRule>
  </conditionalFormatting>
  <conditionalFormatting sqref="G30:G33">
    <cfRule type="containsText" dxfId="25" priority="3" operator="containsText" text="Given">
      <formula>NOT(ISERROR(SEARCH("Given",G30)))</formula>
    </cfRule>
  </conditionalFormatting>
  <conditionalFormatting sqref="G30:G34">
    <cfRule type="containsText" dxfId="24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649C208A-F629-4350-9438-12237AFFED84}">
      <formula1>"--,Returned, Given"</formula1>
    </dataValidation>
    <dataValidation type="list" allowBlank="1" showInputMessage="1" showErrorMessage="1" sqref="G6:G26" xr:uid="{2647E4DA-71A8-42CF-98D5-890AAFE3315B}">
      <formula1>"UNP, Ready To Order, Ordered, Pick Up, Complete, Returned"</formula1>
    </dataValidation>
    <dataValidation type="decimal" allowBlank="1" showInputMessage="1" showErrorMessage="1" sqref="L2" xr:uid="{3EB7EB0B-B423-45DE-A2AA-EBB7212C1AE5}">
      <formula1>19</formula1>
      <formula2>26</formula2>
    </dataValidation>
  </dataValidations>
  <hyperlinks>
    <hyperlink ref="A1:A2" location="Menu!A1" display="Back to Menu" xr:uid="{8988102C-92D0-4166-99E6-717E41BBBBC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3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4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5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2895-6ED6-459E-BBB4-5DEA2B24FF6E}">
  <sheetPr codeName="Sheet15"/>
  <dimension ref="A1:L39"/>
  <sheetViews>
    <sheetView workbookViewId="0">
      <selection activeCell="K8" sqref="K8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271</v>
      </c>
      <c r="K2" s="4" t="s">
        <v>9</v>
      </c>
      <c r="L2" s="4">
        <v>19.2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44</v>
      </c>
      <c r="K4" s="4" t="s">
        <v>12</v>
      </c>
      <c r="L4" s="4">
        <v>57.8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43.9</v>
      </c>
    </row>
    <row r="6" spans="1:12" x14ac:dyDescent="0.3">
      <c r="A6" s="3"/>
      <c r="B6" s="48" t="s">
        <v>18</v>
      </c>
      <c r="C6" s="48"/>
      <c r="D6" s="48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38.9</v>
      </c>
    </row>
    <row r="7" spans="1:12" x14ac:dyDescent="0.3">
      <c r="A7" s="2"/>
      <c r="B7" s="52" t="s">
        <v>21</v>
      </c>
      <c r="C7" s="52"/>
      <c r="D7" s="52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73.8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282.60000000000002</v>
      </c>
    </row>
    <row r="9" spans="1:12" x14ac:dyDescent="0.3">
      <c r="A9" s="2"/>
      <c r="B9" s="52" t="s">
        <v>20</v>
      </c>
      <c r="C9" s="52"/>
      <c r="D9" s="52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128.5</v>
      </c>
    </row>
    <row r="10" spans="1:12" x14ac:dyDescent="0.3">
      <c r="A10" s="3"/>
      <c r="B10" s="48" t="s">
        <v>24</v>
      </c>
      <c r="C10" s="48"/>
      <c r="D10" s="48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7.7</v>
      </c>
    </row>
    <row r="11" spans="1:12" x14ac:dyDescent="0.3">
      <c r="A11" s="2"/>
      <c r="B11" s="52" t="s">
        <v>23</v>
      </c>
      <c r="C11" s="52"/>
      <c r="D11" s="52"/>
      <c r="E11" s="1" t="s">
        <v>248</v>
      </c>
      <c r="F11" s="16">
        <v>1</v>
      </c>
      <c r="G11" s="4" t="s">
        <v>270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2" t="s">
        <v>26</v>
      </c>
      <c r="C13" s="52"/>
      <c r="D13" s="52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48" t="s">
        <v>27</v>
      </c>
      <c r="C14" s="48"/>
      <c r="D14" s="48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48" t="s">
        <v>28</v>
      </c>
      <c r="C16" s="48"/>
      <c r="D16" s="48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2" t="s">
        <v>22</v>
      </c>
      <c r="C17" s="52"/>
      <c r="D17" s="52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2" t="s">
        <v>30</v>
      </c>
      <c r="C19" s="52"/>
      <c r="D19" s="52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2" t="s">
        <v>33</v>
      </c>
      <c r="C21" s="52"/>
      <c r="D21" s="52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 t="s">
        <v>248</v>
      </c>
      <c r="F22" s="4">
        <v>1</v>
      </c>
      <c r="G22" s="4" t="s">
        <v>270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 t="s">
        <v>248</v>
      </c>
      <c r="F23" s="16">
        <v>1</v>
      </c>
      <c r="G23" s="4" t="s">
        <v>270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/>
      <c r="D39" s="47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23" priority="1" operator="equal">
      <formula>"Returned"</formula>
    </cfRule>
    <cfRule type="cellIs" dxfId="22" priority="4" operator="equal">
      <formula>"Ready To Order"</formula>
    </cfRule>
    <cfRule type="containsText" dxfId="21" priority="5" operator="containsText" text="UNP">
      <formula>NOT(ISERROR(SEARCH("UNP",G6)))</formula>
    </cfRule>
    <cfRule type="containsText" dxfId="20" priority="6" operator="containsText" text="Ordered">
      <formula>NOT(ISERROR(SEARCH("Ordered",G6)))</formula>
    </cfRule>
    <cfRule type="containsText" dxfId="19" priority="7" operator="containsText" text="Pick Up">
      <formula>NOT(ISERROR(SEARCH("Pick Up",G6)))</formula>
    </cfRule>
    <cfRule type="containsText" dxfId="18" priority="8" operator="containsText" text="Complete">
      <formula>NOT(ISERROR(SEARCH("Complete",G6)))</formula>
    </cfRule>
  </conditionalFormatting>
  <conditionalFormatting sqref="G30:G33">
    <cfRule type="containsText" dxfId="17" priority="3" operator="containsText" text="Given">
      <formula>NOT(ISERROR(SEARCH("Given",G30)))</formula>
    </cfRule>
  </conditionalFormatting>
  <conditionalFormatting sqref="G30:G34">
    <cfRule type="containsText" dxfId="16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B9D45BB2-EB26-4002-AB57-A833317DDAED}">
      <formula1>"--,Returned, Given"</formula1>
    </dataValidation>
    <dataValidation type="list" allowBlank="1" showInputMessage="1" showErrorMessage="1" sqref="G6:G26" xr:uid="{64371942-F4A4-4563-A363-1A115232BF8F}">
      <formula1>"UNP, Ready To Order, Ordered, Pick Up, Complete, Returned"</formula1>
    </dataValidation>
    <dataValidation type="decimal" allowBlank="1" showInputMessage="1" showErrorMessage="1" sqref="L2" xr:uid="{9C38EEF9-E689-47C0-A0D2-A6D2E576B168}">
      <formula1>19</formula1>
      <formula2>26</formula2>
    </dataValidation>
  </dataValidations>
  <hyperlinks>
    <hyperlink ref="A1:A2" location="Menu!A1" display="Back to Menu" xr:uid="{4066CAFF-7490-4D96-9FA6-DE840BAEF4D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0705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6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7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8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0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B928F-BA80-46A7-83CB-4BA10DD72CD3}">
  <sheetPr codeName="Sheet16"/>
  <dimension ref="A1:L42"/>
  <sheetViews>
    <sheetView tabSelected="1" workbookViewId="0">
      <selection activeCell="E44" sqref="E44"/>
    </sheetView>
  </sheetViews>
  <sheetFormatPr defaultRowHeight="14.4" x14ac:dyDescent="0.3"/>
  <cols>
    <col min="1" max="1" width="18.6640625" customWidth="1"/>
    <col min="3" max="3" width="9.44140625" customWidth="1"/>
    <col min="4" max="4" width="10.777343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x14ac:dyDescent="0.3">
      <c r="A2" s="50"/>
      <c r="B2" s="2" t="s">
        <v>182</v>
      </c>
      <c r="C2" s="52" t="s">
        <v>183</v>
      </c>
      <c r="D2" s="52"/>
      <c r="E2" s="52" t="s">
        <v>184</v>
      </c>
      <c r="F2" s="52"/>
      <c r="G2" s="1" t="s">
        <v>272</v>
      </c>
      <c r="K2" s="4" t="s">
        <v>9</v>
      </c>
      <c r="L2" s="4">
        <v>0</v>
      </c>
    </row>
    <row r="3" spans="1:12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>
        <v>17.5</v>
      </c>
    </row>
    <row r="4" spans="1:12" x14ac:dyDescent="0.3">
      <c r="A4" s="1" t="s">
        <v>39</v>
      </c>
      <c r="B4" s="56"/>
      <c r="C4" s="56"/>
      <c r="D4" s="56"/>
      <c r="E4" s="52"/>
      <c r="F4" s="52"/>
      <c r="G4" s="1" t="s">
        <v>90</v>
      </c>
      <c r="K4" s="4" t="s">
        <v>12</v>
      </c>
      <c r="L4" s="4">
        <v>63</v>
      </c>
    </row>
    <row r="5" spans="1:12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>
        <v>39.299999999999997</v>
      </c>
    </row>
    <row r="6" spans="1:12" x14ac:dyDescent="0.3">
      <c r="A6" s="3"/>
      <c r="B6" s="48" t="s">
        <v>18</v>
      </c>
      <c r="C6" s="48"/>
      <c r="D6" s="48"/>
      <c r="E6" s="4" t="s">
        <v>248</v>
      </c>
      <c r="F6" s="4">
        <v>1</v>
      </c>
      <c r="G6" s="25" t="s">
        <v>270</v>
      </c>
      <c r="H6" s="28" t="str">
        <f>HYPERLINK("#G6",CHAR(128))</f>
        <v>€</v>
      </c>
      <c r="K6" s="4" t="s">
        <v>14</v>
      </c>
      <c r="L6" s="4">
        <v>0</v>
      </c>
    </row>
    <row r="7" spans="1:12" x14ac:dyDescent="0.3">
      <c r="A7" s="2"/>
      <c r="B7" s="52" t="s">
        <v>21</v>
      </c>
      <c r="C7" s="52"/>
      <c r="D7" s="52"/>
      <c r="E7" s="1" t="s">
        <v>248</v>
      </c>
      <c r="F7" s="16">
        <v>1</v>
      </c>
      <c r="G7" s="4" t="s">
        <v>270</v>
      </c>
      <c r="H7" s="28" t="str">
        <f>HYPERLINK("#G7",CHAR(128))</f>
        <v>€</v>
      </c>
      <c r="K7" s="1" t="s">
        <v>15</v>
      </c>
      <c r="L7" s="1">
        <v>58.7</v>
      </c>
    </row>
    <row r="8" spans="1:12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>
        <v>0</v>
      </c>
    </row>
    <row r="9" spans="1:12" x14ac:dyDescent="0.3">
      <c r="A9" s="2"/>
      <c r="B9" s="52" t="s">
        <v>20</v>
      </c>
      <c r="C9" s="52"/>
      <c r="D9" s="52"/>
      <c r="E9" s="1" t="s">
        <v>248</v>
      </c>
      <c r="F9" s="16">
        <v>1</v>
      </c>
      <c r="G9" s="4" t="s">
        <v>270</v>
      </c>
      <c r="H9" s="28" t="str">
        <f>HYPERLINK("#G9",CHAR(128))</f>
        <v>€</v>
      </c>
      <c r="I9" s="11"/>
      <c r="K9" s="1" t="s">
        <v>17</v>
      </c>
      <c r="L9" s="1">
        <v>0</v>
      </c>
    </row>
    <row r="10" spans="1:12" x14ac:dyDescent="0.3">
      <c r="A10" s="3"/>
      <c r="B10" s="48" t="s">
        <v>24</v>
      </c>
      <c r="C10" s="48"/>
      <c r="D10" s="48"/>
      <c r="E10" s="8" t="s">
        <v>248</v>
      </c>
      <c r="F10" s="4">
        <v>1</v>
      </c>
      <c r="G10" s="4" t="s">
        <v>270</v>
      </c>
      <c r="H10" s="28" t="str">
        <f>HYPERLINK("#G10",CHAR(128))</f>
        <v>€</v>
      </c>
      <c r="K10" s="15" t="s">
        <v>49</v>
      </c>
      <c r="L10" s="15">
        <v>0</v>
      </c>
    </row>
    <row r="11" spans="1:12" x14ac:dyDescent="0.3">
      <c r="A11" s="2" t="s">
        <v>96</v>
      </c>
      <c r="B11" s="52" t="s">
        <v>23</v>
      </c>
      <c r="C11" s="52"/>
      <c r="D11" s="52"/>
      <c r="E11" s="1" t="s">
        <v>95</v>
      </c>
      <c r="F11" s="16">
        <v>1</v>
      </c>
      <c r="G11" s="4" t="s">
        <v>47</v>
      </c>
      <c r="H11" s="28" t="str">
        <f>HYPERLINK("#G11",CHAR(128))</f>
        <v>€</v>
      </c>
    </row>
    <row r="12" spans="1:12" x14ac:dyDescent="0.3">
      <c r="A12" s="5"/>
      <c r="B12" s="48" t="s">
        <v>25</v>
      </c>
      <c r="C12" s="48"/>
      <c r="D12" s="48"/>
      <c r="E12" s="4" t="s">
        <v>248</v>
      </c>
      <c r="F12" s="4">
        <v>1</v>
      </c>
      <c r="G12" s="4" t="s">
        <v>270</v>
      </c>
      <c r="H12" s="28" t="str">
        <f>HYPERLINK("#G12",CHAR(128))</f>
        <v>€</v>
      </c>
    </row>
    <row r="13" spans="1:12" x14ac:dyDescent="0.3">
      <c r="A13" s="2"/>
      <c r="B13" s="52" t="s">
        <v>26</v>
      </c>
      <c r="C13" s="52"/>
      <c r="D13" s="52"/>
      <c r="E13" s="1" t="s">
        <v>248</v>
      </c>
      <c r="F13" s="16">
        <v>1</v>
      </c>
      <c r="G13" s="4" t="s">
        <v>270</v>
      </c>
      <c r="H13" s="28" t="str">
        <f>HYPERLINK("#G13",CHAR(128))</f>
        <v>€</v>
      </c>
    </row>
    <row r="14" spans="1:12" x14ac:dyDescent="0.3">
      <c r="A14" s="5"/>
      <c r="B14" s="48" t="s">
        <v>27</v>
      </c>
      <c r="C14" s="48"/>
      <c r="D14" s="48"/>
      <c r="E14" s="4" t="s">
        <v>248</v>
      </c>
      <c r="F14" s="4">
        <v>1</v>
      </c>
      <c r="G14" s="4" t="s">
        <v>270</v>
      </c>
      <c r="H14" s="28" t="str">
        <f>HYPERLINK("#G14",CHAR(128))</f>
        <v>€</v>
      </c>
    </row>
    <row r="15" spans="1:12" x14ac:dyDescent="0.3">
      <c r="A15" s="2"/>
      <c r="B15" s="60"/>
      <c r="C15" s="60"/>
      <c r="D15" s="60"/>
      <c r="E15" s="1" t="s">
        <v>248</v>
      </c>
      <c r="F15" s="16"/>
      <c r="G15" s="4" t="s">
        <v>270</v>
      </c>
      <c r="H15" s="14"/>
    </row>
    <row r="16" spans="1:12" x14ac:dyDescent="0.3">
      <c r="A16" s="5"/>
      <c r="B16" s="48" t="s">
        <v>28</v>
      </c>
      <c r="C16" s="48"/>
      <c r="D16" s="48"/>
      <c r="E16" s="4" t="s">
        <v>248</v>
      </c>
      <c r="F16" s="4">
        <v>1</v>
      </c>
      <c r="G16" s="4" t="s">
        <v>270</v>
      </c>
      <c r="H16" s="23" t="str">
        <f>HYPERLINK("#G16",CHAR(128))</f>
        <v>€</v>
      </c>
    </row>
    <row r="17" spans="1:10" x14ac:dyDescent="0.3">
      <c r="A17" s="2"/>
      <c r="B17" s="52" t="s">
        <v>22</v>
      </c>
      <c r="C17" s="52"/>
      <c r="D17" s="52"/>
      <c r="E17" s="1" t="s">
        <v>248</v>
      </c>
      <c r="F17" s="16">
        <v>1</v>
      </c>
      <c r="G17" s="4" t="s">
        <v>270</v>
      </c>
      <c r="H17" s="23" t="str">
        <f>HYPERLINK("#G17",CHAR(128))</f>
        <v>€</v>
      </c>
    </row>
    <row r="18" spans="1:10" x14ac:dyDescent="0.3">
      <c r="A18" s="5"/>
      <c r="B18" s="48" t="s">
        <v>29</v>
      </c>
      <c r="C18" s="48"/>
      <c r="D18" s="48"/>
      <c r="E18" s="4" t="s">
        <v>248</v>
      </c>
      <c r="F18" s="4">
        <v>1</v>
      </c>
      <c r="G18" s="4" t="s">
        <v>270</v>
      </c>
      <c r="H18" s="23" t="str">
        <f>HYPERLINK("#G18",CHAR(128))</f>
        <v>€</v>
      </c>
    </row>
    <row r="19" spans="1:10" x14ac:dyDescent="0.3">
      <c r="A19" s="2"/>
      <c r="B19" s="52" t="s">
        <v>30</v>
      </c>
      <c r="C19" s="52"/>
      <c r="D19" s="52"/>
      <c r="E19" s="1" t="s">
        <v>248</v>
      </c>
      <c r="F19" s="16">
        <v>1</v>
      </c>
      <c r="G19" s="4" t="s">
        <v>270</v>
      </c>
      <c r="H19" s="23" t="str">
        <f>HYPERLINK("#G19",CHAR(128))</f>
        <v>€</v>
      </c>
    </row>
    <row r="20" spans="1:10" x14ac:dyDescent="0.3">
      <c r="A20" s="5"/>
      <c r="B20" s="57"/>
      <c r="C20" s="58"/>
      <c r="D20" s="59"/>
      <c r="E20" s="4" t="s">
        <v>248</v>
      </c>
      <c r="F20" s="4"/>
      <c r="G20" s="4" t="s">
        <v>270</v>
      </c>
      <c r="H20" s="14"/>
    </row>
    <row r="21" spans="1:10" x14ac:dyDescent="0.3">
      <c r="A21" s="2"/>
      <c r="B21" s="52" t="s">
        <v>33</v>
      </c>
      <c r="C21" s="52"/>
      <c r="D21" s="52"/>
      <c r="E21" s="9" t="s">
        <v>248</v>
      </c>
      <c r="F21" s="16">
        <v>1</v>
      </c>
      <c r="G21" s="4" t="s">
        <v>270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 t="s">
        <v>273</v>
      </c>
      <c r="B23" s="52" t="s">
        <v>50</v>
      </c>
      <c r="C23" s="52"/>
      <c r="D23" s="52"/>
      <c r="E23" s="1">
        <v>6742</v>
      </c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 t="s">
        <v>248</v>
      </c>
      <c r="F24" s="4">
        <v>1</v>
      </c>
      <c r="G24" s="4" t="s">
        <v>270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 t="s">
        <v>248</v>
      </c>
      <c r="F25" s="16"/>
      <c r="G25" s="4" t="s">
        <v>270</v>
      </c>
      <c r="H25" s="14"/>
      <c r="I25" s="12"/>
    </row>
    <row r="26" spans="1:10" x14ac:dyDescent="0.3">
      <c r="A26" s="5"/>
      <c r="B26" s="48" t="s">
        <v>37</v>
      </c>
      <c r="C26" s="48"/>
      <c r="D26" s="48"/>
      <c r="E26" s="4" t="s">
        <v>248</v>
      </c>
      <c r="F26" s="4">
        <v>1</v>
      </c>
      <c r="G26" s="4" t="s">
        <v>270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65" t="s">
        <v>40</v>
      </c>
      <c r="B37" s="45" t="s">
        <v>7</v>
      </c>
      <c r="C37" s="45" t="s">
        <v>142</v>
      </c>
      <c r="D37" s="45" t="s">
        <v>143</v>
      </c>
    </row>
    <row r="38" spans="1:8" x14ac:dyDescent="0.3">
      <c r="A38" s="46"/>
      <c r="B38" s="47"/>
      <c r="C38" s="47"/>
      <c r="D38" s="47"/>
    </row>
    <row r="39" spans="1:8" x14ac:dyDescent="0.3">
      <c r="A39" s="46">
        <v>45287</v>
      </c>
      <c r="B39" s="47" t="s">
        <v>19</v>
      </c>
      <c r="C39" s="47" t="s">
        <v>256</v>
      </c>
      <c r="D39" s="47"/>
    </row>
    <row r="40" spans="1:8" x14ac:dyDescent="0.3">
      <c r="A40" s="46">
        <v>45287</v>
      </c>
      <c r="B40" s="47" t="s">
        <v>23</v>
      </c>
      <c r="C40" s="47" t="s">
        <v>256</v>
      </c>
      <c r="D40" s="47" t="s">
        <v>95</v>
      </c>
    </row>
    <row r="41" spans="1:8" x14ac:dyDescent="0.3">
      <c r="A41" s="46">
        <v>45287</v>
      </c>
      <c r="B41" s="47" t="s">
        <v>31</v>
      </c>
      <c r="C41" s="47" t="s">
        <v>256</v>
      </c>
      <c r="D41" s="47"/>
    </row>
    <row r="42" spans="1:8" x14ac:dyDescent="0.3">
      <c r="A42" s="46">
        <v>45287</v>
      </c>
      <c r="B42" s="47" t="s">
        <v>50</v>
      </c>
      <c r="C42" s="47" t="s">
        <v>256</v>
      </c>
      <c r="D42" s="47">
        <v>6742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26">
    <cfRule type="cellIs" dxfId="15" priority="1" operator="equal">
      <formula>"Returned"</formula>
    </cfRule>
    <cfRule type="cellIs" dxfId="14" priority="4" operator="equal">
      <formula>"Ready To Order"</formula>
    </cfRule>
    <cfRule type="containsText" dxfId="13" priority="5" operator="containsText" text="UNP">
      <formula>NOT(ISERROR(SEARCH("UNP",G6)))</formula>
    </cfRule>
    <cfRule type="containsText" dxfId="12" priority="6" operator="containsText" text="Ordered">
      <formula>NOT(ISERROR(SEARCH("Ordered",G6)))</formula>
    </cfRule>
    <cfRule type="containsText" dxfId="11" priority="7" operator="containsText" text="Pick Up">
      <formula>NOT(ISERROR(SEARCH("Pick Up",G6)))</formula>
    </cfRule>
    <cfRule type="containsText" dxfId="10" priority="8" operator="containsText" text="Complete">
      <formula>NOT(ISERROR(SEARCH("Complete",G6)))</formula>
    </cfRule>
  </conditionalFormatting>
  <conditionalFormatting sqref="G30:G33">
    <cfRule type="containsText" dxfId="9" priority="3" operator="containsText" text="Given">
      <formula>NOT(ISERROR(SEARCH("Given",G30)))</formula>
    </cfRule>
  </conditionalFormatting>
  <conditionalFormatting sqref="G30:G34">
    <cfRule type="containsText" dxfId="8" priority="2" operator="containsText" text="Returned">
      <formula>NOT(ISERROR(SEARCH("Returned",G30)))</formula>
    </cfRule>
  </conditionalFormatting>
  <dataValidations count="3">
    <dataValidation type="list" allowBlank="1" showInputMessage="1" showErrorMessage="1" sqref="G30:G34" xr:uid="{44F3AD4D-8DE2-42DF-954D-CA803EFD8A96}">
      <formula1>"--,Returned, Given"</formula1>
    </dataValidation>
    <dataValidation type="list" allowBlank="1" showInputMessage="1" showErrorMessage="1" sqref="G6:G26" xr:uid="{79BF3DB8-D024-42D0-AE72-34018CF0D822}">
      <formula1>"UNP, Ready To Order, Ordered, Pick Up, Complete, Returned"</formula1>
    </dataValidation>
    <dataValidation type="decimal" allowBlank="1" showInputMessage="1" showErrorMessage="1" sqref="L2" xr:uid="{974FBBFB-0490-4BC7-8E9C-D39B8B078D70}">
      <formula1>19</formula1>
      <formula2>26</formula2>
    </dataValidation>
  </dataValidations>
  <hyperlinks>
    <hyperlink ref="A1:A2" location="Menu!A1" display="Back to Menu" xr:uid="{B49FFB58-B03E-4881-ABD0-45FF2D2E33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1729" r:id="rId3" name="Button 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0" r:id="rId4" name="Button 2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1" r:id="rId5" name="Button 3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2" r:id="rId6" name="Button 4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3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39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2" max="2" width="9.88671875" customWidth="1"/>
    <col min="3" max="3" width="11.4414062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5" customHeight="1" x14ac:dyDescent="0.3">
      <c r="A1" s="49" t="s">
        <v>42</v>
      </c>
      <c r="B1" s="20" t="s">
        <v>3</v>
      </c>
      <c r="C1" s="51" t="s">
        <v>0</v>
      </c>
      <c r="D1" s="51"/>
      <c r="E1" s="51" t="s">
        <v>2</v>
      </c>
      <c r="F1" s="51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50"/>
      <c r="B2" s="2"/>
      <c r="C2" s="52"/>
      <c r="D2" s="52"/>
      <c r="E2" s="52"/>
      <c r="F2" s="52"/>
      <c r="G2" s="1"/>
      <c r="K2" s="4" t="s">
        <v>9</v>
      </c>
      <c r="L2" s="4"/>
    </row>
    <row r="3" spans="1:12" ht="17.25" customHeight="1" x14ac:dyDescent="0.3">
      <c r="A3" s="20" t="s">
        <v>1</v>
      </c>
      <c r="B3" s="53" t="s">
        <v>4</v>
      </c>
      <c r="C3" s="54"/>
      <c r="D3" s="55"/>
      <c r="E3" s="53" t="s">
        <v>51</v>
      </c>
      <c r="F3" s="55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56"/>
      <c r="C4" s="56"/>
      <c r="D4" s="56"/>
      <c r="E4" s="52"/>
      <c r="F4" s="52"/>
      <c r="G4" s="1"/>
      <c r="K4" s="4" t="s">
        <v>12</v>
      </c>
      <c r="L4" s="4"/>
    </row>
    <row r="5" spans="1:12" ht="17.25" customHeight="1" x14ac:dyDescent="0.3">
      <c r="A5" s="20" t="s">
        <v>6</v>
      </c>
      <c r="B5" s="51" t="s">
        <v>7</v>
      </c>
      <c r="C5" s="51"/>
      <c r="D5" s="51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48" t="s">
        <v>18</v>
      </c>
      <c r="C6" s="48"/>
      <c r="D6" s="48"/>
      <c r="E6" s="4"/>
      <c r="F6" s="4">
        <v>1</v>
      </c>
      <c r="G6" s="25" t="s">
        <v>47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52" t="s">
        <v>21</v>
      </c>
      <c r="C7" s="52"/>
      <c r="D7" s="52"/>
      <c r="E7" s="1"/>
      <c r="F7" s="16">
        <v>1</v>
      </c>
      <c r="G7" s="4" t="s">
        <v>47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48" t="s">
        <v>19</v>
      </c>
      <c r="C8" s="48"/>
      <c r="D8" s="48"/>
      <c r="E8" s="4"/>
      <c r="F8" s="4">
        <v>1</v>
      </c>
      <c r="G8" s="4" t="s">
        <v>47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52" t="s">
        <v>20</v>
      </c>
      <c r="C9" s="52"/>
      <c r="D9" s="52"/>
      <c r="E9" s="1"/>
      <c r="F9" s="16">
        <v>1</v>
      </c>
      <c r="G9" s="4" t="s">
        <v>47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48" t="s">
        <v>24</v>
      </c>
      <c r="C10" s="48"/>
      <c r="D10" s="48"/>
      <c r="E10" s="8"/>
      <c r="F10" s="4">
        <v>1</v>
      </c>
      <c r="G10" s="4" t="s">
        <v>47</v>
      </c>
      <c r="H10" s="28" t="str">
        <f>HYPERLINK("#G10",CHAR(128))</f>
        <v>€</v>
      </c>
      <c r="K10" s="15" t="s">
        <v>49</v>
      </c>
      <c r="L10" s="15"/>
    </row>
    <row r="11" spans="1:12" ht="17.25" customHeight="1" x14ac:dyDescent="0.3">
      <c r="A11" s="2"/>
      <c r="B11" s="52" t="s">
        <v>23</v>
      </c>
      <c r="C11" s="52"/>
      <c r="D11" s="52"/>
      <c r="E11" s="1"/>
      <c r="F11" s="16">
        <v>1</v>
      </c>
      <c r="G11" s="4" t="s">
        <v>47</v>
      </c>
      <c r="H11" s="28" t="str">
        <f>HYPERLINK("#G11",CHAR(128))</f>
        <v>€</v>
      </c>
    </row>
    <row r="12" spans="1:12" ht="17.25" customHeight="1" x14ac:dyDescent="0.3">
      <c r="A12" s="5"/>
      <c r="B12" s="48" t="s">
        <v>25</v>
      </c>
      <c r="C12" s="48"/>
      <c r="D12" s="48"/>
      <c r="E12" s="4"/>
      <c r="F12" s="4">
        <v>1</v>
      </c>
      <c r="G12" s="4" t="s">
        <v>47</v>
      </c>
      <c r="H12" s="28" t="str">
        <f>HYPERLINK("#G12",CHAR(128))</f>
        <v>€</v>
      </c>
    </row>
    <row r="13" spans="1:12" ht="17.25" customHeight="1" x14ac:dyDescent="0.3">
      <c r="A13" s="2"/>
      <c r="B13" s="52" t="s">
        <v>26</v>
      </c>
      <c r="C13" s="52"/>
      <c r="D13" s="52"/>
      <c r="E13" s="1"/>
      <c r="F13" s="16">
        <v>1</v>
      </c>
      <c r="G13" s="4" t="s">
        <v>47</v>
      </c>
      <c r="H13" s="28" t="str">
        <f>HYPERLINK("#G13",CHAR(128))</f>
        <v>€</v>
      </c>
    </row>
    <row r="14" spans="1:12" ht="17.25" customHeight="1" x14ac:dyDescent="0.3">
      <c r="A14" s="5"/>
      <c r="B14" s="48" t="s">
        <v>27</v>
      </c>
      <c r="C14" s="48"/>
      <c r="D14" s="48"/>
      <c r="E14" s="4"/>
      <c r="F14" s="4">
        <v>1</v>
      </c>
      <c r="G14" s="4" t="s">
        <v>47</v>
      </c>
      <c r="H14" s="28" t="str">
        <f>HYPERLINK("#G14",CHAR(128))</f>
        <v>€</v>
      </c>
    </row>
    <row r="15" spans="1:12" ht="17.25" customHeight="1" x14ac:dyDescent="0.3">
      <c r="A15" s="2"/>
      <c r="B15" s="60"/>
      <c r="C15" s="60"/>
      <c r="D15" s="60"/>
      <c r="E15" s="1"/>
      <c r="F15" s="16"/>
      <c r="G15" s="4"/>
      <c r="H15" s="14"/>
    </row>
    <row r="16" spans="1:12" ht="17.25" customHeight="1" x14ac:dyDescent="0.3">
      <c r="A16" s="5"/>
      <c r="B16" s="48" t="s">
        <v>28</v>
      </c>
      <c r="C16" s="48"/>
      <c r="D16" s="48"/>
      <c r="E16" s="4"/>
      <c r="F16" s="4">
        <v>1</v>
      </c>
      <c r="G16" s="4" t="s">
        <v>47</v>
      </c>
      <c r="H16" s="23" t="str">
        <f>HYPERLINK("#G16",CHAR(128))</f>
        <v>€</v>
      </c>
    </row>
    <row r="17" spans="1:10" ht="17.25" customHeight="1" x14ac:dyDescent="0.3">
      <c r="A17" s="2"/>
      <c r="B17" s="52" t="s">
        <v>22</v>
      </c>
      <c r="C17" s="52"/>
      <c r="D17" s="52"/>
      <c r="E17" s="1"/>
      <c r="F17" s="16">
        <v>1</v>
      </c>
      <c r="G17" s="4" t="s">
        <v>47</v>
      </c>
      <c r="H17" s="23" t="str">
        <f>HYPERLINK("#G17",CHAR(128))</f>
        <v>€</v>
      </c>
    </row>
    <row r="18" spans="1:10" ht="17.25" customHeight="1" x14ac:dyDescent="0.3">
      <c r="A18" s="5"/>
      <c r="B18" s="48" t="s">
        <v>29</v>
      </c>
      <c r="C18" s="48"/>
      <c r="D18" s="48"/>
      <c r="E18" s="4"/>
      <c r="F18" s="4">
        <v>1</v>
      </c>
      <c r="G18" s="4" t="s">
        <v>47</v>
      </c>
      <c r="H18" s="23" t="str">
        <f>HYPERLINK("#G18",CHAR(128))</f>
        <v>€</v>
      </c>
    </row>
    <row r="19" spans="1:10" ht="17.25" customHeight="1" x14ac:dyDescent="0.3">
      <c r="A19" s="2"/>
      <c r="B19" s="52" t="s">
        <v>30</v>
      </c>
      <c r="C19" s="52"/>
      <c r="D19" s="52"/>
      <c r="E19" s="1"/>
      <c r="F19" s="16">
        <v>1</v>
      </c>
      <c r="G19" s="4" t="s">
        <v>47</v>
      </c>
      <c r="H19" s="23" t="str">
        <f>HYPERLINK("#G19",CHAR(128))</f>
        <v>€</v>
      </c>
    </row>
    <row r="20" spans="1:10" ht="17.25" customHeight="1" x14ac:dyDescent="0.3">
      <c r="A20" s="5"/>
      <c r="B20" s="57"/>
      <c r="C20" s="58"/>
      <c r="D20" s="59"/>
      <c r="E20" s="4"/>
      <c r="F20" s="4"/>
      <c r="G20" s="4"/>
      <c r="H20" s="14"/>
    </row>
    <row r="21" spans="1:10" x14ac:dyDescent="0.3">
      <c r="A21" s="2"/>
      <c r="B21" s="52" t="s">
        <v>33</v>
      </c>
      <c r="C21" s="52"/>
      <c r="D21" s="52"/>
      <c r="E21" s="9"/>
      <c r="F21" s="16">
        <v>1</v>
      </c>
      <c r="G21" s="4" t="s">
        <v>47</v>
      </c>
      <c r="H21" s="23" t="str">
        <f>HYPERLINK("#G21",CHAR(128))</f>
        <v>€</v>
      </c>
    </row>
    <row r="22" spans="1:10" x14ac:dyDescent="0.3">
      <c r="A22" s="5"/>
      <c r="B22" s="48" t="s">
        <v>31</v>
      </c>
      <c r="C22" s="48"/>
      <c r="D22" s="48"/>
      <c r="E22" s="4"/>
      <c r="F22" s="4">
        <v>1</v>
      </c>
      <c r="G22" s="4" t="s">
        <v>47</v>
      </c>
      <c r="H22" s="23" t="str">
        <f>HYPERLINK("#G22",CHAR(128))</f>
        <v>€</v>
      </c>
    </row>
    <row r="23" spans="1:10" x14ac:dyDescent="0.3">
      <c r="A23" s="2"/>
      <c r="B23" s="52" t="s">
        <v>50</v>
      </c>
      <c r="C23" s="52"/>
      <c r="D23" s="52"/>
      <c r="E23" s="1"/>
      <c r="F23" s="16">
        <v>1</v>
      </c>
      <c r="G23" s="4" t="s">
        <v>47</v>
      </c>
      <c r="H23" s="22" t="str">
        <f>HYPERLINK("#G23",CHAR(128))</f>
        <v>€</v>
      </c>
    </row>
    <row r="24" spans="1:10" x14ac:dyDescent="0.3">
      <c r="A24" s="5"/>
      <c r="B24" s="48" t="s">
        <v>32</v>
      </c>
      <c r="C24" s="48"/>
      <c r="D24" s="48"/>
      <c r="E24" s="4"/>
      <c r="F24" s="4">
        <v>1</v>
      </c>
      <c r="G24" s="4" t="s">
        <v>47</v>
      </c>
      <c r="H24" s="22" t="str">
        <f>HYPERLINK("#G24",CHAR(128))</f>
        <v>€</v>
      </c>
    </row>
    <row r="25" spans="1:10" x14ac:dyDescent="0.3">
      <c r="A25" s="2"/>
      <c r="B25" s="52"/>
      <c r="C25" s="52"/>
      <c r="D25" s="52"/>
      <c r="E25" s="1"/>
      <c r="F25" s="16"/>
      <c r="G25" s="4"/>
      <c r="H25" s="14"/>
      <c r="I25" s="12"/>
    </row>
    <row r="26" spans="1:10" x14ac:dyDescent="0.3">
      <c r="A26" s="5"/>
      <c r="B26" s="48" t="s">
        <v>37</v>
      </c>
      <c r="C26" s="48"/>
      <c r="D26" s="48"/>
      <c r="E26" s="4">
        <f>C2</f>
        <v>0</v>
      </c>
      <c r="F26" s="4">
        <v>1</v>
      </c>
      <c r="G26" s="4" t="s">
        <v>47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1" t="s">
        <v>52</v>
      </c>
      <c r="C29" s="51"/>
      <c r="D29" s="51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8"/>
      <c r="C30" s="48"/>
      <c r="D30" s="48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2"/>
      <c r="C31" s="52"/>
      <c r="D31" s="52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8"/>
      <c r="C32" s="48"/>
      <c r="D32" s="48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2"/>
      <c r="C33" s="52"/>
      <c r="D33" s="52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8"/>
      <c r="C34" s="48"/>
      <c r="D34" s="48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39" t="s">
        <v>40</v>
      </c>
      <c r="B37" s="39" t="s">
        <v>7</v>
      </c>
      <c r="C37" s="39" t="s">
        <v>142</v>
      </c>
      <c r="D37" s="40" t="s">
        <v>143</v>
      </c>
    </row>
    <row r="38" spans="1:8" x14ac:dyDescent="0.3">
      <c r="A38" s="41"/>
      <c r="B38" s="42"/>
      <c r="C38" s="42"/>
      <c r="D38" s="43"/>
    </row>
    <row r="39" spans="1:8" x14ac:dyDescent="0.3">
      <c r="B39" t="s">
        <v>150</v>
      </c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26">
    <cfRule type="cellIs" dxfId="7" priority="1" operator="equal">
      <formula>"Returned"</formula>
    </cfRule>
    <cfRule type="cellIs" dxfId="6" priority="11" operator="equal">
      <formula>"Ready To Order"</formula>
    </cfRule>
    <cfRule type="containsText" dxfId="5" priority="12" operator="containsText" text="UNP">
      <formula>NOT(ISERROR(SEARCH("UNP",G6)))</formula>
    </cfRule>
    <cfRule type="containsText" dxfId="4" priority="13" operator="containsText" text="Ordered">
      <formula>NOT(ISERROR(SEARCH("Ordered",G6)))</formula>
    </cfRule>
    <cfRule type="containsText" dxfId="3" priority="14" operator="containsText" text="Pick Up">
      <formula>NOT(ISERROR(SEARCH("Pick Up",G6)))</formula>
    </cfRule>
    <cfRule type="containsText" dxfId="2" priority="15" operator="containsText" text="Complete">
      <formula>NOT(ISERROR(SEARCH("Complete",G6)))</formula>
    </cfRule>
  </conditionalFormatting>
  <conditionalFormatting sqref="G30:G33">
    <cfRule type="containsText" dxfId="1" priority="3" operator="containsText" text="Given">
      <formula>NOT(ISERROR(SEARCH("Given",G30)))</formula>
    </cfRule>
  </conditionalFormatting>
  <conditionalFormatting sqref="G30:G34">
    <cfRule type="containsText" dxfId="0" priority="2" operator="containsText" text="Returned">
      <formula>NOT(ISERROR(SEARCH("Returned",G30)))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0" r:id="rId3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4" name="Button 5">
              <controlPr defaultSize="0" print="0" autoFill="0" autoPict="0" macro="[0]!Resize">
                <anchor moveWithCells="1" sizeWithCells="1">
                  <from>
                    <xdr:col>10</xdr:col>
                    <xdr:colOff>7620</xdr:colOff>
                    <xdr:row>10</xdr:row>
                    <xdr:rowOff>198120</xdr:rowOff>
                  </from>
                  <to>
                    <xdr:col>12</xdr:col>
                    <xdr:colOff>7620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5" name="Button 6">
              <controlPr defaultSize="0" print="0" autoFill="0" autoPict="0" macro="[0]!ExchangeButton">
                <anchor moveWithCells="1" sizeWithCells="1">
                  <from>
                    <xdr:col>9</xdr:col>
                    <xdr:colOff>601980</xdr:colOff>
                    <xdr:row>12</xdr:row>
                    <xdr:rowOff>198120</xdr:rowOff>
                  </from>
                  <to>
                    <xdr:col>11</xdr:col>
                    <xdr:colOff>891540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6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601980</xdr:colOff>
                    <xdr:row>14</xdr:row>
                    <xdr:rowOff>198120</xdr:rowOff>
                  </from>
                  <to>
                    <xdr:col>12</xdr:col>
                    <xdr:colOff>22860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7" name="Button 10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Importing</vt:lpstr>
      <vt:lpstr>Pickup</vt:lpstr>
      <vt:lpstr>Henry_Smith_AB6D98A0</vt:lpstr>
      <vt:lpstr>Alice_Robinson_AB7A73BD</vt:lpstr>
      <vt:lpstr>Liam_Robinson_FD0E829E</vt:lpstr>
      <vt:lpstr>Taylor_White_0556E08D</vt:lpstr>
      <vt:lpstr>Frank_Smith_31E069A4</vt:lpstr>
      <vt:lpstr>john_ignoroff_C7A2769D</vt:lpstr>
      <vt:lpstr>john_ignoroff_1D355686</vt:lpstr>
      <vt:lpstr>john_ignoroff_C4E96CB0</vt:lpstr>
      <vt:lpstr>john_ignoroff_9B2E219D</vt:lpstr>
      <vt:lpstr>john_ignoroff_5C972395</vt:lpstr>
      <vt:lpstr>john_ignoroff_8D968394</vt:lpstr>
      <vt:lpstr>john_ignoroff_7F96D6BA</vt:lpstr>
      <vt:lpstr>john_ignoroff_FF2E6C92</vt:lpstr>
      <vt:lpstr>john_ignoroff_7CBC2586</vt:lpstr>
      <vt:lpstr>john_ignoroff_866290B1</vt:lpstr>
      <vt:lpstr>john_ignoroff_BE04ABB9</vt:lpstr>
      <vt:lpstr>john_ignoroff_40CB8D97</vt:lpstr>
      <vt:lpstr>john_ignoroff_905DDC88</vt:lpstr>
      <vt:lpstr>john_ignoroff_FA33A295</vt:lpstr>
      <vt:lpstr>john_ignoroff_7B31F9B8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dcterms:created xsi:type="dcterms:W3CDTF">2023-08-20T19:28:09Z</dcterms:created>
  <dcterms:modified xsi:type="dcterms:W3CDTF">2023-12-27T22:23:13Z</dcterms:modified>
</cp:coreProperties>
</file>