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Ma\Desktop\projects\SupplyExcel\"/>
    </mc:Choice>
  </mc:AlternateContent>
  <xr:revisionPtr revIDLastSave="0" documentId="13_ncr:1_{B14917A1-D169-4CCD-A3AB-1A7D49D28144}" xr6:coauthVersionLast="47" xr6:coauthVersionMax="47" xr10:uidLastSave="{00000000-0000-0000-0000-000000000000}"/>
  <bookViews>
    <workbookView xWindow="-118" yWindow="-118" windowWidth="33749" windowHeight="18471" tabRatio="856" activeTab="11" xr2:uid="{01218C0E-FF84-42AC-8993-DD76AC11461D}"/>
  </bookViews>
  <sheets>
    <sheet name="Menu" sheetId="48" r:id="rId1"/>
    <sheet name="Importing" sheetId="124" r:id="rId2"/>
    <sheet name="Pickup" sheetId="181" r:id="rId3"/>
    <sheet name="Master" sheetId="227" r:id="rId4"/>
    <sheet name="Import Sheets" sheetId="248" r:id="rId5"/>
    <sheet name="Charlie_Clark_74CD899D" sheetId="246" r:id="rId6"/>
    <sheet name="Isabella_Taylor_D098F288" sheetId="247" r:id="rId7"/>
    <sheet name="Banks_Rob_B4DD32A8" sheetId="249" r:id="rId8"/>
    <sheet name="Rophone_Mike_747A9E83" sheetId="250" r:id="rId9"/>
    <sheet name="Christ_Jesus_87519091" sheetId="251" r:id="rId10"/>
    <sheet name="Rhea_Dia_A5D0E0B7" sheetId="252" r:id="rId11"/>
    <sheet name="Isabella_Jones_36E7E7BB" sheetId="253" r:id="rId12"/>
    <sheet name="Template" sheetId="1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53" l="1"/>
  <c r="H33" i="253"/>
  <c r="H32" i="253"/>
  <c r="H31" i="253"/>
  <c r="H30" i="253"/>
  <c r="H26" i="253"/>
  <c r="E26" i="253"/>
  <c r="H24" i="253"/>
  <c r="H23" i="253"/>
  <c r="H22" i="253"/>
  <c r="H21" i="253"/>
  <c r="H19" i="253"/>
  <c r="H18" i="253"/>
  <c r="H17" i="253"/>
  <c r="H16" i="253"/>
  <c r="H14" i="253"/>
  <c r="H13" i="253"/>
  <c r="H12" i="253"/>
  <c r="H11" i="253"/>
  <c r="H10" i="253"/>
  <c r="H9" i="253"/>
  <c r="H8" i="253"/>
  <c r="H7" i="253"/>
  <c r="H6" i="253"/>
  <c r="H34" i="252"/>
  <c r="H33" i="252"/>
  <c r="H32" i="252"/>
  <c r="H31" i="252"/>
  <c r="H30" i="252"/>
  <c r="H26" i="252"/>
  <c r="E26" i="252"/>
  <c r="H24" i="252"/>
  <c r="H23" i="252"/>
  <c r="H22" i="252"/>
  <c r="H21" i="252"/>
  <c r="H19" i="252"/>
  <c r="H18" i="252"/>
  <c r="H17" i="252"/>
  <c r="H16" i="252"/>
  <c r="H14" i="252"/>
  <c r="H13" i="252"/>
  <c r="H12" i="252"/>
  <c r="H11" i="252"/>
  <c r="H10" i="252"/>
  <c r="H9" i="252"/>
  <c r="H8" i="252"/>
  <c r="H7" i="252"/>
  <c r="H6" i="252"/>
  <c r="H34" i="251"/>
  <c r="H33" i="251"/>
  <c r="H32" i="251"/>
  <c r="H31" i="251"/>
  <c r="H30" i="251"/>
  <c r="H26" i="251"/>
  <c r="E26" i="251"/>
  <c r="H24" i="251"/>
  <c r="H23" i="251"/>
  <c r="H22" i="251"/>
  <c r="H21" i="251"/>
  <c r="H19" i="251"/>
  <c r="H18" i="251"/>
  <c r="H17" i="251"/>
  <c r="H16" i="251"/>
  <c r="H14" i="251"/>
  <c r="H13" i="251"/>
  <c r="H12" i="251"/>
  <c r="H11" i="251"/>
  <c r="H10" i="251"/>
  <c r="H9" i="251"/>
  <c r="H8" i="251"/>
  <c r="H7" i="251"/>
  <c r="H6" i="251"/>
  <c r="H34" i="250"/>
  <c r="H33" i="250"/>
  <c r="H32" i="250"/>
  <c r="H31" i="250"/>
  <c r="H30" i="250"/>
  <c r="H26" i="250"/>
  <c r="E26" i="250"/>
  <c r="H24" i="250"/>
  <c r="H23" i="250"/>
  <c r="H22" i="250"/>
  <c r="H21" i="250"/>
  <c r="H19" i="250"/>
  <c r="H18" i="250"/>
  <c r="H17" i="250"/>
  <c r="H16" i="250"/>
  <c r="H14" i="250"/>
  <c r="H13" i="250"/>
  <c r="H12" i="250"/>
  <c r="H11" i="250"/>
  <c r="H10" i="250"/>
  <c r="H9" i="250"/>
  <c r="H8" i="250"/>
  <c r="H7" i="250"/>
  <c r="H6" i="250"/>
  <c r="H34" i="249"/>
  <c r="H33" i="249"/>
  <c r="H32" i="249"/>
  <c r="H31" i="249"/>
  <c r="H30" i="249"/>
  <c r="H26" i="249"/>
  <c r="E26" i="249"/>
  <c r="H24" i="249"/>
  <c r="H23" i="249"/>
  <c r="H22" i="249"/>
  <c r="H21" i="249"/>
  <c r="H19" i="249"/>
  <c r="H18" i="249"/>
  <c r="H17" i="249"/>
  <c r="H16" i="249"/>
  <c r="H14" i="249"/>
  <c r="H13" i="249"/>
  <c r="H12" i="249"/>
  <c r="H11" i="249"/>
  <c r="H10" i="249"/>
  <c r="H9" i="249"/>
  <c r="H8" i="249"/>
  <c r="H7" i="249"/>
  <c r="H6" i="249"/>
  <c r="H34" i="247" l="1"/>
  <c r="H33" i="247"/>
  <c r="H32" i="247"/>
  <c r="H31" i="247"/>
  <c r="H30" i="247"/>
  <c r="H26" i="247"/>
  <c r="E26" i="247"/>
  <c r="H24" i="247"/>
  <c r="H23" i="247"/>
  <c r="H22" i="247"/>
  <c r="H21" i="247"/>
  <c r="H19" i="247"/>
  <c r="H18" i="247"/>
  <c r="H17" i="247"/>
  <c r="H16" i="247"/>
  <c r="H14" i="247"/>
  <c r="H13" i="247"/>
  <c r="H12" i="247"/>
  <c r="H11" i="247"/>
  <c r="H10" i="247"/>
  <c r="H9" i="247"/>
  <c r="H8" i="247"/>
  <c r="H7" i="247"/>
  <c r="H6" i="247"/>
  <c r="H34" i="246"/>
  <c r="H33" i="246"/>
  <c r="H32" i="246"/>
  <c r="H31" i="246"/>
  <c r="H30" i="246"/>
  <c r="H26" i="246"/>
  <c r="E26" i="246"/>
  <c r="H24" i="246"/>
  <c r="H23" i="246"/>
  <c r="H22" i="246"/>
  <c r="H21" i="246"/>
  <c r="H19" i="246"/>
  <c r="H18" i="246"/>
  <c r="H17" i="246"/>
  <c r="H16" i="246"/>
  <c r="H14" i="246"/>
  <c r="H13" i="246"/>
  <c r="H12" i="246"/>
  <c r="H11" i="246"/>
  <c r="H10" i="246"/>
  <c r="H9" i="246"/>
  <c r="H8" i="246"/>
  <c r="H7" i="246"/>
  <c r="H6" i="246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<sst xmlns="http://schemas.openxmlformats.org/spreadsheetml/2006/main" count="1055" uniqueCount="227">
  <si>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</si>
  <si>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</si>
  <si>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</si>
  <si>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</si>
  <si>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</si>
  <si>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</si>
  <si>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</si>
  <si>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</si>
  <si>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</si>
  <si>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</si>
  <si>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</si>
  <si>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</si>
  <si>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</si>
  <si>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</si>
  <si>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</si>
  <si>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</si>
  <si>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</si>
  <si>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</si>
  <si>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</si>
  <si>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</si>
  <si>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</si>
  <si>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</si>
  <si>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</si>
  <si>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</si>
  <si>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</si>
  <si>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</si>
  <si>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</si>
  <si>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</si>
  <si>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</si>
  <si>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</si>
  <si>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</si>
  <si>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</si>
  <si>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</si>
  <si>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</si>
  <si>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</si>
  <si>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</si>
  <si>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</si>
  <si>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</si>
  <si>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</si>
  <si>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</si>
  <si>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</si>
  <si>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</si>
  <si>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</si>
  <si>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</si>
  <si>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</si>
  <si>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</si>
  <si>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8405-21-907-9466</t>
  </si>
  <si>
    <t>Hand Length</t>
  </si>
  <si>
    <t>FTU Pants</t>
  </si>
  <si>
    <t>Email</t>
  </si>
  <si>
    <t>Extra Items</t>
  </si>
  <si>
    <t>UNI</t>
  </si>
  <si>
    <t>Jesus@hotmail.com</t>
  </si>
  <si>
    <t>Last Name</t>
  </si>
  <si>
    <t>Is Male</t>
  </si>
  <si>
    <t>Hip</t>
  </si>
  <si>
    <t>Foot Len</t>
  </si>
  <si>
    <t>Foot Wid</t>
  </si>
  <si>
    <t>XXL</t>
  </si>
  <si>
    <t>Hand</t>
  </si>
  <si>
    <t>R (50 inch)</t>
  </si>
  <si>
    <t>8440-21-905-7384</t>
  </si>
  <si>
    <t>Name</t>
  </si>
  <si>
    <t>In Stock</t>
  </si>
  <si>
    <t xml:space="preserve"> </t>
  </si>
  <si>
    <t>Old Size</t>
  </si>
  <si>
    <t>New Size</t>
  </si>
  <si>
    <t>4XL</t>
  </si>
  <si>
    <t>1000-21-264-2550</t>
  </si>
  <si>
    <t>Pick Up</t>
  </si>
  <si>
    <t>XL/TG</t>
  </si>
  <si>
    <t>8440-20-006-6068</t>
  </si>
  <si>
    <t>(JR / JR)</t>
  </si>
  <si>
    <t>8415-20-006-8915</t>
  </si>
  <si>
    <t>XL (60 inch)</t>
  </si>
  <si>
    <t>8405-20-001-1049</t>
  </si>
  <si>
    <t>L</t>
  </si>
  <si>
    <t>8420-20-001-0734</t>
  </si>
  <si>
    <t>Female</t>
  </si>
  <si>
    <t>36 M</t>
  </si>
  <si>
    <t>1000-21-165-3600</t>
  </si>
  <si>
    <t>XS</t>
  </si>
  <si>
    <t>Complete</t>
  </si>
  <si>
    <t>Toggle Done</t>
  </si>
  <si>
    <t xml:space="preserve">In Stock </t>
  </si>
  <si>
    <t>Ready To Order</t>
  </si>
  <si>
    <t>Ordered</t>
  </si>
  <si>
    <t>Returned</t>
  </si>
  <si>
    <t>Leave Blank</t>
  </si>
  <si>
    <t>Leave Blank2</t>
  </si>
  <si>
    <t>Taylor</t>
  </si>
  <si>
    <t>8420-20-001-0731</t>
  </si>
  <si>
    <t>8405-20-003-5837</t>
  </si>
  <si>
    <t>320/126</t>
  </si>
  <si>
    <t>8430-20-006-2569</t>
  </si>
  <si>
    <t>8405-21-920-7275</t>
  </si>
  <si>
    <t>3XL</t>
  </si>
  <si>
    <t>1000-21-215-7662</t>
  </si>
  <si>
    <t>L (56 inch)</t>
  </si>
  <si>
    <t>8440-21-899-1182</t>
  </si>
  <si>
    <t>Column3</t>
  </si>
  <si>
    <t>NameTag</t>
  </si>
  <si>
    <t>8405-20-013-1465</t>
  </si>
  <si>
    <t>Charlie</t>
  </si>
  <si>
    <t>Not Done</t>
  </si>
  <si>
    <t>In Progress</t>
  </si>
  <si>
    <t>Done</t>
  </si>
  <si>
    <t>Name Colors:</t>
  </si>
  <si>
    <t>Clark</t>
  </si>
  <si>
    <t>74CD899D</t>
  </si>
  <si>
    <t>8405-21-910-8155</t>
  </si>
  <si>
    <t>16-1/2</t>
  </si>
  <si>
    <t>8405-20-001-4512</t>
  </si>
  <si>
    <t>1000-21-070-7058</t>
  </si>
  <si>
    <t>8405-20-004-7489</t>
  </si>
  <si>
    <t>Isabella</t>
  </si>
  <si>
    <t>D098F288</t>
  </si>
  <si>
    <t>1000-21-059-8040</t>
  </si>
  <si>
    <t>8405-21-920-7099</t>
  </si>
  <si>
    <t>8405-20-004-7500</t>
  </si>
  <si>
    <t>16D</t>
  </si>
  <si>
    <t>8430-20-A0X-9353</t>
  </si>
  <si>
    <t>Taylor, Isabella</t>
  </si>
  <si>
    <t>UNP, In Stock</t>
  </si>
  <si>
    <t>Cadet Last Name</t>
  </si>
  <si>
    <t>Cadet First Name</t>
  </si>
  <si>
    <t>Male/Female clothing type</t>
  </si>
  <si>
    <t>M Pants</t>
  </si>
  <si>
    <t>F Pants</t>
  </si>
  <si>
    <t>M Shirt</t>
  </si>
  <si>
    <t>F Shirt</t>
  </si>
  <si>
    <t>TShirt</t>
  </si>
  <si>
    <t>Pant Belt</t>
  </si>
  <si>
    <t>Boots</t>
  </si>
  <si>
    <t>FTU Shirt</t>
  </si>
  <si>
    <t>M</t>
  </si>
  <si>
    <t>Reg</t>
  </si>
  <si>
    <t>?</t>
  </si>
  <si>
    <t>Measure</t>
  </si>
  <si>
    <t>S/M</t>
  </si>
  <si>
    <t>XL</t>
  </si>
  <si>
    <t>X-Long</t>
  </si>
  <si>
    <t>L/XL</t>
  </si>
  <si>
    <t>S</t>
  </si>
  <si>
    <t>Short</t>
  </si>
  <si>
    <t>265/96</t>
  </si>
  <si>
    <t>Rob</t>
  </si>
  <si>
    <t>Banks</t>
  </si>
  <si>
    <t>Mike</t>
  </si>
  <si>
    <t>Rophone</t>
  </si>
  <si>
    <t>Jesus</t>
  </si>
  <si>
    <t>Christ</t>
  </si>
  <si>
    <t>Dia</t>
  </si>
  <si>
    <t>Rhea</t>
  </si>
  <si>
    <t>AC</t>
  </si>
  <si>
    <t>B4DD32A8</t>
  </si>
  <si>
    <t>8405-21-905-7822</t>
  </si>
  <si>
    <t>8405-20-001-4510</t>
  </si>
  <si>
    <t>8420-20-001-0730</t>
  </si>
  <si>
    <t>8405-21-909-2448</t>
  </si>
  <si>
    <t>8405-20-003-5842</t>
  </si>
  <si>
    <t>Invalid</t>
  </si>
  <si>
    <t>8405-21-920-7277</t>
  </si>
  <si>
    <t>8405-21-920-7094</t>
  </si>
  <si>
    <t>8405-20-013-1472</t>
  </si>
  <si>
    <t>8405-20-004-7486</t>
  </si>
  <si>
    <t>8405-20-004-7510</t>
  </si>
  <si>
    <t>747A9E83</t>
  </si>
  <si>
    <t>1000-21-059-8046</t>
  </si>
  <si>
    <t>8420-20-001-0732</t>
  </si>
  <si>
    <t>8405-21-909-2424</t>
  </si>
  <si>
    <t>8405-21-920-7280</t>
  </si>
  <si>
    <t>8405-21-920-7100</t>
  </si>
  <si>
    <t>8405-20-004-7502</t>
  </si>
  <si>
    <t>8405-20-004-7526</t>
  </si>
  <si>
    <t>8405-20-001-4538</t>
  </si>
  <si>
    <t>8405-21-909-2390</t>
  </si>
  <si>
    <t>8405-21-920-7092</t>
  </si>
  <si>
    <t>8405-20-004-7485</t>
  </si>
  <si>
    <t>8405-20-004-7507</t>
  </si>
  <si>
    <t>A5D0E0B7</t>
  </si>
  <si>
    <t>8405-21-905-7817</t>
  </si>
  <si>
    <t>8405-20-001-4501</t>
  </si>
  <si>
    <t>8420-20-001-0728</t>
  </si>
  <si>
    <t>8405-21-909-2441</t>
  </si>
  <si>
    <t>8440-20-006-6070</t>
  </si>
  <si>
    <t>8430-20-006-2534</t>
  </si>
  <si>
    <t>8405-21-920-7090</t>
  </si>
  <si>
    <t>8405-20-004-7483</t>
  </si>
  <si>
    <t>UNP, In Stock, Ordered</t>
  </si>
  <si>
    <t>UNP, In Stock, Pick Up, Ordered</t>
  </si>
  <si>
    <t>Dia, Rhea</t>
  </si>
  <si>
    <t>Rob, Banks</t>
  </si>
  <si>
    <t>Mike, Rophone</t>
  </si>
  <si>
    <t>6731</t>
  </si>
  <si>
    <t>13</t>
  </si>
  <si>
    <t>6432</t>
  </si>
  <si>
    <t>Invalid size</t>
  </si>
  <si>
    <t>S/P</t>
  </si>
  <si>
    <t>8440-20-006-6071</t>
  </si>
  <si>
    <t>6 3/8</t>
  </si>
  <si>
    <t xml:space="preserve">7    </t>
  </si>
  <si>
    <t>7 1/2</t>
  </si>
  <si>
    <t>8405-20-003-5846</t>
  </si>
  <si>
    <t>6 1/8</t>
  </si>
  <si>
    <t>8405-20-013-1476</t>
  </si>
  <si>
    <t>7 1/4</t>
  </si>
  <si>
    <t>8405-20-003-5844</t>
  </si>
  <si>
    <t>Jones</t>
  </si>
  <si>
    <t>36E7E7BB</t>
  </si>
  <si>
    <t>6136</t>
  </si>
  <si>
    <t>8405-20-001-4536</t>
  </si>
  <si>
    <t>28 M</t>
  </si>
  <si>
    <t>1000-21-165-2800</t>
  </si>
  <si>
    <t>6344 (H54-1/2)</t>
  </si>
  <si>
    <t>1000-21-198-6344</t>
  </si>
  <si>
    <t>REG</t>
  </si>
  <si>
    <t>8440-20-008-7936</t>
  </si>
  <si>
    <t>310/122</t>
  </si>
  <si>
    <t>8430-20-006-2568</t>
  </si>
  <si>
    <t>1000-21-264-2500</t>
  </si>
  <si>
    <t>7652</t>
  </si>
  <si>
    <t>8405-21-920-7101</t>
  </si>
  <si>
    <t>6436</t>
  </si>
  <si>
    <t>8405-20-004-7484</t>
  </si>
  <si>
    <t>6434</t>
  </si>
  <si>
    <t>8405-20-004-7508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</si>
</sst>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A3FB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C888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CFF8C"/>
        <bgColor indexed="64"/>
      </patternFill>
    </fill>
    <fill>
      <patternFill patternType="solid">
        <fgColor rgb="FFFDEA5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B0FFB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0" fillId="9" borderId="0" xfId="0" applyFill="1"/>
    <xf numFmtId="0" fontId="12" fillId="8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2" fillId="0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16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13" borderId="0" xfId="3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5" fillId="0" borderId="7" xfId="3" applyFont="1" applyBorder="1" applyAlignment="1">
      <alignment horizontal="center" vertical="center"/>
    </xf>
    <xf numFmtId="0" fontId="5" fillId="0" borderId="13" xfId="3" applyFont="1" applyBorder="1" applyAlignment="1">
      <alignment horizontal="center" vertical="center" wrapText="1"/>
    </xf>
    <xf numFmtId="165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3" xfId="3" applyFill="1" applyBorder="1" applyAlignment="1">
      <alignment horizontal="center" vertical="center"/>
    </xf>
    <xf numFmtId="0" fontId="2" fillId="0" borderId="6" xfId="3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2" fillId="0" borderId="0" xfId="3"/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vertical="center" wrapText="1"/>
    </xf>
    <xf numFmtId="0" fontId="14" fillId="0" borderId="1" xfId="0" applyFont="1" applyBorder="1" applyAlignment="1">
      <alignment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4" fillId="19" borderId="1" xfId="0" applyFont="1" applyFill="1" applyBorder="1" applyAlignment="1">
      <alignment horizontal="center" vertical="center" wrapText="1"/>
    </xf>
    <xf numFmtId="0" fontId="14" fillId="20" borderId="1" xfId="0" applyFont="1" applyFill="1" applyBorder="1" applyAlignment="1">
      <alignment horizontal="center" vertical="center" wrapText="1"/>
    </xf>
    <xf numFmtId="0" fontId="14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12" fontId="14" fillId="10" borderId="1" xfId="0" applyNumberFormat="1" applyFont="1" applyFill="1" applyBorder="1" applyAlignment="1">
      <alignment horizontal="center" vertical="center" wrapText="1"/>
    </xf>
    <xf numFmtId="0" fontId="14" fillId="15" borderId="1" xfId="0" applyFont="1" applyFill="1" applyBorder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1" xfId="2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49" fontId="0" fillId="21" borderId="0" xfId="0" applyNumberFormat="1" applyFill="1"/>
    <xf numFmtId="49" fontId="1" fillId="2" borderId="1" xfId="1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165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16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C8888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160"/>
      <tableStyleElement type="headerRow" dxfId="159"/>
      <tableStyleElement type="firstRowStripe" dxfId="158"/>
      <tableStyleElement type="secondRowStripe" dxfId="157"/>
    </tableStyle>
  </tableStyles>
  <colors>
    <mruColors>
      <color rgb="FFFC8888"/>
      <color rgb="FFFF7575"/>
      <color rgb="FFFDEA5D"/>
      <color rgb="FF8CFF8C"/>
      <color rgb="FF674EA7"/>
      <color rgb="FF00FF00"/>
      <color rgb="FFFB873F"/>
      <color rgb="FF808080"/>
      <color rgb="FF9BC2E6"/>
      <color rgb="FFFBA3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287433</xdr:colOff>
      <xdr:row>0</xdr:row>
      <xdr:rowOff>247201</xdr:rowOff>
    </xdr:from>
    <xdr:to>
      <xdr:col>7</xdr:col>
      <xdr:colOff>421342</xdr:colOff>
      <xdr:row>1</xdr:row>
      <xdr:rowOff>135031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247204</xdr:colOff>
      <xdr:row>2</xdr:row>
      <xdr:rowOff>182094</xdr:rowOff>
    </xdr:from>
    <xdr:to>
      <xdr:col>7</xdr:col>
      <xdr:colOff>435462</xdr:colOff>
      <xdr:row>4</xdr:row>
      <xdr:rowOff>17033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247202</xdr:colOff>
      <xdr:row>8</xdr:row>
      <xdr:rowOff>172118</xdr:rowOff>
    </xdr:from>
    <xdr:to>
      <xdr:col>7</xdr:col>
      <xdr:colOff>440615</xdr:colOff>
      <xdr:row>11</xdr:row>
      <xdr:rowOff>59839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62800" y="2474256"/>
          <a:ext cx="141642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247203</xdr:colOff>
      <xdr:row>5</xdr:row>
      <xdr:rowOff>149037</xdr:rowOff>
    </xdr:from>
    <xdr:to>
      <xdr:col>7</xdr:col>
      <xdr:colOff>439831</xdr:colOff>
      <xdr:row>7</xdr:row>
      <xdr:rowOff>54234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1" y="1739151"/>
          <a:ext cx="139849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168984</xdr:colOff>
      <xdr:row>0</xdr:row>
      <xdr:rowOff>93454</xdr:rowOff>
    </xdr:from>
    <xdr:to>
      <xdr:col>16</xdr:col>
      <xdr:colOff>169769</xdr:colOff>
      <xdr:row>0</xdr:row>
      <xdr:rowOff>516141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399011</xdr:colOff>
          <xdr:row>0</xdr:row>
          <xdr:rowOff>133004</xdr:rowOff>
        </xdr:from>
        <xdr:to>
          <xdr:col>16</xdr:col>
          <xdr:colOff>340822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149629</xdr:colOff>
          <xdr:row>0</xdr:row>
          <xdr:rowOff>49876</xdr:rowOff>
        </xdr:from>
        <xdr:to>
          <xdr:col>24</xdr:col>
          <xdr:colOff>532015</xdr:colOff>
          <xdr:row>0</xdr:row>
          <xdr:rowOff>440575</xdr:rowOff>
        </xdr:to>
        <xdr:sp macro="" textlink="">
          <xdr:nvSpPr>
            <xdr:cNvPr id="164002" name="Button 162" hidden="1">
              <a:extLst>
                <a:ext uri="{63B3BB69-23CF-44E3-9099-C40C66FF867C}">
                  <a14:compatExt spid="_x0000_s164002"/>
                </a:ext>
                <a:ext uri="{FF2B5EF4-FFF2-40B4-BE49-F238E27FC236}">
                  <a16:creationId xmlns:a16="http://schemas.microsoft.com/office/drawing/2014/main" id="{00000000-0008-0000-0200-0000A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24</xdr:col>
          <xdr:colOff>0</xdr:colOff>
          <xdr:row>2</xdr:row>
          <xdr:rowOff>0</xdr:rowOff>
        </xdr:to>
        <xdr:sp macro="" textlink="">
          <xdr:nvSpPr>
            <xdr:cNvPr id="164151" name="Complete1" hidden="1">
              <a:extLst>
                <a:ext uri="{63B3BB69-23CF-44E3-9099-C40C66FF867C}">
                  <a14:compatExt spid="_x0000_s164151"/>
                </a:ext>
                <a:ext uri="{FF2B5EF4-FFF2-40B4-BE49-F238E27FC236}">
                  <a16:creationId xmlns:a16="http://schemas.microsoft.com/office/drawing/2014/main" id="{C08B5114-B3EA-7B48-8DA0-AD9C30423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</xdr:row>
          <xdr:rowOff>0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164152" name="Complete2" hidden="1">
              <a:extLst>
                <a:ext uri="{63B3BB69-23CF-44E3-9099-C40C66FF867C}">
                  <a14:compatExt spid="_x0000_s164152"/>
                </a:ext>
                <a:ext uri="{FF2B5EF4-FFF2-40B4-BE49-F238E27FC236}">
                  <a16:creationId xmlns:a16="http://schemas.microsoft.com/office/drawing/2014/main" id="{C33B3366-407B-5BF8-353B-3B93955DFB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</xdr:row>
          <xdr:rowOff>0</xdr:rowOff>
        </xdr:from>
        <xdr:to>
          <xdr:col>24</xdr:col>
          <xdr:colOff>0</xdr:colOff>
          <xdr:row>4</xdr:row>
          <xdr:rowOff>0</xdr:rowOff>
        </xdr:to>
        <xdr:sp macro="" textlink="">
          <xdr:nvSpPr>
            <xdr:cNvPr id="164153" name="Complete3" hidden="1">
              <a:extLst>
                <a:ext uri="{63B3BB69-23CF-44E3-9099-C40C66FF867C}">
                  <a14:compatExt spid="_x0000_s164153"/>
                </a:ext>
                <a:ext uri="{FF2B5EF4-FFF2-40B4-BE49-F238E27FC236}">
                  <a16:creationId xmlns:a16="http://schemas.microsoft.com/office/drawing/2014/main" id="{3ED1A4EB-D062-5C5D-8610-C2E0BC1C53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4</xdr:row>
          <xdr:rowOff>0</xdr:rowOff>
        </xdr:from>
        <xdr:to>
          <xdr:col>24</xdr:col>
          <xdr:colOff>0</xdr:colOff>
          <xdr:row>5</xdr:row>
          <xdr:rowOff>0</xdr:rowOff>
        </xdr:to>
        <xdr:sp macro="" textlink="">
          <xdr:nvSpPr>
            <xdr:cNvPr id="164154" name="Complete4" hidden="1">
              <a:extLst>
                <a:ext uri="{63B3BB69-23CF-44E3-9099-C40C66FF867C}">
                  <a14:compatExt spid="_x0000_s164154"/>
                </a:ext>
                <a:ext uri="{FF2B5EF4-FFF2-40B4-BE49-F238E27FC236}">
                  <a16:creationId xmlns:a16="http://schemas.microsoft.com/office/drawing/2014/main" id="{CF69EE63-E7F5-E404-753D-C8CE112623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302559</xdr:colOff>
      <xdr:row>0</xdr:row>
      <xdr:rowOff>21739</xdr:rowOff>
    </xdr:from>
    <xdr:to>
      <xdr:col>22</xdr:col>
      <xdr:colOff>854112</xdr:colOff>
      <xdr:row>0</xdr:row>
      <xdr:rowOff>321385</xdr:rowOff>
    </xdr:to>
    <xdr:sp macro="[0]!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534465" y="17929"/>
          <a:ext cx="1275229" cy="295836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Generate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681644</xdr:colOff>
          <xdr:row>1</xdr:row>
          <xdr:rowOff>465513</xdr:rowOff>
        </xdr:from>
        <xdr:to>
          <xdr:col>22</xdr:col>
          <xdr:colOff>872836</xdr:colOff>
          <xdr:row>2</xdr:row>
          <xdr:rowOff>0</xdr:rowOff>
        </xdr:to>
        <xdr:sp macro="" textlink="">
          <xdr:nvSpPr>
            <xdr:cNvPr id="260110" name="Toggle2" hidden="1">
              <a:extLst>
                <a:ext uri="{63B3BB69-23CF-44E3-9099-C40C66FF867C}">
                  <a14:compatExt spid="_x0000_s260110"/>
                </a:ext>
                <a:ext uri="{FF2B5EF4-FFF2-40B4-BE49-F238E27FC236}">
                  <a16:creationId xmlns:a16="http://schemas.microsoft.com/office/drawing/2014/main" id="{00000000-0008-0000-0300-00000E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681644</xdr:colOff>
          <xdr:row>2</xdr:row>
          <xdr:rowOff>0</xdr:rowOff>
        </xdr:from>
        <xdr:to>
          <xdr:col>22</xdr:col>
          <xdr:colOff>872836</xdr:colOff>
          <xdr:row>3</xdr:row>
          <xdr:rowOff>0</xdr:rowOff>
        </xdr:to>
        <xdr:sp macro="" textlink="">
          <xdr:nvSpPr>
            <xdr:cNvPr id="260113" name="Toggle5" hidden="1">
              <a:extLst>
                <a:ext uri="{63B3BB69-23CF-44E3-9099-C40C66FF867C}">
                  <a14:compatExt spid="_x0000_s260113"/>
                </a:ext>
                <a:ext uri="{FF2B5EF4-FFF2-40B4-BE49-F238E27FC236}">
                  <a16:creationId xmlns:a16="http://schemas.microsoft.com/office/drawing/2014/main" id="{00000000-0008-0000-0300-000011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58049" name="Button 1" hidden="1">
              <a:extLst>
                <a:ext uri="{63B3BB69-23CF-44E3-9099-C40C66FF867C}">
                  <a14:compatExt spid="_x0000_s258049"/>
                </a:ext>
                <a:ext uri="{FF2B5EF4-FFF2-40B4-BE49-F238E27FC236}">
                  <a16:creationId xmlns:a16="http://schemas.microsoft.com/office/drawing/2014/main" id="{00000000-0008-0000-0500-000001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58050" name="Button 2" hidden="1">
              <a:extLst>
                <a:ext uri="{63B3BB69-23CF-44E3-9099-C40C66FF867C}">
                  <a14:compatExt spid="_x0000_s258050"/>
                </a:ext>
                <a:ext uri="{FF2B5EF4-FFF2-40B4-BE49-F238E27FC236}">
                  <a16:creationId xmlns:a16="http://schemas.microsoft.com/office/drawing/2014/main" id="{00000000-0008-0000-0500-000002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58051" name="Button 3" hidden="1">
              <a:extLst>
                <a:ext uri="{63B3BB69-23CF-44E3-9099-C40C66FF867C}">
                  <a14:compatExt spid="_x0000_s258051"/>
                </a:ext>
                <a:ext uri="{FF2B5EF4-FFF2-40B4-BE49-F238E27FC236}">
                  <a16:creationId xmlns:a16="http://schemas.microsoft.com/office/drawing/2014/main" id="{00000000-0008-0000-0500-000003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58052" name="Button 4" hidden="1">
              <a:extLst>
                <a:ext uri="{63B3BB69-23CF-44E3-9099-C40C66FF867C}">
                  <a14:compatExt spid="_x0000_s258052"/>
                </a:ext>
                <a:ext uri="{FF2B5EF4-FFF2-40B4-BE49-F238E27FC236}">
                  <a16:creationId xmlns:a16="http://schemas.microsoft.com/office/drawing/2014/main" id="{00000000-0008-0000-0500-000004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58053" name="Button 5" hidden="1">
              <a:extLst>
                <a:ext uri="{63B3BB69-23CF-44E3-9099-C40C66FF867C}">
                  <a14:compatExt spid="_x0000_s258053"/>
                </a:ext>
                <a:ext uri="{FF2B5EF4-FFF2-40B4-BE49-F238E27FC236}">
                  <a16:creationId xmlns:a16="http://schemas.microsoft.com/office/drawing/2014/main" id="{00000000-0008-0000-0500-000005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6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59074" name="Button 2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6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59075" name="Button 3" hidden="1">
              <a:extLst>
                <a:ext uri="{63B3BB69-23CF-44E3-9099-C40C66FF867C}">
                  <a14:compatExt spid="_x0000_s259075"/>
                </a:ext>
                <a:ext uri="{FF2B5EF4-FFF2-40B4-BE49-F238E27FC236}">
                  <a16:creationId xmlns:a16="http://schemas.microsoft.com/office/drawing/2014/main" id="{00000000-0008-0000-0600-00000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59076" name="Button 4" hidden="1">
              <a:extLst>
                <a:ext uri="{63B3BB69-23CF-44E3-9099-C40C66FF867C}">
                  <a14:compatExt spid="_x0000_s259076"/>
                </a:ext>
                <a:ext uri="{FF2B5EF4-FFF2-40B4-BE49-F238E27FC236}">
                  <a16:creationId xmlns:a16="http://schemas.microsoft.com/office/drawing/2014/main" id="{00000000-0008-0000-0600-00000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59077" name="Button 5" hidden="1">
              <a:extLst>
                <a:ext uri="{63B3BB69-23CF-44E3-9099-C40C66FF867C}">
                  <a14:compatExt spid="_x0000_s259077"/>
                </a:ext>
                <a:ext uri="{FF2B5EF4-FFF2-40B4-BE49-F238E27FC236}">
                  <a16:creationId xmlns:a16="http://schemas.microsoft.com/office/drawing/2014/main" id="{00000000-0008-0000-0600-00000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65217" name="Button 1" hidden="1">
              <a:extLst>
                <a:ext uri="{63B3BB69-23CF-44E3-9099-C40C66FF867C}">
                  <a14:compatExt spid="_x0000_s265217"/>
                </a:ext>
                <a:ext uri="{FF2B5EF4-FFF2-40B4-BE49-F238E27FC236}">
                  <a16:creationId xmlns:a16="http://schemas.microsoft.com/office/drawing/2014/main" id="{00000000-0008-0000-0700-0000010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65218" name="Button 2" hidden="1">
              <a:extLst>
                <a:ext uri="{63B3BB69-23CF-44E3-9099-C40C66FF867C}">
                  <a14:compatExt spid="_x0000_s265218"/>
                </a:ext>
                <a:ext uri="{FF2B5EF4-FFF2-40B4-BE49-F238E27FC236}">
                  <a16:creationId xmlns:a16="http://schemas.microsoft.com/office/drawing/2014/main" id="{00000000-0008-0000-0700-0000020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65219" name="Button 3" hidden="1">
              <a:extLst>
                <a:ext uri="{63B3BB69-23CF-44E3-9099-C40C66FF867C}">
                  <a14:compatExt spid="_x0000_s265219"/>
                </a:ext>
                <a:ext uri="{FF2B5EF4-FFF2-40B4-BE49-F238E27FC236}">
                  <a16:creationId xmlns:a16="http://schemas.microsoft.com/office/drawing/2014/main" id="{00000000-0008-0000-0700-0000030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65220" name="Button 4" hidden="1">
              <a:extLst>
                <a:ext uri="{63B3BB69-23CF-44E3-9099-C40C66FF867C}">
                  <a14:compatExt spid="_x0000_s265220"/>
                </a:ext>
                <a:ext uri="{FF2B5EF4-FFF2-40B4-BE49-F238E27FC236}">
                  <a16:creationId xmlns:a16="http://schemas.microsoft.com/office/drawing/2014/main" id="{00000000-0008-0000-0700-0000040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65221" name="Button 5" hidden="1">
              <a:extLst>
                <a:ext uri="{63B3BB69-23CF-44E3-9099-C40C66FF867C}">
                  <a14:compatExt spid="_x0000_s265221"/>
                </a:ext>
                <a:ext uri="{FF2B5EF4-FFF2-40B4-BE49-F238E27FC236}">
                  <a16:creationId xmlns:a16="http://schemas.microsoft.com/office/drawing/2014/main" id="{00000000-0008-0000-0700-0000050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66241" name="Button 1" hidden="1">
              <a:extLst>
                <a:ext uri="{63B3BB69-23CF-44E3-9099-C40C66FF867C}">
                  <a14:compatExt spid="_x0000_s266241"/>
                </a:ext>
                <a:ext uri="{FF2B5EF4-FFF2-40B4-BE49-F238E27FC236}">
                  <a16:creationId xmlns:a16="http://schemas.microsoft.com/office/drawing/2014/main" id="{00000000-0008-0000-0800-0000011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66242" name="Button 2" hidden="1">
              <a:extLst>
                <a:ext uri="{63B3BB69-23CF-44E3-9099-C40C66FF867C}">
                  <a14:compatExt spid="_x0000_s266242"/>
                </a:ext>
                <a:ext uri="{FF2B5EF4-FFF2-40B4-BE49-F238E27FC236}">
                  <a16:creationId xmlns:a16="http://schemas.microsoft.com/office/drawing/2014/main" id="{00000000-0008-0000-0800-0000021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66243" name="Button 3" hidden="1">
              <a:extLst>
                <a:ext uri="{63B3BB69-23CF-44E3-9099-C40C66FF867C}">
                  <a14:compatExt spid="_x0000_s266243"/>
                </a:ext>
                <a:ext uri="{FF2B5EF4-FFF2-40B4-BE49-F238E27FC236}">
                  <a16:creationId xmlns:a16="http://schemas.microsoft.com/office/drawing/2014/main" id="{00000000-0008-0000-0800-0000031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66244" name="Button 4" hidden="1">
              <a:extLst>
                <a:ext uri="{63B3BB69-23CF-44E3-9099-C40C66FF867C}">
                  <a14:compatExt spid="_x0000_s266244"/>
                </a:ext>
                <a:ext uri="{FF2B5EF4-FFF2-40B4-BE49-F238E27FC236}">
                  <a16:creationId xmlns:a16="http://schemas.microsoft.com/office/drawing/2014/main" id="{00000000-0008-0000-0800-0000041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66245" name="Button 5" hidden="1">
              <a:extLst>
                <a:ext uri="{63B3BB69-23CF-44E3-9099-C40C66FF867C}">
                  <a14:compatExt spid="_x0000_s266245"/>
                </a:ext>
                <a:ext uri="{FF2B5EF4-FFF2-40B4-BE49-F238E27FC236}">
                  <a16:creationId xmlns:a16="http://schemas.microsoft.com/office/drawing/2014/main" id="{00000000-0008-0000-0800-0000051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  <a:ext uri="{FF2B5EF4-FFF2-40B4-BE49-F238E27FC236}">
                  <a16:creationId xmlns:a16="http://schemas.microsoft.com/office/drawing/2014/main" id="{00000000-0008-0000-0900-0000011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67266" name="Button 2" hidden="1">
              <a:extLst>
                <a:ext uri="{63B3BB69-23CF-44E3-9099-C40C66FF867C}">
                  <a14:compatExt spid="_x0000_s267266"/>
                </a:ext>
                <a:ext uri="{FF2B5EF4-FFF2-40B4-BE49-F238E27FC236}">
                  <a16:creationId xmlns:a16="http://schemas.microsoft.com/office/drawing/2014/main" id="{00000000-0008-0000-0900-0000021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67267" name="Button 3" hidden="1">
              <a:extLst>
                <a:ext uri="{63B3BB69-23CF-44E3-9099-C40C66FF867C}">
                  <a14:compatExt spid="_x0000_s267267"/>
                </a:ext>
                <a:ext uri="{FF2B5EF4-FFF2-40B4-BE49-F238E27FC236}">
                  <a16:creationId xmlns:a16="http://schemas.microsoft.com/office/drawing/2014/main" id="{00000000-0008-0000-0900-0000031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67268" name="Button 4" hidden="1">
              <a:extLst>
                <a:ext uri="{63B3BB69-23CF-44E3-9099-C40C66FF867C}">
                  <a14:compatExt spid="_x0000_s267268"/>
                </a:ext>
                <a:ext uri="{FF2B5EF4-FFF2-40B4-BE49-F238E27FC236}">
                  <a16:creationId xmlns:a16="http://schemas.microsoft.com/office/drawing/2014/main" id="{00000000-0008-0000-0900-0000041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67269" name="Button 5" hidden="1">
              <a:extLst>
                <a:ext uri="{63B3BB69-23CF-44E3-9099-C40C66FF867C}">
                  <a14:compatExt spid="_x0000_s267269"/>
                </a:ext>
                <a:ext uri="{FF2B5EF4-FFF2-40B4-BE49-F238E27FC236}">
                  <a16:creationId xmlns:a16="http://schemas.microsoft.com/office/drawing/2014/main" id="{00000000-0008-0000-0900-0000051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68289" name="Button 1" hidden="1">
              <a:extLst>
                <a:ext uri="{63B3BB69-23CF-44E3-9099-C40C66FF867C}">
                  <a14:compatExt spid="_x0000_s268289"/>
                </a:ext>
                <a:ext uri="{FF2B5EF4-FFF2-40B4-BE49-F238E27FC236}">
                  <a16:creationId xmlns:a16="http://schemas.microsoft.com/office/drawing/2014/main" id="{00000000-0008-0000-0A00-0000011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68290" name="Button 2" hidden="1">
              <a:extLst>
                <a:ext uri="{63B3BB69-23CF-44E3-9099-C40C66FF867C}">
                  <a14:compatExt spid="_x0000_s268290"/>
                </a:ext>
                <a:ext uri="{FF2B5EF4-FFF2-40B4-BE49-F238E27FC236}">
                  <a16:creationId xmlns:a16="http://schemas.microsoft.com/office/drawing/2014/main" id="{00000000-0008-0000-0A00-0000021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68291" name="Button 3" hidden="1">
              <a:extLst>
                <a:ext uri="{63B3BB69-23CF-44E3-9099-C40C66FF867C}">
                  <a14:compatExt spid="_x0000_s268291"/>
                </a:ext>
                <a:ext uri="{FF2B5EF4-FFF2-40B4-BE49-F238E27FC236}">
                  <a16:creationId xmlns:a16="http://schemas.microsoft.com/office/drawing/2014/main" id="{00000000-0008-0000-0A00-0000031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68292" name="Button 4" hidden="1">
              <a:extLst>
                <a:ext uri="{63B3BB69-23CF-44E3-9099-C40C66FF867C}">
                  <a14:compatExt spid="_x0000_s268292"/>
                </a:ext>
                <a:ext uri="{FF2B5EF4-FFF2-40B4-BE49-F238E27FC236}">
                  <a16:creationId xmlns:a16="http://schemas.microsoft.com/office/drawing/2014/main" id="{00000000-0008-0000-0A00-0000041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68293" name="Button 5" hidden="1">
              <a:extLst>
                <a:ext uri="{63B3BB69-23CF-44E3-9099-C40C66FF867C}">
                  <a14:compatExt spid="_x0000_s268293"/>
                </a:ext>
                <a:ext uri="{FF2B5EF4-FFF2-40B4-BE49-F238E27FC236}">
                  <a16:creationId xmlns:a16="http://schemas.microsoft.com/office/drawing/2014/main" id="{00000000-0008-0000-0A00-0000051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71361" name="Button 1" hidden="1">
              <a:extLst>
                <a:ext uri="{63B3BB69-23CF-44E3-9099-C40C66FF867C}">
                  <a14:compatExt spid="_x0000_s271361"/>
                </a:ext>
                <a:ext uri="{FF2B5EF4-FFF2-40B4-BE49-F238E27FC236}">
                  <a16:creationId xmlns:a16="http://schemas.microsoft.com/office/drawing/2014/main" id="{0A6147AF-43B0-4CAE-BE73-D77647457A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71362" name="Button 2" hidden="1">
              <a:extLst>
                <a:ext uri="{63B3BB69-23CF-44E3-9099-C40C66FF867C}">
                  <a14:compatExt spid="_x0000_s271362"/>
                </a:ext>
                <a:ext uri="{FF2B5EF4-FFF2-40B4-BE49-F238E27FC236}">
                  <a16:creationId xmlns:a16="http://schemas.microsoft.com/office/drawing/2014/main" id="{6DC22651-66B1-4C08-9593-BB59A5A31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71363" name="Button 3" hidden="1">
              <a:extLst>
                <a:ext uri="{63B3BB69-23CF-44E3-9099-C40C66FF867C}">
                  <a14:compatExt spid="_x0000_s271363"/>
                </a:ext>
                <a:ext uri="{FF2B5EF4-FFF2-40B4-BE49-F238E27FC236}">
                  <a16:creationId xmlns:a16="http://schemas.microsoft.com/office/drawing/2014/main" id="{AEBED8D1-3935-4096-B9D2-BB999AAD61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71364" name="Button 4" hidden="1">
              <a:extLst>
                <a:ext uri="{63B3BB69-23CF-44E3-9099-C40C66FF867C}">
                  <a14:compatExt spid="_x0000_s271364"/>
                </a:ext>
                <a:ext uri="{FF2B5EF4-FFF2-40B4-BE49-F238E27FC236}">
                  <a16:creationId xmlns:a16="http://schemas.microsoft.com/office/drawing/2014/main" id="{5434FCA6-1E9E-4920-B1C4-82E4BD886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71365" name="Button 5" hidden="1">
              <a:extLst>
                <a:ext uri="{63B3BB69-23CF-44E3-9099-C40C66FF867C}">
                  <a14:compatExt spid="_x0000_s271365"/>
                </a:ext>
                <a:ext uri="{FF2B5EF4-FFF2-40B4-BE49-F238E27FC236}">
                  <a16:creationId xmlns:a16="http://schemas.microsoft.com/office/drawing/2014/main" id="{9250954C-3469-459F-A57E-2801C53BD4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B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B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B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B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B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11" totalsRowShown="0" headerRowDxfId="156" dataDxfId="154" headerRowBorderDxfId="155" tableBorderDxfId="153" totalsRowBorderDxfId="152" headerRowCellStyle="60% - Accent5">
  <autoFilter ref="A1:E11" xr:uid="{7E3155DF-3CB2-4063-8346-D3006162EB2E}"/>
  <sortState xmlns:xlrd2="http://schemas.microsoft.com/office/spreadsheetml/2017/richdata2" ref="A2:E11">
    <sortCondition ref="A1:A11"/>
  </sortState>
  <tableColumns count="5">
    <tableColumn id="1" xr3:uid="{4A3C96D4-74F9-46DA-B54B-0CD347E35136}" name="Surname" dataDxfId="151" dataCellStyle="Hyperlink"/>
    <tableColumn id="2" xr3:uid="{2B90B92F-5F96-4EDA-9BBB-0E797162ECC4}" name="First Name" dataDxfId="150" dataCellStyle="Hyperlink"/>
    <tableColumn id="8" xr3:uid="{CFE0A41F-FE26-4CF3-BAA8-F6CEC7B006D4}" name="Status" dataDxfId="149" dataCellStyle="Hyperlink"/>
    <tableColumn id="3" xr3:uid="{EBBDE5FC-4AD9-4996-A6CE-25D9B52D4D03}" name="Date" dataDxfId="148"/>
    <tableColumn id="4" xr3:uid="{854BBB0E-E50E-4F6C-90CC-6180E0CE5D32}" name="ID" dataDxfId="147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E43AA0-FEFE-4953-BA96-A0217731DC97}" name="StatusTable" displayName="StatusTable" ref="A2:W3" insertRow="1" totalsRowShown="0" headerRowDxfId="146" dataDxfId="145">
  <autoFilter ref="A2:W3" xr:uid="{BBE43AA0-FEFE-4953-BA96-A0217731DC97}"/>
  <sortState xmlns:xlrd2="http://schemas.microsoft.com/office/spreadsheetml/2017/richdata2" ref="A2:W2">
    <sortCondition ref="A2"/>
  </sortState>
  <tableColumns count="23">
    <tableColumn id="1" xr3:uid="{77C7B428-E99D-49B8-8796-47FEBA3B8CD2}" name="Name" dataDxfId="144" dataCellStyle="Hyperlink"/>
    <tableColumn id="2" xr3:uid="{36FC8A03-C285-4FA4-AEC4-647B7067D01E}" name="Tunic" dataDxfId="143"/>
    <tableColumn id="3" xr3:uid="{E2B75A82-055F-492D-97B2-03C8E9C74CBF}" name="Collar Shirt" dataDxfId="142"/>
    <tableColumn id="4" xr3:uid="{89128C49-0667-4328-9CC8-935C76EB5CFF}" name="T-Shirt" dataDxfId="141"/>
    <tableColumn id="5" xr3:uid="{58E02DDF-FF68-4A85-A160-1478AFFC5301}" name="Dress Pants" dataDxfId="140"/>
    <tableColumn id="6" xr3:uid="{3C885A6D-7C6D-47FE-9D20-7FB555626C24}" name="Wedge" dataDxfId="139"/>
    <tableColumn id="7" xr3:uid="{650E09C5-6A05-4527-A321-E6D98102B309}" name="Tie" dataDxfId="138"/>
    <tableColumn id="8" xr3:uid="{B5F54AB4-5997-4EA8-AF06-4966A756DE93}" name="Belt" dataDxfId="137"/>
    <tableColumn id="9" xr3:uid="{8136261F-5775-4352-A73E-8E659AD02B53}" name="Socks" dataDxfId="136"/>
    <tableColumn id="10" xr3:uid="{9DEA83F4-EB2F-4D7E-9C9C-751F43044531}" name="Leather Boots" dataDxfId="135"/>
    <tableColumn id="11" xr3:uid="{1CEE23EA-B0BC-483E-BE3B-570F93C07C1A}" name="Leave Blank" dataDxfId="134"/>
    <tableColumn id="12" xr3:uid="{1D45495D-88A2-4A94-96C4-B047B6ED62D3}" name="Toque" dataDxfId="133"/>
    <tableColumn id="13" xr3:uid="{5954CB37-ED15-4CF3-A1FD-DCA35E0B036C}" name="Tilly" dataDxfId="132"/>
    <tableColumn id="14" xr3:uid="{4EB0159F-D44E-4237-807C-59C05B43CC3A}" name="Parka" dataDxfId="131"/>
    <tableColumn id="15" xr3:uid="{2D7F5042-3E7C-429C-8AFF-8601B19B8A0F}" name="Gloves" dataDxfId="130"/>
    <tableColumn id="16" xr3:uid="{D45A8E58-834C-42E4-980C-B85C418519A9}" name="Leave Blank2" dataDxfId="129"/>
    <tableColumn id="17" xr3:uid="{433672DD-A406-4334-A746-FB02B994A2E4}" name="Beret" dataDxfId="128"/>
    <tableColumn id="18" xr3:uid="{EE18EFD7-E877-490B-B14E-3FC28D0B1264}" name="FTU Tunic" dataDxfId="127"/>
    <tableColumn id="19" xr3:uid="{29AC551F-F02C-4401-9F86-D5A21F3B8962}" name="FTU Pants" dataDxfId="126"/>
    <tableColumn id="20" xr3:uid="{6DB4DDF9-B627-4BC2-B983-0DA0719B49B1}" name="FTU Boots" dataDxfId="125"/>
    <tableColumn id="27" xr3:uid="{84909A50-96B7-4616-B421-ACD5823BBA6B}" name="Column3" dataDxfId="124"/>
    <tableColumn id="26" xr3:uid="{0EFD58A3-59A1-406F-A3FD-C3E38DB387F2}" name="NameTag" dataDxfId="123"/>
    <tableColumn id="21" xr3:uid="{AEFDE823-D276-4BBA-8AAC-39096CA09601}" name="Toggle Done" dataDxfId="12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4CBEA0-3C35-47C4-899C-54642FCCEC00}" name="Charlie_Clark_74CD899DExchangeTable" displayName="Charlie_Clark_74CD899DExchangeTable" ref="A37:D38" insertRow="1" totalsRowShown="0" headerRowDxfId="121" dataDxfId="120">
  <autoFilter ref="A37:D38" xr:uid="{FC4CBEA0-3C35-47C4-899C-54642FCCEC00}"/>
  <tableColumns count="4">
    <tableColumn id="1" xr3:uid="{0E3A8317-16C1-4737-8188-209F4B309D95}" name="Date" dataDxfId="119"/>
    <tableColumn id="2" xr3:uid="{C8021A62-52E6-4853-A215-FDEB914C3124}" name="Item" dataDxfId="118"/>
    <tableColumn id="3" xr3:uid="{7A861241-55A5-4209-A3EA-33C239D3194B}" name="Old Size" dataDxfId="117"/>
    <tableColumn id="4" xr3:uid="{0047CD2F-9019-4A9C-99E6-E38CA8B64E87}" name="New Size" dataDxfId="116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529D9B-1E6F-4486-963A-E46D759286CD}" name="Isabella_Taylor_D098F288ExchangeTable" displayName="Isabella_Taylor_D098F288ExchangeTable" ref="A37:D40" totalsRowShown="0" headerRowDxfId="115" dataDxfId="114">
  <autoFilter ref="A37:D40" xr:uid="{52529D9B-1E6F-4486-963A-E46D759286CD}"/>
  <tableColumns count="4">
    <tableColumn id="1" xr3:uid="{2335A062-9327-4783-BBF4-BD2519F075DE}" name="Date" dataDxfId="113"/>
    <tableColumn id="2" xr3:uid="{CA4B2DC8-BFE2-4284-B564-9E2D82BC149A}" name="Item" dataDxfId="112"/>
    <tableColumn id="3" xr3:uid="{B31EA789-3577-4A66-B7FD-4661B6C501DC}" name="Old Size" dataDxfId="111"/>
    <tableColumn id="4" xr3:uid="{DB5C0015-EC71-4A94-A3A5-CCD59FF712A8}" name="New Size" dataDxfId="110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07D0A3-C65C-461A-A192-8EFBDD7638B6}" name="Banks_Rob_B4DD32A8ExchangeTable" displayName="Banks_Rob_B4DD32A8ExchangeTable" ref="A37:D38" insertRow="1" totalsRowShown="0" headerRowDxfId="109" dataDxfId="108">
  <autoFilter ref="A37:D38" xr:uid="{EC07D0A3-C65C-461A-A192-8EFBDD7638B6}"/>
  <tableColumns count="4">
    <tableColumn id="1" xr3:uid="{1EE65310-CB3C-4D17-84A2-0D08426386EE}" name="Date" dataDxfId="107"/>
    <tableColumn id="2" xr3:uid="{276C0FD6-F280-44E3-B7A4-E393B1E41E71}" name="Item" dataDxfId="106"/>
    <tableColumn id="3" xr3:uid="{207C018B-279B-4E8A-ADA2-94D9E9D353B2}" name="Old Size" dataDxfId="105"/>
    <tableColumn id="4" xr3:uid="{423617A1-98F1-46A9-ACF4-464DA33BE38F}" name="New Size" dataDxfId="104"/>
  </tableColumns>
  <tableStyleInfo name="ExchangeTable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B090D4-9D4B-4EB5-9BD0-8CE3579B7944}" name="Rophone_Mike_747A9E83ExchangeTable" displayName="Rophone_Mike_747A9E83ExchangeTable" ref="A37:D38" insertRow="1" totalsRowShown="0" headerRowDxfId="103" dataDxfId="102">
  <autoFilter ref="A37:D38" xr:uid="{09B090D4-9D4B-4EB5-9BD0-8CE3579B7944}"/>
  <tableColumns count="4">
    <tableColumn id="1" xr3:uid="{25747F88-E177-4AEE-8DA9-C36D688EC712}" name="Date" dataDxfId="101"/>
    <tableColumn id="2" xr3:uid="{8C3F9440-040C-480D-81E5-8F309CC183BD}" name="Item" dataDxfId="100"/>
    <tableColumn id="3" xr3:uid="{A0409410-15EA-487E-8776-AB80227CC9A6}" name="Old Size" dataDxfId="99"/>
    <tableColumn id="4" xr3:uid="{983E046A-39C6-4EC7-A709-ABCE06C24055}" name="New Size" dataDxfId="98"/>
  </tableColumns>
  <tableStyleInfo name="ExchangeTable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B7E6F4F-7D1B-47DD-A551-D311D42AA882}" name="Christ_Jesus_87519091ExchangeTable" displayName="Christ_Jesus_87519091ExchangeTable" ref="A37:D38" insertRow="1" totalsRowShown="0" headerRowDxfId="97" dataDxfId="96">
  <autoFilter ref="A37:D38" xr:uid="{7B7E6F4F-7D1B-47DD-A551-D311D42AA882}"/>
  <tableColumns count="4">
    <tableColumn id="1" xr3:uid="{AB23AA7C-877F-4AF0-B831-A82359F1A305}" name="Date" dataDxfId="95"/>
    <tableColumn id="2" xr3:uid="{CA4758F6-B983-40AB-89FE-75A30BDFB3CD}" name="Item" dataDxfId="94"/>
    <tableColumn id="3" xr3:uid="{1A5C2A24-C764-4CB6-BA10-0BD3B683FAE9}" name="Old Size" dataDxfId="93"/>
    <tableColumn id="4" xr3:uid="{2318EA29-8C34-4021-A79A-80D2057374AB}" name="New Size" dataDxfId="92"/>
  </tableColumns>
  <tableStyleInfo name="ExchangeTableSty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1A0C7C4-598B-441A-B47E-F5D337CF5693}" name="Rhea_Dia_A5D0E0B7ExchangeTable" displayName="Rhea_Dia_A5D0E0B7ExchangeTable" ref="A37:D38" insertRow="1" totalsRowShown="0" headerRowDxfId="91" dataDxfId="90">
  <autoFilter ref="A37:D38" xr:uid="{01A0C7C4-598B-441A-B47E-F5D337CF5693}"/>
  <tableColumns count="4">
    <tableColumn id="1" xr3:uid="{9D9A553D-C14F-4C35-A6A8-42547FA1FCFD}" name="Date" dataDxfId="89"/>
    <tableColumn id="2" xr3:uid="{F962C494-B001-4276-9039-50BD7598904D}" name="Item" dataDxfId="88"/>
    <tableColumn id="3" xr3:uid="{6885CB22-4678-4170-BB0B-FD8B77ACA675}" name="Old Size" dataDxfId="87"/>
    <tableColumn id="4" xr3:uid="{7DB1F6E6-D6BB-4CE2-8B96-3C23FCCC1F41}" name="New Size" dataDxfId="86"/>
  </tableColumns>
  <tableStyleInfo name="ExchangeTableSty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34F3A4-C547-4547-A930-43B284117793}" name="Isabella_Jones_36E7E7BBExchangeTable" displayName="Isabella_Jones_36E7E7BBExchangeTable" ref="A37:D38" insertRow="1" totalsRowShown="0" headerRowDxfId="0" dataDxfId="1">
  <autoFilter ref="A37:D38" xr:uid="{0734F3A4-C547-4547-A930-43B284117793}"/>
  <tableColumns count="4">
    <tableColumn id="1" xr3:uid="{D7672E1F-732D-4AFD-ABDF-59E282D4B0B2}" name="Date" dataDxfId="5"/>
    <tableColumn id="2" xr3:uid="{5989E73F-D2FA-4324-983C-66AE9D94110E}" name="Item" dataDxfId="4"/>
    <tableColumn id="3" xr3:uid="{752634EF-CD07-4D8A-B53F-4B6F38559375}" name="Old Size" dataDxfId="3"/>
    <tableColumn id="4" xr3:uid="{ECAC3973-CA9E-4516-A4AE-2D5B493B8538}" name="New Size" dataDxfId="2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ctrlProp" Target="../ctrlProps/ctrlProp39.xml"/><Relationship Id="rId7" Type="http://schemas.openxmlformats.org/officeDocument/2006/relationships/ctrlProp" Target="../ctrlProps/ctrlProp4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7" Type="http://schemas.openxmlformats.org/officeDocument/2006/relationships/ctrlProp" Target="../ctrlProps/ctrlProp4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11"/>
  <sheetViews>
    <sheetView zoomScale="85" zoomScaleNormal="85" workbookViewId="0">
      <selection activeCell="A2" sqref="A2:E11"/>
    </sheetView>
  </sheetViews>
  <sheetFormatPr defaultRowHeight="15.05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15" ht="43.85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  <c r="O1" t="s">
        <v>64</v>
      </c>
    </row>
    <row r="2" spans="1:15" ht="14.4" x14ac:dyDescent="0.3">
      <c r="A2" s="57" t="s">
        <v>108</v>
      </c>
      <c r="B2" s="50" t="s">
        <v>103</v>
      </c>
      <c r="C2" s="51" t="s">
        <v>123</v>
      </c>
      <c r="D2" s="52">
        <v>45298.602870370371</v>
      </c>
      <c r="E2" s="53" t="s">
        <v>109</v>
      </c>
    </row>
    <row r="3" spans="1:15" ht="28.8" x14ac:dyDescent="0.3">
      <c r="A3" s="58" t="s">
        <v>152</v>
      </c>
      <c r="B3" s="49" t="s">
        <v>153</v>
      </c>
      <c r="C3" s="31" t="s">
        <v>190</v>
      </c>
      <c r="D3" s="62">
        <v>45302.653449074074</v>
      </c>
      <c r="E3" s="63" t="s">
        <v>180</v>
      </c>
    </row>
    <row r="4" spans="1:15" ht="14.4" x14ac:dyDescent="0.3">
      <c r="A4" s="54" t="s">
        <v>150</v>
      </c>
      <c r="B4" s="30" t="s">
        <v>151</v>
      </c>
      <c r="C4" s="31" t="s">
        <v>189</v>
      </c>
      <c r="D4" s="55">
        <v>45302.653449074074</v>
      </c>
      <c r="E4" s="56">
        <v>87519091</v>
      </c>
    </row>
    <row r="5" spans="1:15" ht="14.4" x14ac:dyDescent="0.3">
      <c r="A5" s="54" t="s">
        <v>208</v>
      </c>
      <c r="B5" s="30" t="s">
        <v>115</v>
      </c>
      <c r="C5" s="31"/>
      <c r="D5" s="93">
        <v>45302.995150462964</v>
      </c>
      <c r="E5" s="94" t="s">
        <v>209</v>
      </c>
    </row>
    <row r="6" spans="1:15" ht="14.4" x14ac:dyDescent="0.3">
      <c r="A6" s="54" t="s">
        <v>148</v>
      </c>
      <c r="B6" s="30" t="s">
        <v>149</v>
      </c>
      <c r="C6" s="31" t="s">
        <v>189</v>
      </c>
      <c r="D6" s="55">
        <v>45302.653449074074</v>
      </c>
      <c r="E6" s="56" t="s">
        <v>167</v>
      </c>
    </row>
    <row r="7" spans="1:15" ht="14.4" x14ac:dyDescent="0.3">
      <c r="A7" s="54" t="s">
        <v>146</v>
      </c>
      <c r="B7" s="30" t="s">
        <v>147</v>
      </c>
      <c r="C7" s="31" t="s">
        <v>189</v>
      </c>
      <c r="D7" s="55">
        <v>45302.653449074074</v>
      </c>
      <c r="E7" s="56" t="s">
        <v>155</v>
      </c>
    </row>
    <row r="8" spans="1:15" ht="14.4" x14ac:dyDescent="0.3">
      <c r="A8" s="54" t="s">
        <v>90</v>
      </c>
      <c r="B8" s="30" t="s">
        <v>115</v>
      </c>
      <c r="C8" s="31" t="s">
        <v>123</v>
      </c>
      <c r="D8" s="55">
        <v>45298.604872685188</v>
      </c>
      <c r="E8" s="56" t="s">
        <v>116</v>
      </c>
    </row>
    <row r="9" spans="1:15" ht="14.4" x14ac:dyDescent="0.3">
      <c r="A9" s="54"/>
      <c r="B9" s="30"/>
      <c r="C9" s="31"/>
      <c r="D9" s="55"/>
      <c r="E9" s="56"/>
    </row>
    <row r="10" spans="1:15" ht="14.4" x14ac:dyDescent="0.3">
      <c r="A10" s="54"/>
      <c r="B10" s="30"/>
      <c r="C10" s="31"/>
      <c r="D10" s="55"/>
      <c r="E10" s="56"/>
    </row>
    <row r="11" spans="1:15" x14ac:dyDescent="0.3">
      <c r="A11" s="54"/>
      <c r="B11" s="30"/>
      <c r="C11" s="31"/>
      <c r="D11" s="55"/>
      <c r="E11" s="56"/>
    </row>
  </sheetData>
  <conditionalFormatting sqref="C2:C11">
    <cfRule type="cellIs" dxfId="85" priority="1" operator="equal">
      <formula>"S.O.S"</formula>
    </cfRule>
    <cfRule type="containsText" dxfId="84" priority="2" operator="containsText" text="UNP">
      <formula>NOT(ISERROR(SEARCH("UNP",C2)))</formula>
    </cfRule>
    <cfRule type="cellIs" dxfId="83" priority="3" operator="equal">
      <formula>"In Stock"</formula>
    </cfRule>
    <cfRule type="containsText" dxfId="82" priority="4" operator="containsText" text="Pick Up">
      <formula>NOT(ISERROR(SEARCH("Pick Up",C2)))</formula>
    </cfRule>
    <cfRule type="cellIs" dxfId="81" priority="9" operator="equal">
      <formula>"Ready To Order"</formula>
    </cfRule>
    <cfRule type="containsText" dxfId="80" priority="10" operator="containsText" text="Ordered">
      <formula>NOT(ISERROR(SEARCH("Ordered",C2)))</formula>
    </cfRule>
    <cfRule type="containsText" dxfId="79" priority="11" operator="containsText" text="Complete">
      <formula>NOT(ISERROR(SEARCH("Complete",C2)))</formula>
    </cfRule>
    <cfRule type="cellIs" dxfId="78" priority="12" operator="equal">
      <formula>"Returned"</formula>
    </cfRule>
  </conditionalFormatting>
  <hyperlinks>
    <hyperlink ref="A2" location="'Charlie_Clark_74CD899D'!A1" display="Clark" xr:uid="{08DF2DD6-F01B-425A-A1D5-7F06665BCADF}"/>
    <hyperlink ref="A8" location="'Isabella_Taylor_D098F288'!A1" display="Taylor" xr:uid="{23EA7479-556C-40B6-881F-8910CF0758F7}"/>
    <hyperlink ref="A7" location="'Banks_Rob_B4DD32A8'!A1" display="Rob" xr:uid="{6C8567B3-9E3A-4F1F-B2CB-5E693DA84E4E}"/>
    <hyperlink ref="A6" location="'Rophone_Mike_747A9E83'!A1" display="Mike" xr:uid="{5F426441-7875-4D79-9B86-FF36AC0F9820}"/>
    <hyperlink ref="A4" location="'Christ_Jesus_87519091'!A1" display="Jesus" xr:uid="{82BFAB69-DEEA-49FB-BABA-33AA4D6931D1}"/>
    <hyperlink ref="A3" location="'Rhea_Dia_A5D0E0B7'!A1" display="Dia" xr:uid="{C362154D-3F29-458A-AF27-0322B1FF4E79}"/>
    <hyperlink ref="A5" location="'Isabella_Jones_36E7E7BB'!A1" display="Jones" xr:uid="{6F8793F6-CAA3-4EFD-B910-072AE3881E46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D46" sqref="D46"/>
    </sheetView>
  </sheetViews>
  <sheetFormatPr defaultRowHeight="15.05" x14ac:dyDescent="0.3"/>
  <cols>
    <col min="2" max="2" width="10.5546875" customWidth="1"/>
    <col min="3" max="3" width="10.6640625" customWidth="1"/>
    <col min="12" max="12" width="12.109375" customWidth="1"/>
  </cols>
  <sheetData>
    <row r="1" spans="1:13" ht="38" customHeight="1" x14ac:dyDescent="0.3">
      <c r="A1" s="33" t="s">
        <v>49</v>
      </c>
      <c r="B1" s="33" t="s">
        <v>53</v>
      </c>
      <c r="C1" s="33" t="s">
        <v>2</v>
      </c>
      <c r="D1" s="33" t="s">
        <v>54</v>
      </c>
      <c r="E1" s="33" t="s">
        <v>9</v>
      </c>
      <c r="F1" s="33" t="s">
        <v>11</v>
      </c>
      <c r="G1" s="33" t="s">
        <v>12</v>
      </c>
      <c r="H1" s="33" t="s">
        <v>13</v>
      </c>
      <c r="I1" s="33" t="s">
        <v>55</v>
      </c>
      <c r="J1" s="33" t="s">
        <v>15</v>
      </c>
      <c r="K1" s="33" t="s">
        <v>56</v>
      </c>
      <c r="L1" s="33" t="s">
        <v>57</v>
      </c>
      <c r="M1" s="33" t="s">
        <v>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399011</xdr:colOff>
                    <xdr:row>0</xdr:row>
                    <xdr:rowOff>133004</xdr:rowOff>
                  </from>
                  <to>
                    <xdr:col>16</xdr:col>
                    <xdr:colOff>340822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Y5"/>
  <sheetViews>
    <sheetView workbookViewId="0">
      <selection activeCell="O12" sqref="O12"/>
    </sheetView>
  </sheetViews>
  <sheetFormatPr defaultRowHeight="15.05" x14ac:dyDescent="0.3"/>
  <cols>
    <col min="1" max="1" width="13.109375" customWidth="1"/>
    <col min="3" max="3" width="10.88671875" customWidth="1"/>
    <col min="4" max="4" width="7.5546875" customWidth="1"/>
    <col min="5" max="5" width="10.5546875" customWidth="1"/>
    <col min="6" max="6" width="7" customWidth="1"/>
    <col min="7" max="7" width="4.77734375" customWidth="1"/>
    <col min="8" max="8" width="6.109375" customWidth="1"/>
    <col min="9" max="9" width="6.5546875" customWidth="1"/>
    <col min="10" max="10" width="11.88671875" customWidth="1"/>
    <col min="11" max="11" width="2.5546875" hidden="1" customWidth="1"/>
    <col min="12" max="12" width="7.44140625" customWidth="1"/>
    <col min="13" max="13" width="5.44140625" customWidth="1"/>
    <col min="14" max="14" width="7.21875" customWidth="1"/>
    <col min="15" max="15" width="11.109375" customWidth="1"/>
    <col min="16" max="16" width="7.6640625" hidden="1" customWidth="1"/>
    <col min="17" max="17" width="6.109375" customWidth="1"/>
    <col min="21" max="21" width="0" hidden="1" customWidth="1"/>
    <col min="24" max="24" width="11.109375" customWidth="1"/>
    <col min="25" max="25" width="10.21875" customWidth="1"/>
  </cols>
  <sheetData>
    <row r="1" spans="1:25" ht="41.75" customHeight="1" x14ac:dyDescent="0.3">
      <c r="A1" s="34" t="s">
        <v>62</v>
      </c>
      <c r="B1" s="34" t="s">
        <v>18</v>
      </c>
      <c r="C1" s="34" t="s">
        <v>21</v>
      </c>
      <c r="D1" s="34" t="s">
        <v>19</v>
      </c>
      <c r="E1" s="34" t="s">
        <v>20</v>
      </c>
      <c r="F1" s="34" t="s">
        <v>24</v>
      </c>
      <c r="G1" s="34" t="s">
        <v>23</v>
      </c>
      <c r="H1" s="34" t="s">
        <v>25</v>
      </c>
      <c r="I1" s="34" t="s">
        <v>26</v>
      </c>
      <c r="J1" s="34" t="s">
        <v>27</v>
      </c>
      <c r="K1" s="34"/>
      <c r="L1" s="34" t="s">
        <v>28</v>
      </c>
      <c r="M1" s="34" t="s">
        <v>22</v>
      </c>
      <c r="N1" s="34" t="s">
        <v>29</v>
      </c>
      <c r="O1" s="34" t="s">
        <v>30</v>
      </c>
      <c r="P1" s="34"/>
      <c r="Q1" s="34" t="s">
        <v>33</v>
      </c>
      <c r="R1" s="34" t="s">
        <v>31</v>
      </c>
      <c r="S1" s="34" t="s">
        <v>48</v>
      </c>
      <c r="T1" s="34" t="s">
        <v>32</v>
      </c>
      <c r="U1" s="34"/>
      <c r="V1" s="34" t="s">
        <v>101</v>
      </c>
      <c r="W1" s="32"/>
      <c r="X1" s="32"/>
      <c r="Y1" s="32"/>
    </row>
    <row r="2" spans="1:25" x14ac:dyDescent="0.3">
      <c r="A2" s="61" t="s">
        <v>122</v>
      </c>
      <c r="F2" s="90" t="s">
        <v>200</v>
      </c>
    </row>
    <row r="3" spans="1:25" x14ac:dyDescent="0.3">
      <c r="A3" s="61" t="s">
        <v>192</v>
      </c>
      <c r="E3" s="90" t="s">
        <v>194</v>
      </c>
    </row>
    <row r="4" spans="1:25" x14ac:dyDescent="0.3">
      <c r="A4" s="61" t="s">
        <v>193</v>
      </c>
      <c r="F4" s="90" t="s">
        <v>202</v>
      </c>
    </row>
    <row r="5" spans="1:25" x14ac:dyDescent="0.3">
      <c r="A5" s="61" t="s">
        <v>191</v>
      </c>
      <c r="C5" s="90" t="s">
        <v>195</v>
      </c>
      <c r="D5" s="90" t="s">
        <v>143</v>
      </c>
      <c r="F5" s="90" t="s">
        <v>201</v>
      </c>
      <c r="G5" s="90" t="s">
        <v>136</v>
      </c>
      <c r="H5" s="90" t="s">
        <v>144</v>
      </c>
      <c r="I5" s="90" t="s">
        <v>135</v>
      </c>
      <c r="M5" s="90" t="s">
        <v>135</v>
      </c>
      <c r="O5" s="90" t="s">
        <v>139</v>
      </c>
      <c r="Q5" s="90" t="s">
        <v>201</v>
      </c>
      <c r="R5" s="90" t="s">
        <v>196</v>
      </c>
    </row>
  </sheetData>
  <hyperlinks>
    <hyperlink ref="A2" location="Isabella_Taylor_D098F288!A1" display="Taylor, Isabella" xr:uid="{0E03EB53-94A1-4804-A6BD-3B9F667A96BF}"/>
    <hyperlink ref="A3" location="Banks_Rob_B4DD32A8!A1" display="Rob, Banks" xr:uid="{DC6E32F8-B7DE-4164-BCE9-30A662AE5676}"/>
    <hyperlink ref="A4" location="Rophone_Mike_747A9E83!A1" display="Mike, Rophone" xr:uid="{B7366DED-B8C5-4620-892C-FE577D56803E}"/>
    <hyperlink ref="A5" location="Rhea_Dia_A5D0E0B7!A1" display="Dia, Rhea" xr:uid="{A12FA0FB-70D8-400E-9A62-0082BCE62BA4}"/>
  </hyperlinks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02" r:id="rId4" name="Button 162">
              <controlPr defaultSize="0" print="0" autoFill="0" autoPict="0" macro="[0]!pickup">
                <anchor moveWithCells="1" sizeWithCells="1">
                  <from>
                    <xdr:col>22</xdr:col>
                    <xdr:colOff>149629</xdr:colOff>
                    <xdr:row>0</xdr:row>
                    <xdr:rowOff>49876</xdr:rowOff>
                  </from>
                  <to>
                    <xdr:col>24</xdr:col>
                    <xdr:colOff>532015</xdr:colOff>
                    <xdr:row>0</xdr:row>
                    <xdr:rowOff>440575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1" r:id="rId5" name="Complete1">
              <controlPr defaultSize="0" print="0" autoFill="0" autoPict="0" macro="[0]!'markPickUpAsComplete &quot;Isabella_Taylor_D098F288&quot;, 1'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2" r:id="rId6" name="Complete2">
              <controlPr defaultSize="0" print="0" autoFill="0" autoPict="0" macro="[0]!'markPickUpAsComplete &quot;Banks_Rob_B4DD32A8&quot;, 2'">
                <anchor moveWithCells="1" sizeWithCells="1">
                  <from>
                    <xdr:col>23</xdr:col>
                    <xdr:colOff>0</xdr:colOff>
                    <xdr:row>2</xdr:row>
                    <xdr:rowOff>0</xdr:rowOff>
                  </from>
                  <to>
                    <xdr:col>24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3" r:id="rId7" name="Complete3">
              <controlPr defaultSize="0" print="0" autoFill="0" autoPict="0" macro="[0]!'markPickUpAsComplete &quot;Rophone_Mike_747A9E83&quot;, 3'">
                <anchor moveWithCells="1" sizeWithCells="1">
                  <from>
                    <xdr:col>23</xdr:col>
                    <xdr:colOff>0</xdr:colOff>
                    <xdr:row>3</xdr:row>
                    <xdr:rowOff>0</xdr:rowOff>
                  </from>
                  <to>
                    <xdr:col>24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4" r:id="rId8" name="Complete4">
              <controlPr defaultSize="0" print="0" autoFill="0" autoPict="0" macro="[0]!'markPickUpAsComplete &quot;Rhea_Dia_A5D0E0B7&quot;, 4'">
                <anchor moveWithCells="1" sizeWithCells="1">
                  <from>
                    <xdr:col>23</xdr:col>
                    <xdr:colOff>0</xdr:colOff>
                    <xdr:row>4</xdr:row>
                    <xdr:rowOff>0</xdr:rowOff>
                  </from>
                  <to>
                    <xdr:col>24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ADA2-84C8-4239-9B0B-2EC01C320ED7}">
  <sheetPr codeName="Sheet11"/>
  <dimension ref="A1:W3"/>
  <sheetViews>
    <sheetView zoomScale="85" zoomScaleNormal="85" workbookViewId="0">
      <selection activeCell="J20" sqref="J20"/>
    </sheetView>
  </sheetViews>
  <sheetFormatPr defaultRowHeight="15.05" x14ac:dyDescent="0.3"/>
  <cols>
    <col min="1" max="1" width="16.21875" customWidth="1"/>
    <col min="2" max="9" width="9.6640625" customWidth="1"/>
    <col min="10" max="10" width="13.5546875" customWidth="1"/>
    <col min="11" max="11" width="1.44140625" hidden="1" customWidth="1"/>
    <col min="12" max="15" width="10.6640625" customWidth="1"/>
    <col min="16" max="16" width="1.77734375" hidden="1" customWidth="1"/>
    <col min="17" max="20" width="10.6640625" customWidth="1"/>
    <col min="21" max="21" width="10.6640625" hidden="1" customWidth="1"/>
    <col min="22" max="22" width="10.6640625" customWidth="1"/>
    <col min="23" max="23" width="13.6640625" customWidth="1"/>
  </cols>
  <sheetData>
    <row r="1" spans="1:23" ht="27.65" customHeight="1" x14ac:dyDescent="0.3">
      <c r="A1" s="39" t="s">
        <v>42</v>
      </c>
      <c r="B1" s="35" t="s">
        <v>45</v>
      </c>
      <c r="C1" s="36" t="s">
        <v>84</v>
      </c>
      <c r="D1" s="76" t="s">
        <v>85</v>
      </c>
      <c r="E1" s="76"/>
      <c r="F1" s="42" t="s">
        <v>86</v>
      </c>
      <c r="G1" s="45" t="s">
        <v>69</v>
      </c>
      <c r="H1" s="37" t="s">
        <v>82</v>
      </c>
      <c r="I1" s="38" t="s">
        <v>87</v>
      </c>
      <c r="L1" s="40" t="s">
        <v>107</v>
      </c>
      <c r="M1" s="48" t="s">
        <v>104</v>
      </c>
      <c r="N1" s="47" t="s">
        <v>105</v>
      </c>
      <c r="O1" s="46" t="s">
        <v>106</v>
      </c>
    </row>
    <row r="2" spans="1:23" ht="37.35" customHeight="1" x14ac:dyDescent="0.3">
      <c r="A2" s="34" t="s">
        <v>62</v>
      </c>
      <c r="B2" s="34" t="s">
        <v>18</v>
      </c>
      <c r="C2" s="34" t="s">
        <v>21</v>
      </c>
      <c r="D2" s="34" t="s">
        <v>19</v>
      </c>
      <c r="E2" s="34" t="s">
        <v>20</v>
      </c>
      <c r="F2" s="34" t="s">
        <v>24</v>
      </c>
      <c r="G2" s="34" t="s">
        <v>23</v>
      </c>
      <c r="H2" s="34" t="s">
        <v>25</v>
      </c>
      <c r="I2" s="34" t="s">
        <v>26</v>
      </c>
      <c r="J2" s="34" t="s">
        <v>27</v>
      </c>
      <c r="K2" s="34" t="s">
        <v>88</v>
      </c>
      <c r="L2" s="34" t="s">
        <v>28</v>
      </c>
      <c r="M2" s="34" t="s">
        <v>22</v>
      </c>
      <c r="N2" s="34" t="s">
        <v>29</v>
      </c>
      <c r="O2" s="34" t="s">
        <v>30</v>
      </c>
      <c r="P2" s="34" t="s">
        <v>89</v>
      </c>
      <c r="Q2" s="34" t="s">
        <v>33</v>
      </c>
      <c r="R2" s="34" t="s">
        <v>31</v>
      </c>
      <c r="S2" s="34" t="s">
        <v>48</v>
      </c>
      <c r="T2" s="34" t="s">
        <v>32</v>
      </c>
      <c r="U2" s="34" t="s">
        <v>100</v>
      </c>
      <c r="V2" s="34" t="s">
        <v>101</v>
      </c>
      <c r="W2" s="34" t="s">
        <v>83</v>
      </c>
    </row>
    <row r="3" spans="1:23" ht="14.4" x14ac:dyDescent="0.3">
      <c r="A3" s="44"/>
      <c r="B3" s="75"/>
      <c r="C3" s="36"/>
      <c r="D3" s="36"/>
      <c r="E3" s="36"/>
      <c r="F3" s="36"/>
      <c r="G3" s="36"/>
      <c r="H3" s="36"/>
      <c r="I3" s="75"/>
      <c r="J3" s="35"/>
      <c r="K3" s="59"/>
      <c r="L3" s="35"/>
      <c r="M3" s="36"/>
      <c r="N3" s="36"/>
      <c r="O3" s="75"/>
      <c r="P3" s="59"/>
      <c r="Q3" s="36"/>
      <c r="R3" s="36"/>
      <c r="S3" s="36"/>
      <c r="T3" s="35"/>
      <c r="U3" s="60"/>
      <c r="V3" s="41"/>
      <c r="W3" s="40"/>
    </row>
  </sheetData>
  <mergeCells count="1">
    <mergeCell ref="D1:E1"/>
  </mergeCells>
  <hyperlinks>
    <hyperlink ref="A1" location="Menu!A1" display="Back to Menu" xr:uid="{2F36453C-1B65-4911-A569-6D05EA00515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110" r:id="rId3" name="Toggle2">
              <controlPr defaultSize="0" print="0" autoFill="0" autoPict="0" macro="[0]!'togglePersonAsComplete 3'">
                <anchor moveWithCells="1" sizeWithCells="1">
                  <from>
                    <xdr:col>21</xdr:col>
                    <xdr:colOff>681644</xdr:colOff>
                    <xdr:row>1</xdr:row>
                    <xdr:rowOff>465513</xdr:rowOff>
                  </from>
                  <to>
                    <xdr:col>22</xdr:col>
                    <xdr:colOff>872836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13" r:id="rId4" name="Toggle5">
              <controlPr defaultSize="0" print="0" autoFill="0" autoPict="0" macro="[0]!'togglePersonAsComplete 6'">
                <anchor moveWithCells="1" sizeWithCells="1">
                  <from>
                    <xdr:col>21</xdr:col>
                    <xdr:colOff>681644</xdr:colOff>
                    <xdr:row>2</xdr:row>
                    <xdr:rowOff>0</xdr:rowOff>
                  </from>
                  <to>
                    <xdr:col>22</xdr:col>
                    <xdr:colOff>872836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79FB-8A53-460F-A024-C367DB913058}">
  <sheetPr codeName="Sheet6"/>
  <dimension ref="A1:AG7"/>
  <sheetViews>
    <sheetView topLeftCell="C1" workbookViewId="0">
      <selection activeCell="O19" sqref="O19"/>
    </sheetView>
  </sheetViews>
  <sheetFormatPr defaultRowHeight="15.05" x14ac:dyDescent="0.3"/>
  <cols>
    <col min="1" max="30" width="8.88671875" style="40"/>
    <col min="31" max="31" width="10.109375" style="40" customWidth="1"/>
    <col min="32" max="16384" width="8.88671875" style="40"/>
  </cols>
  <sheetData>
    <row r="1" spans="1:33" ht="20.45" x14ac:dyDescent="0.3">
      <c r="A1" s="65" t="s">
        <v>124</v>
      </c>
      <c r="B1" s="65" t="s">
        <v>125</v>
      </c>
      <c r="C1" s="64" t="s">
        <v>123</v>
      </c>
      <c r="D1" s="65" t="s">
        <v>9</v>
      </c>
      <c r="E1" s="64" t="s">
        <v>11</v>
      </c>
      <c r="F1" s="64" t="s">
        <v>12</v>
      </c>
      <c r="G1" s="64" t="s">
        <v>13</v>
      </c>
      <c r="H1" s="64" t="s">
        <v>55</v>
      </c>
      <c r="I1" s="64" t="s">
        <v>15</v>
      </c>
      <c r="J1" s="64" t="s">
        <v>16</v>
      </c>
      <c r="K1" s="64" t="s">
        <v>17</v>
      </c>
      <c r="L1" s="64" t="s">
        <v>18</v>
      </c>
      <c r="M1" s="64" t="s">
        <v>127</v>
      </c>
      <c r="N1" s="64" t="s">
        <v>128</v>
      </c>
      <c r="O1" s="64" t="s">
        <v>129</v>
      </c>
      <c r="P1" s="64" t="s">
        <v>130</v>
      </c>
      <c r="Q1" s="64" t="s">
        <v>131</v>
      </c>
      <c r="R1" s="64" t="s">
        <v>24</v>
      </c>
      <c r="S1" s="64" t="s">
        <v>23</v>
      </c>
      <c r="T1" s="64" t="s">
        <v>132</v>
      </c>
      <c r="U1" s="64" t="s">
        <v>26</v>
      </c>
      <c r="V1" s="64" t="s">
        <v>133</v>
      </c>
      <c r="W1" s="64" t="s">
        <v>134</v>
      </c>
      <c r="X1" s="64" t="s">
        <v>48</v>
      </c>
      <c r="Y1" s="64" t="s">
        <v>32</v>
      </c>
      <c r="Z1" s="64" t="s">
        <v>33</v>
      </c>
      <c r="AA1" s="64" t="s">
        <v>29</v>
      </c>
      <c r="AB1" s="64" t="s">
        <v>30</v>
      </c>
      <c r="AC1" s="64" t="s">
        <v>28</v>
      </c>
      <c r="AD1" s="64" t="s">
        <v>22</v>
      </c>
      <c r="AE1" s="64" t="s">
        <v>41</v>
      </c>
      <c r="AF1" s="64" t="s">
        <v>3</v>
      </c>
      <c r="AG1" s="64" t="s">
        <v>59</v>
      </c>
    </row>
    <row r="2" spans="1:33" x14ac:dyDescent="0.3">
      <c r="A2" s="40" t="s">
        <v>108</v>
      </c>
      <c r="B2" s="40" t="s">
        <v>103</v>
      </c>
      <c r="C2" s="40" t="s">
        <v>44</v>
      </c>
      <c r="D2" s="40">
        <v>25.4</v>
      </c>
      <c r="E2" s="40">
        <v>13.3</v>
      </c>
      <c r="F2" s="40">
        <v>46</v>
      </c>
      <c r="G2" s="40">
        <v>56.7</v>
      </c>
      <c r="H2" s="40">
        <v>56.8</v>
      </c>
      <c r="I2" s="40">
        <v>66.8</v>
      </c>
      <c r="J2" s="40">
        <v>293.89999999999998</v>
      </c>
      <c r="K2" s="40">
        <v>126</v>
      </c>
      <c r="L2" s="36">
        <v>7046</v>
      </c>
      <c r="M2" s="36">
        <v>7058</v>
      </c>
      <c r="O2" s="36" t="s">
        <v>111</v>
      </c>
      <c r="Q2" s="36" t="s">
        <v>58</v>
      </c>
      <c r="R2" s="35"/>
      <c r="S2" s="36" t="s">
        <v>60</v>
      </c>
      <c r="T2" s="36" t="s">
        <v>96</v>
      </c>
      <c r="U2" s="35" t="s">
        <v>70</v>
      </c>
      <c r="V2" s="36" t="s">
        <v>93</v>
      </c>
      <c r="W2" s="36">
        <v>6748</v>
      </c>
      <c r="X2" s="35"/>
      <c r="Y2" s="35"/>
      <c r="Z2" s="35"/>
      <c r="AA2" s="36" t="s">
        <v>67</v>
      </c>
      <c r="AB2" s="36">
        <v>7656</v>
      </c>
      <c r="AC2" s="36" t="s">
        <v>51</v>
      </c>
      <c r="AD2" s="36" t="s">
        <v>67</v>
      </c>
      <c r="AE2" s="59" t="s">
        <v>109</v>
      </c>
      <c r="AF2" s="59" t="s">
        <v>43</v>
      </c>
      <c r="AG2" s="40">
        <v>7.8</v>
      </c>
    </row>
    <row r="3" spans="1:33" x14ac:dyDescent="0.3">
      <c r="A3" s="40" t="s">
        <v>90</v>
      </c>
      <c r="B3" s="40" t="s">
        <v>115</v>
      </c>
      <c r="C3" s="40" t="s">
        <v>78</v>
      </c>
      <c r="D3" s="40">
        <v>19</v>
      </c>
      <c r="E3" s="40">
        <v>13</v>
      </c>
      <c r="F3" s="40">
        <v>38.1</v>
      </c>
      <c r="G3" s="40">
        <v>61.3</v>
      </c>
      <c r="H3" s="40">
        <v>44.2</v>
      </c>
      <c r="I3" s="40">
        <v>70</v>
      </c>
      <c r="J3" s="40">
        <v>317.10000000000002</v>
      </c>
      <c r="K3" s="40">
        <v>100.2</v>
      </c>
      <c r="L3" s="36">
        <v>8040</v>
      </c>
      <c r="N3" s="35"/>
      <c r="P3" s="36" t="s">
        <v>79</v>
      </c>
      <c r="Q3" s="36" t="s">
        <v>76</v>
      </c>
      <c r="R3" s="36">
        <v>6.375</v>
      </c>
      <c r="S3" s="35" t="s">
        <v>98</v>
      </c>
      <c r="T3" s="35"/>
      <c r="U3" s="35" t="s">
        <v>70</v>
      </c>
      <c r="V3" s="36" t="s">
        <v>93</v>
      </c>
      <c r="W3" s="36">
        <v>7640</v>
      </c>
      <c r="X3" s="35"/>
      <c r="Y3" s="36" t="s">
        <v>120</v>
      </c>
      <c r="Z3" s="35">
        <v>6.125</v>
      </c>
      <c r="AA3" s="36" t="s">
        <v>81</v>
      </c>
      <c r="AB3" s="36">
        <v>7644</v>
      </c>
      <c r="AC3" s="36" t="s">
        <v>51</v>
      </c>
      <c r="AD3" s="36" t="s">
        <v>81</v>
      </c>
      <c r="AE3" s="59" t="s">
        <v>116</v>
      </c>
      <c r="AF3" s="59" t="s">
        <v>43</v>
      </c>
      <c r="AG3" s="40">
        <v>7.4</v>
      </c>
    </row>
    <row r="4" spans="1:33" x14ac:dyDescent="0.3">
      <c r="A4" s="40" t="s">
        <v>146</v>
      </c>
      <c r="B4" s="40" t="s">
        <v>147</v>
      </c>
      <c r="C4" s="40" t="s">
        <v>78</v>
      </c>
      <c r="D4" s="40">
        <v>22</v>
      </c>
      <c r="E4" s="40">
        <v>16</v>
      </c>
      <c r="F4" s="40">
        <v>35</v>
      </c>
      <c r="G4" s="40">
        <v>31</v>
      </c>
      <c r="H4" s="40">
        <v>37</v>
      </c>
      <c r="I4" s="40">
        <v>66</v>
      </c>
      <c r="J4" s="40">
        <v>39</v>
      </c>
      <c r="K4" s="40">
        <v>13</v>
      </c>
      <c r="L4" s="75">
        <v>6736</v>
      </c>
      <c r="N4" s="36">
        <v>6731</v>
      </c>
      <c r="P4" s="36">
        <v>16</v>
      </c>
      <c r="Q4" s="36" t="s">
        <v>135</v>
      </c>
      <c r="R4" s="36">
        <v>7</v>
      </c>
      <c r="S4" s="75" t="s">
        <v>136</v>
      </c>
      <c r="T4" s="75" t="s">
        <v>136</v>
      </c>
      <c r="U4" s="35" t="s">
        <v>137</v>
      </c>
      <c r="V4" s="35" t="s">
        <v>138</v>
      </c>
      <c r="W4" s="75">
        <v>6736</v>
      </c>
      <c r="X4" s="75">
        <v>6734</v>
      </c>
      <c r="Y4" s="35"/>
      <c r="Z4" s="35">
        <v>7</v>
      </c>
      <c r="AA4" s="75" t="s">
        <v>135</v>
      </c>
      <c r="AB4" s="36">
        <v>7040</v>
      </c>
      <c r="AC4" s="35"/>
      <c r="AD4" s="75" t="s">
        <v>135</v>
      </c>
      <c r="AE4" s="59" t="s">
        <v>155</v>
      </c>
      <c r="AF4" s="59" t="s">
        <v>154</v>
      </c>
    </row>
    <row r="5" spans="1:33" x14ac:dyDescent="0.3">
      <c r="A5" s="40" t="s">
        <v>148</v>
      </c>
      <c r="B5" s="40" t="s">
        <v>149</v>
      </c>
      <c r="C5" s="40" t="s">
        <v>78</v>
      </c>
      <c r="D5" s="40">
        <v>23.5</v>
      </c>
      <c r="E5" s="40">
        <v>17</v>
      </c>
      <c r="F5" s="40">
        <v>45</v>
      </c>
      <c r="G5" s="40">
        <v>43</v>
      </c>
      <c r="H5" s="40">
        <v>43</v>
      </c>
      <c r="I5" s="40">
        <v>75</v>
      </c>
      <c r="J5" s="40">
        <v>304.8</v>
      </c>
      <c r="K5" s="40">
        <v>101.6</v>
      </c>
      <c r="L5" s="75">
        <v>8046</v>
      </c>
      <c r="N5" s="36">
        <v>7644</v>
      </c>
      <c r="P5" s="36">
        <v>17.5</v>
      </c>
      <c r="Q5" s="36" t="s">
        <v>140</v>
      </c>
      <c r="R5" s="36">
        <v>7.5</v>
      </c>
      <c r="S5" s="36" t="s">
        <v>141</v>
      </c>
      <c r="T5" s="36" t="s">
        <v>141</v>
      </c>
      <c r="U5" s="75" t="s">
        <v>76</v>
      </c>
      <c r="V5" s="35" t="s">
        <v>138</v>
      </c>
      <c r="W5" s="36">
        <v>7648</v>
      </c>
      <c r="X5" s="36">
        <v>7646</v>
      </c>
      <c r="Y5" s="35"/>
      <c r="Z5" s="35">
        <v>7.5</v>
      </c>
      <c r="AA5" s="36" t="s">
        <v>140</v>
      </c>
      <c r="AB5" s="36">
        <v>7648</v>
      </c>
      <c r="AC5" s="35"/>
      <c r="AD5" s="36" t="s">
        <v>140</v>
      </c>
      <c r="AE5" s="59" t="s">
        <v>167</v>
      </c>
      <c r="AF5" s="59" t="s">
        <v>154</v>
      </c>
    </row>
    <row r="6" spans="1:33" x14ac:dyDescent="0.3">
      <c r="A6" s="40" t="s">
        <v>150</v>
      </c>
      <c r="B6" s="40" t="s">
        <v>151</v>
      </c>
      <c r="C6" s="40" t="s">
        <v>78</v>
      </c>
      <c r="D6" s="40">
        <v>22</v>
      </c>
      <c r="E6" s="40">
        <v>16.5</v>
      </c>
      <c r="F6" s="40">
        <v>40</v>
      </c>
      <c r="G6" s="40">
        <v>30</v>
      </c>
      <c r="H6" s="40">
        <v>38</v>
      </c>
      <c r="I6" s="40">
        <v>62</v>
      </c>
      <c r="J6" s="40">
        <v>240</v>
      </c>
      <c r="K6" s="40">
        <v>130</v>
      </c>
      <c r="L6" s="75">
        <v>6440</v>
      </c>
      <c r="N6" s="36">
        <v>6430</v>
      </c>
      <c r="P6" s="36">
        <v>16.5</v>
      </c>
      <c r="Q6" s="36" t="s">
        <v>76</v>
      </c>
      <c r="R6" s="75">
        <v>7</v>
      </c>
      <c r="S6" s="75" t="s">
        <v>136</v>
      </c>
      <c r="T6" s="75" t="s">
        <v>136</v>
      </c>
      <c r="U6" s="75" t="s">
        <v>143</v>
      </c>
      <c r="V6" s="35" t="s">
        <v>138</v>
      </c>
      <c r="W6" s="36">
        <v>6440</v>
      </c>
      <c r="X6" s="75">
        <v>6430</v>
      </c>
      <c r="Y6" s="35"/>
      <c r="Z6" s="35">
        <v>7</v>
      </c>
      <c r="AA6" s="75" t="s">
        <v>135</v>
      </c>
      <c r="AB6" s="75">
        <v>6444</v>
      </c>
      <c r="AC6" s="35"/>
      <c r="AD6" s="75" t="s">
        <v>135</v>
      </c>
      <c r="AE6" s="59">
        <v>87519091</v>
      </c>
      <c r="AF6" s="59" t="s">
        <v>154</v>
      </c>
    </row>
    <row r="7" spans="1:33" x14ac:dyDescent="0.3">
      <c r="A7" s="40" t="s">
        <v>152</v>
      </c>
      <c r="B7" s="40" t="s">
        <v>153</v>
      </c>
      <c r="C7" s="40" t="s">
        <v>78</v>
      </c>
      <c r="D7" s="40">
        <v>22</v>
      </c>
      <c r="E7" s="40">
        <v>13.5</v>
      </c>
      <c r="F7" s="40">
        <v>32</v>
      </c>
      <c r="G7" s="40">
        <v>26.5</v>
      </c>
      <c r="H7" s="40">
        <v>31</v>
      </c>
      <c r="I7" s="40">
        <v>63</v>
      </c>
      <c r="J7" s="40">
        <v>265</v>
      </c>
      <c r="K7" s="40">
        <v>95</v>
      </c>
      <c r="L7" s="75">
        <v>6432</v>
      </c>
      <c r="N7" s="36">
        <v>6427</v>
      </c>
      <c r="P7" s="45">
        <v>13</v>
      </c>
      <c r="Q7" s="45" t="s">
        <v>143</v>
      </c>
      <c r="R7" s="45">
        <v>7</v>
      </c>
      <c r="S7" s="45" t="s">
        <v>136</v>
      </c>
      <c r="T7" s="45" t="s">
        <v>144</v>
      </c>
      <c r="U7" s="45" t="s">
        <v>135</v>
      </c>
      <c r="V7" s="75" t="s">
        <v>145</v>
      </c>
      <c r="W7" s="45">
        <v>6432</v>
      </c>
      <c r="X7" s="75">
        <v>6430</v>
      </c>
      <c r="Y7" s="35"/>
      <c r="Z7" s="35">
        <v>7</v>
      </c>
      <c r="AA7" s="45" t="s">
        <v>135</v>
      </c>
      <c r="AB7" s="75">
        <v>6436</v>
      </c>
      <c r="AC7" s="35"/>
      <c r="AD7" s="45" t="s">
        <v>135</v>
      </c>
      <c r="AE7" s="59" t="s">
        <v>180</v>
      </c>
      <c r="AF7" s="59" t="s">
        <v>154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F096B-FDF1-49A8-849D-5C3CF01B0CBA}">
  <sheetPr codeName="Sheet4"/>
  <dimension ref="A1:AG44"/>
  <sheetViews>
    <sheetView workbookViewId="0">
      <selection activeCell="E6" sqref="E6:E25"/>
    </sheetView>
  </sheetViews>
  <sheetFormatPr defaultRowHeight="15.05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84" t="s">
        <v>42</v>
      </c>
      <c r="B1" s="20" t="s">
        <v>3</v>
      </c>
      <c r="C1" s="79" t="s">
        <v>0</v>
      </c>
      <c r="D1" s="79"/>
      <c r="E1" s="79" t="s">
        <v>2</v>
      </c>
      <c r="F1" s="79"/>
      <c r="G1" s="20" t="s">
        <v>34</v>
      </c>
      <c r="K1" s="20" t="s">
        <v>38</v>
      </c>
      <c r="L1" s="20" t="s">
        <v>10</v>
      </c>
    </row>
    <row r="2" spans="1:12" x14ac:dyDescent="0.3">
      <c r="A2" s="85"/>
      <c r="B2" s="2" t="s">
        <v>43</v>
      </c>
      <c r="C2" s="78" t="s">
        <v>108</v>
      </c>
      <c r="D2" s="78"/>
      <c r="E2" s="78" t="s">
        <v>103</v>
      </c>
      <c r="F2" s="78"/>
      <c r="G2" s="1" t="s">
        <v>109</v>
      </c>
      <c r="K2" s="4" t="s">
        <v>9</v>
      </c>
      <c r="L2" s="4">
        <v>25.4</v>
      </c>
    </row>
    <row r="3" spans="1:12" ht="14.4" x14ac:dyDescent="0.3">
      <c r="A3" s="20" t="s">
        <v>1</v>
      </c>
      <c r="B3" s="86" t="s">
        <v>4</v>
      </c>
      <c r="C3" s="87"/>
      <c r="D3" s="88"/>
      <c r="E3" s="86" t="s">
        <v>49</v>
      </c>
      <c r="F3" s="88"/>
      <c r="G3" s="20" t="s">
        <v>5</v>
      </c>
      <c r="K3" s="1" t="s">
        <v>11</v>
      </c>
      <c r="L3" s="1">
        <v>13.3</v>
      </c>
    </row>
    <row r="4" spans="1:12" ht="14.4" x14ac:dyDescent="0.3">
      <c r="A4" s="1" t="s">
        <v>39</v>
      </c>
      <c r="B4" s="89">
        <v>2468446139</v>
      </c>
      <c r="C4" s="89"/>
      <c r="D4" s="89"/>
      <c r="E4" s="78" t="s">
        <v>52</v>
      </c>
      <c r="F4" s="78"/>
      <c r="G4" s="1" t="s">
        <v>44</v>
      </c>
      <c r="K4" s="4" t="s">
        <v>12</v>
      </c>
      <c r="L4" s="4">
        <v>46</v>
      </c>
    </row>
    <row r="5" spans="1:12" ht="14.4" x14ac:dyDescent="0.3">
      <c r="A5" s="20" t="s">
        <v>6</v>
      </c>
      <c r="B5" s="79" t="s">
        <v>7</v>
      </c>
      <c r="C5" s="79"/>
      <c r="D5" s="79"/>
      <c r="E5" s="20" t="s">
        <v>8</v>
      </c>
      <c r="F5" s="20" t="s">
        <v>35</v>
      </c>
      <c r="G5" s="20" t="s">
        <v>36</v>
      </c>
      <c r="K5" s="1" t="s">
        <v>13</v>
      </c>
      <c r="L5" s="1">
        <v>56.7</v>
      </c>
    </row>
    <row r="6" spans="1:12" ht="14.4" x14ac:dyDescent="0.3">
      <c r="A6" s="3" t="s">
        <v>110</v>
      </c>
      <c r="B6" s="77" t="s">
        <v>18</v>
      </c>
      <c r="C6" s="77"/>
      <c r="D6" s="77"/>
      <c r="E6" s="91">
        <v>7046</v>
      </c>
      <c r="F6" s="4">
        <v>1</v>
      </c>
      <c r="G6" s="25" t="s">
        <v>63</v>
      </c>
      <c r="H6" s="28" t="str">
        <f>HYPERLINK("#G6",CHAR(128))</f>
        <v>€</v>
      </c>
      <c r="K6" s="4" t="s">
        <v>14</v>
      </c>
      <c r="L6" s="4">
        <v>56.8</v>
      </c>
    </row>
    <row r="7" spans="1:12" ht="14.4" x14ac:dyDescent="0.3">
      <c r="A7" s="2" t="s">
        <v>112</v>
      </c>
      <c r="B7" s="78" t="s">
        <v>21</v>
      </c>
      <c r="C7" s="78"/>
      <c r="D7" s="78"/>
      <c r="E7" s="92" t="s">
        <v>111</v>
      </c>
      <c r="F7" s="16">
        <v>1</v>
      </c>
      <c r="G7" s="25" t="s">
        <v>63</v>
      </c>
      <c r="H7" s="28" t="str">
        <f>HYPERLINK("#G7",CHAR(128))</f>
        <v>€</v>
      </c>
      <c r="K7" s="1" t="s">
        <v>15</v>
      </c>
      <c r="L7" s="1">
        <v>66.8</v>
      </c>
    </row>
    <row r="8" spans="1:12" ht="14.4" x14ac:dyDescent="0.3">
      <c r="A8" s="3" t="s">
        <v>77</v>
      </c>
      <c r="B8" s="77" t="s">
        <v>19</v>
      </c>
      <c r="C8" s="77"/>
      <c r="D8" s="77"/>
      <c r="E8" s="91" t="s">
        <v>58</v>
      </c>
      <c r="F8" s="4">
        <v>1</v>
      </c>
      <c r="G8" s="25" t="s">
        <v>63</v>
      </c>
      <c r="H8" s="28" t="str">
        <f>HYPERLINK("#G8",CHAR(128))</f>
        <v>€</v>
      </c>
      <c r="K8" s="4" t="s">
        <v>16</v>
      </c>
      <c r="L8" s="4">
        <v>293.89999999999998</v>
      </c>
    </row>
    <row r="9" spans="1:12" ht="14.4" x14ac:dyDescent="0.3">
      <c r="A9" s="2" t="s">
        <v>113</v>
      </c>
      <c r="B9" s="78" t="s">
        <v>20</v>
      </c>
      <c r="C9" s="78"/>
      <c r="D9" s="78"/>
      <c r="E9" s="92">
        <v>7058</v>
      </c>
      <c r="F9" s="16">
        <v>1</v>
      </c>
      <c r="G9" s="25" t="s">
        <v>63</v>
      </c>
      <c r="H9" s="28" t="str">
        <f>HYPERLINK("#G9",CHAR(128))</f>
        <v>€</v>
      </c>
      <c r="I9" s="11"/>
      <c r="K9" s="1" t="s">
        <v>17</v>
      </c>
      <c r="L9" s="1">
        <v>126</v>
      </c>
    </row>
    <row r="10" spans="1:12" ht="14.4" x14ac:dyDescent="0.3">
      <c r="A10" s="3"/>
      <c r="B10" s="77" t="s">
        <v>24</v>
      </c>
      <c r="C10" s="77"/>
      <c r="D10" s="77"/>
      <c r="E10" s="91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>
        <v>7.8</v>
      </c>
    </row>
    <row r="11" spans="1:12" ht="14.4" x14ac:dyDescent="0.3">
      <c r="A11" s="2" t="s">
        <v>61</v>
      </c>
      <c r="B11" s="78" t="s">
        <v>23</v>
      </c>
      <c r="C11" s="78"/>
      <c r="D11" s="78"/>
      <c r="E11" s="92" t="s">
        <v>60</v>
      </c>
      <c r="F11" s="16">
        <v>1</v>
      </c>
      <c r="G11" s="25" t="s">
        <v>63</v>
      </c>
      <c r="H11" s="28" t="str">
        <f>HYPERLINK("#G11",CHAR(128))</f>
        <v>€</v>
      </c>
    </row>
    <row r="12" spans="1:12" ht="14.4" x14ac:dyDescent="0.3">
      <c r="A12" s="5" t="s">
        <v>97</v>
      </c>
      <c r="B12" s="77" t="s">
        <v>25</v>
      </c>
      <c r="C12" s="77"/>
      <c r="D12" s="77"/>
      <c r="E12" s="91" t="s">
        <v>96</v>
      </c>
      <c r="F12" s="4">
        <v>1</v>
      </c>
      <c r="G12" s="25" t="s">
        <v>63</v>
      </c>
      <c r="H12" s="28" t="str">
        <f>HYPERLINK("#G12",CHAR(128))</f>
        <v>€</v>
      </c>
    </row>
    <row r="13" spans="1:12" ht="14.4" x14ac:dyDescent="0.3">
      <c r="A13" s="2" t="s">
        <v>71</v>
      </c>
      <c r="B13" s="78" t="s">
        <v>26</v>
      </c>
      <c r="C13" s="78"/>
      <c r="D13" s="78"/>
      <c r="E13" s="92" t="s">
        <v>70</v>
      </c>
      <c r="F13" s="16">
        <v>1</v>
      </c>
      <c r="G13" s="25" t="s">
        <v>45</v>
      </c>
      <c r="H13" s="28" t="str">
        <f>HYPERLINK("#G13",CHAR(128))</f>
        <v>€</v>
      </c>
    </row>
    <row r="14" spans="1:12" ht="14.4" x14ac:dyDescent="0.3">
      <c r="A14" s="5" t="s">
        <v>94</v>
      </c>
      <c r="B14" s="77" t="s">
        <v>27</v>
      </c>
      <c r="C14" s="77"/>
      <c r="D14" s="77"/>
      <c r="E14" s="91" t="s">
        <v>93</v>
      </c>
      <c r="F14" s="4">
        <v>1</v>
      </c>
      <c r="G14" s="25" t="s">
        <v>63</v>
      </c>
      <c r="H14" s="28" t="str">
        <f>HYPERLINK("#G14",CHAR(128))</f>
        <v>€</v>
      </c>
    </row>
    <row r="15" spans="1:12" ht="14.4" x14ac:dyDescent="0.3">
      <c r="A15" s="2"/>
      <c r="B15" s="83"/>
      <c r="C15" s="83"/>
      <c r="D15" s="83"/>
      <c r="E15" s="92"/>
      <c r="F15" s="16"/>
      <c r="G15" s="16"/>
      <c r="H15" s="14"/>
    </row>
    <row r="16" spans="1:12" ht="14.4" x14ac:dyDescent="0.3">
      <c r="A16" s="5" t="s">
        <v>46</v>
      </c>
      <c r="B16" s="77" t="s">
        <v>28</v>
      </c>
      <c r="C16" s="77"/>
      <c r="D16" s="77"/>
      <c r="E16" s="91" t="s">
        <v>51</v>
      </c>
      <c r="F16" s="4">
        <v>1</v>
      </c>
      <c r="G16" s="25" t="s">
        <v>63</v>
      </c>
      <c r="H16" s="23" t="str">
        <f>HYPERLINK("#G16",CHAR(128))</f>
        <v>€</v>
      </c>
    </row>
    <row r="17" spans="1:10" ht="14.4" x14ac:dyDescent="0.3">
      <c r="A17" s="2" t="s">
        <v>68</v>
      </c>
      <c r="B17" s="78" t="s">
        <v>22</v>
      </c>
      <c r="C17" s="78"/>
      <c r="D17" s="78"/>
      <c r="E17" s="92" t="s">
        <v>67</v>
      </c>
      <c r="F17" s="16">
        <v>1</v>
      </c>
      <c r="G17" s="25" t="s">
        <v>63</v>
      </c>
      <c r="H17" s="23" t="str">
        <f>HYPERLINK("#G17",CHAR(128))</f>
        <v>€</v>
      </c>
    </row>
    <row r="18" spans="1:10" ht="14.4" x14ac:dyDescent="0.3">
      <c r="A18" s="5" t="s">
        <v>75</v>
      </c>
      <c r="B18" s="77" t="s">
        <v>29</v>
      </c>
      <c r="C18" s="77"/>
      <c r="D18" s="77"/>
      <c r="E18" s="91">
        <v>7656</v>
      </c>
      <c r="F18" s="4">
        <v>1</v>
      </c>
      <c r="G18" s="25" t="s">
        <v>63</v>
      </c>
      <c r="H18" s="23" t="str">
        <f>HYPERLINK("#G18",CHAR(128))</f>
        <v>€</v>
      </c>
    </row>
    <row r="19" spans="1:10" ht="14.4" x14ac:dyDescent="0.3">
      <c r="A19" s="2" t="s">
        <v>73</v>
      </c>
      <c r="B19" s="78" t="s">
        <v>30</v>
      </c>
      <c r="C19" s="78"/>
      <c r="D19" s="78"/>
      <c r="E19" s="92" t="s">
        <v>72</v>
      </c>
      <c r="F19" s="16">
        <v>1</v>
      </c>
      <c r="G19" s="25" t="s">
        <v>63</v>
      </c>
      <c r="H19" s="23" t="str">
        <f>HYPERLINK("#G19",CHAR(128))</f>
        <v>€</v>
      </c>
    </row>
    <row r="20" spans="1:10" ht="14.4" x14ac:dyDescent="0.3">
      <c r="A20" s="5"/>
      <c r="B20" s="80"/>
      <c r="C20" s="81"/>
      <c r="D20" s="82"/>
      <c r="E20" s="91"/>
      <c r="F20" s="4"/>
      <c r="G20" s="4"/>
      <c r="H20" s="14"/>
    </row>
    <row r="21" spans="1:10" ht="14.4" x14ac:dyDescent="0.3">
      <c r="A21" s="2"/>
      <c r="B21" s="78" t="s">
        <v>33</v>
      </c>
      <c r="C21" s="78"/>
      <c r="D21" s="78"/>
      <c r="E21" s="92"/>
      <c r="F21" s="16">
        <v>1</v>
      </c>
      <c r="G21" s="25" t="s">
        <v>45</v>
      </c>
      <c r="H21" s="23" t="str">
        <f>HYPERLINK("#G21",CHAR(128))</f>
        <v>€</v>
      </c>
    </row>
    <row r="22" spans="1:10" ht="14.4" x14ac:dyDescent="0.3">
      <c r="A22" s="5" t="s">
        <v>114</v>
      </c>
      <c r="B22" s="77" t="s">
        <v>31</v>
      </c>
      <c r="C22" s="77"/>
      <c r="D22" s="77"/>
      <c r="E22" s="91">
        <v>6748</v>
      </c>
      <c r="F22" s="4">
        <v>1</v>
      </c>
      <c r="G22" s="25" t="s">
        <v>63</v>
      </c>
      <c r="H22" s="23" t="str">
        <f>HYPERLINK("#G22",CHAR(128))</f>
        <v>€</v>
      </c>
    </row>
    <row r="23" spans="1:10" ht="14.4" x14ac:dyDescent="0.3">
      <c r="A23" s="2"/>
      <c r="B23" s="78" t="s">
        <v>48</v>
      </c>
      <c r="C23" s="78"/>
      <c r="D23" s="78"/>
      <c r="E23" s="92"/>
      <c r="F23" s="16">
        <v>1</v>
      </c>
      <c r="G23" s="25" t="s">
        <v>45</v>
      </c>
      <c r="H23" s="22" t="str">
        <f>HYPERLINK("#G23",CHAR(128))</f>
        <v>€</v>
      </c>
    </row>
    <row r="24" spans="1:10" ht="14.4" x14ac:dyDescent="0.3">
      <c r="A24" s="5"/>
      <c r="B24" s="77" t="s">
        <v>32</v>
      </c>
      <c r="C24" s="77"/>
      <c r="D24" s="77"/>
      <c r="E24" s="91"/>
      <c r="F24" s="4">
        <v>1</v>
      </c>
      <c r="G24" s="25" t="s">
        <v>45</v>
      </c>
      <c r="H24" s="22" t="str">
        <f>HYPERLINK("#G24",CHAR(128))</f>
        <v>€</v>
      </c>
    </row>
    <row r="25" spans="1:10" ht="14.4" x14ac:dyDescent="0.3">
      <c r="A25" s="2"/>
      <c r="B25" s="78"/>
      <c r="C25" s="78"/>
      <c r="D25" s="78"/>
      <c r="E25" s="92"/>
      <c r="F25" s="16"/>
      <c r="G25" s="16"/>
      <c r="H25" s="14"/>
      <c r="I25" s="12"/>
    </row>
    <row r="26" spans="1:10" ht="14.4" x14ac:dyDescent="0.3">
      <c r="A26" s="5"/>
      <c r="B26" s="77" t="s">
        <v>37</v>
      </c>
      <c r="C26" s="77"/>
      <c r="D26" s="77"/>
      <c r="E26" s="4" t="str">
        <f>C2</f>
        <v>Clark</v>
      </c>
      <c r="F26" s="4">
        <v>1</v>
      </c>
      <c r="G26" s="25" t="s">
        <v>45</v>
      </c>
      <c r="H26" s="24" t="str">
        <f>HYPERLINK("#G26",CHAR(128))</f>
        <v>€</v>
      </c>
    </row>
    <row r="28" spans="1:10" ht="14.4" x14ac:dyDescent="0.3">
      <c r="J28" s="18"/>
    </row>
    <row r="29" spans="1:10" ht="14.4" x14ac:dyDescent="0.3">
      <c r="A29" s="20"/>
      <c r="B29" s="79" t="s">
        <v>50</v>
      </c>
      <c r="C29" s="79"/>
      <c r="D29" s="79"/>
      <c r="E29" s="20" t="s">
        <v>8</v>
      </c>
      <c r="F29" s="20" t="s">
        <v>35</v>
      </c>
      <c r="G29" s="21" t="s">
        <v>36</v>
      </c>
    </row>
    <row r="30" spans="1:10" ht="14.4" x14ac:dyDescent="0.3">
      <c r="A30" s="3"/>
      <c r="B30" s="77"/>
      <c r="C30" s="77"/>
      <c r="D30" s="77"/>
      <c r="E30" s="4"/>
      <c r="F30" s="10">
        <v>1</v>
      </c>
      <c r="G30" s="17"/>
      <c r="H30" s="19" t="str">
        <f>HYPERLINK("#G30",CHAR(128))</f>
        <v>€</v>
      </c>
    </row>
    <row r="31" spans="1:10" ht="14.4" x14ac:dyDescent="0.3">
      <c r="A31" s="2"/>
      <c r="B31" s="78"/>
      <c r="C31" s="78"/>
      <c r="D31" s="78"/>
      <c r="E31" s="1"/>
      <c r="F31" s="16">
        <v>1</v>
      </c>
      <c r="G31" s="26"/>
      <c r="H31" s="19" t="str">
        <f>HYPERLINK("#G31",CHAR(128))</f>
        <v>€</v>
      </c>
    </row>
    <row r="32" spans="1:10" ht="14.4" x14ac:dyDescent="0.3">
      <c r="A32" s="3"/>
      <c r="B32" s="77"/>
      <c r="C32" s="77"/>
      <c r="D32" s="77"/>
      <c r="E32" s="4"/>
      <c r="F32" s="4">
        <v>1</v>
      </c>
      <c r="G32" s="27"/>
      <c r="H32" s="19" t="str">
        <f>HYPERLINK("#G32",CHAR(128))</f>
        <v>€</v>
      </c>
    </row>
    <row r="33" spans="1:33" ht="14.4" x14ac:dyDescent="0.3">
      <c r="A33" s="2"/>
      <c r="B33" s="78"/>
      <c r="C33" s="78"/>
      <c r="D33" s="78"/>
      <c r="E33" s="1"/>
      <c r="F33" s="16">
        <v>1</v>
      </c>
      <c r="G33" s="26"/>
      <c r="H33" s="19" t="str">
        <f>HYPERLINK("#G33",CHAR(128))</f>
        <v>€</v>
      </c>
    </row>
    <row r="34" spans="1:33" ht="14.4" x14ac:dyDescent="0.3">
      <c r="A34" s="3"/>
      <c r="B34" s="77"/>
      <c r="C34" s="77"/>
      <c r="D34" s="77"/>
      <c r="E34" s="4"/>
      <c r="F34" s="4">
        <v>1</v>
      </c>
      <c r="G34" s="27"/>
      <c r="H34" s="19" t="str">
        <f>HYPERLINK("#G34",CHAR(128))</f>
        <v>€</v>
      </c>
    </row>
    <row r="37" spans="1:33" ht="14.4" x14ac:dyDescent="0.3">
      <c r="A37" s="40" t="s">
        <v>40</v>
      </c>
      <c r="B37" s="40" t="s">
        <v>7</v>
      </c>
      <c r="C37" s="40" t="s">
        <v>65</v>
      </c>
      <c r="D37" s="40" t="s">
        <v>66</v>
      </c>
    </row>
    <row r="38" spans="1:33" ht="14.4" x14ac:dyDescent="0.3">
      <c r="A38" s="40"/>
      <c r="B38" s="40"/>
      <c r="C38" s="40"/>
      <c r="D38" s="40"/>
    </row>
    <row r="40" spans="1:33" ht="30.6" x14ac:dyDescent="0.3">
      <c r="A40" s="65" t="s">
        <v>124</v>
      </c>
      <c r="B40" s="65" t="s">
        <v>125</v>
      </c>
      <c r="C40" s="64" t="s">
        <v>126</v>
      </c>
      <c r="D40" s="65" t="s">
        <v>9</v>
      </c>
      <c r="E40" s="64" t="s">
        <v>11</v>
      </c>
      <c r="F40" s="64" t="s">
        <v>12</v>
      </c>
      <c r="G40" s="64" t="s">
        <v>13</v>
      </c>
      <c r="H40" s="64" t="s">
        <v>55</v>
      </c>
      <c r="I40" s="64" t="s">
        <v>15</v>
      </c>
      <c r="J40" s="64" t="s">
        <v>16</v>
      </c>
      <c r="K40" s="64" t="s">
        <v>17</v>
      </c>
      <c r="L40" s="64" t="s">
        <v>18</v>
      </c>
      <c r="M40" s="64" t="s">
        <v>127</v>
      </c>
      <c r="N40" s="64" t="s">
        <v>128</v>
      </c>
      <c r="O40" s="64" t="s">
        <v>129</v>
      </c>
      <c r="P40" s="64" t="s">
        <v>130</v>
      </c>
      <c r="Q40" s="64" t="s">
        <v>131</v>
      </c>
      <c r="R40" s="64" t="s">
        <v>24</v>
      </c>
      <c r="S40" s="64" t="s">
        <v>23</v>
      </c>
      <c r="T40" s="64" t="s">
        <v>132</v>
      </c>
      <c r="U40" s="64" t="s">
        <v>26</v>
      </c>
      <c r="V40" s="64" t="s">
        <v>133</v>
      </c>
      <c r="W40" s="64" t="s">
        <v>134</v>
      </c>
      <c r="X40" s="64" t="s">
        <v>48</v>
      </c>
      <c r="Y40" s="64" t="s">
        <v>32</v>
      </c>
      <c r="Z40" s="64" t="s">
        <v>33</v>
      </c>
      <c r="AA40" s="64" t="s">
        <v>29</v>
      </c>
      <c r="AB40" s="64" t="s">
        <v>30</v>
      </c>
      <c r="AC40" s="64" t="s">
        <v>28</v>
      </c>
      <c r="AD40" s="64" t="s">
        <v>22</v>
      </c>
      <c r="AE40" s="64" t="s">
        <v>41</v>
      </c>
      <c r="AF40" s="64" t="s">
        <v>3</v>
      </c>
      <c r="AG40" s="64" t="s">
        <v>59</v>
      </c>
    </row>
    <row r="41" spans="1:33" ht="14.4" x14ac:dyDescent="0.3">
      <c r="A41" s="66" t="s">
        <v>146</v>
      </c>
      <c r="B41" s="67" t="s">
        <v>147</v>
      </c>
      <c r="C41" s="67" t="s">
        <v>44</v>
      </c>
      <c r="D41" s="68">
        <v>22</v>
      </c>
      <c r="E41" s="69">
        <v>16</v>
      </c>
      <c r="F41" s="69">
        <v>35</v>
      </c>
      <c r="G41" s="69">
        <v>31</v>
      </c>
      <c r="H41" s="69">
        <v>37</v>
      </c>
      <c r="I41" s="69">
        <v>66</v>
      </c>
      <c r="J41" s="69">
        <v>39</v>
      </c>
      <c r="K41" s="69">
        <v>13</v>
      </c>
      <c r="L41" s="70">
        <v>6736</v>
      </c>
      <c r="M41" s="71">
        <v>6731</v>
      </c>
      <c r="N41" s="67"/>
      <c r="O41" s="71">
        <v>16</v>
      </c>
      <c r="P41" s="67"/>
      <c r="Q41" s="71" t="s">
        <v>135</v>
      </c>
      <c r="R41" s="71">
        <v>7</v>
      </c>
      <c r="S41" s="70" t="s">
        <v>136</v>
      </c>
      <c r="T41" s="70" t="s">
        <v>136</v>
      </c>
      <c r="U41" s="72" t="s">
        <v>137</v>
      </c>
      <c r="V41" s="69" t="s">
        <v>138</v>
      </c>
      <c r="W41" s="70">
        <v>6736</v>
      </c>
      <c r="X41" s="70">
        <v>6734</v>
      </c>
      <c r="Y41" s="67"/>
      <c r="Z41" s="70">
        <v>7</v>
      </c>
      <c r="AA41" s="71">
        <v>7040</v>
      </c>
      <c r="AB41" s="70" t="s">
        <v>139</v>
      </c>
      <c r="AC41" s="67"/>
      <c r="AD41" s="70" t="s">
        <v>135</v>
      </c>
      <c r="AE41" s="2"/>
      <c r="AF41" s="2"/>
      <c r="AG41" s="2"/>
    </row>
    <row r="42" spans="1:33" ht="14.4" x14ac:dyDescent="0.3">
      <c r="A42" s="66" t="s">
        <v>148</v>
      </c>
      <c r="B42" s="67" t="s">
        <v>149</v>
      </c>
      <c r="C42" s="67" t="s">
        <v>44</v>
      </c>
      <c r="D42" s="68">
        <v>23.5</v>
      </c>
      <c r="E42" s="69">
        <v>17</v>
      </c>
      <c r="F42" s="69">
        <v>45</v>
      </c>
      <c r="G42" s="69">
        <v>43</v>
      </c>
      <c r="H42" s="69">
        <v>43</v>
      </c>
      <c r="I42" s="69">
        <v>75</v>
      </c>
      <c r="J42" s="69">
        <v>304.8</v>
      </c>
      <c r="K42" s="69">
        <v>101.6</v>
      </c>
      <c r="L42" s="70">
        <v>8046</v>
      </c>
      <c r="M42" s="71">
        <v>7644</v>
      </c>
      <c r="N42" s="67"/>
      <c r="O42" s="71">
        <v>17.5</v>
      </c>
      <c r="P42" s="67"/>
      <c r="Q42" s="71" t="s">
        <v>140</v>
      </c>
      <c r="R42" s="73">
        <v>7.5</v>
      </c>
      <c r="S42" s="71" t="s">
        <v>141</v>
      </c>
      <c r="T42" s="71" t="s">
        <v>141</v>
      </c>
      <c r="U42" s="70" t="s">
        <v>76</v>
      </c>
      <c r="V42" s="69" t="s">
        <v>138</v>
      </c>
      <c r="W42" s="71">
        <v>7648</v>
      </c>
      <c r="X42" s="71">
        <v>7646</v>
      </c>
      <c r="Y42" s="67"/>
      <c r="Z42" s="73">
        <v>7.5</v>
      </c>
      <c r="AA42" s="71">
        <v>7648</v>
      </c>
      <c r="AB42" s="70" t="s">
        <v>142</v>
      </c>
      <c r="AC42" s="67"/>
      <c r="AD42" s="71" t="s">
        <v>140</v>
      </c>
      <c r="AE42" s="2"/>
      <c r="AF42" s="2"/>
      <c r="AG42" s="2"/>
    </row>
    <row r="43" spans="1:33" ht="14.4" x14ac:dyDescent="0.3">
      <c r="A43" s="66" t="s">
        <v>150</v>
      </c>
      <c r="B43" s="67" t="s">
        <v>151</v>
      </c>
      <c r="C43" s="67" t="s">
        <v>44</v>
      </c>
      <c r="D43" s="68">
        <v>22</v>
      </c>
      <c r="E43" s="69">
        <v>16.5</v>
      </c>
      <c r="F43" s="69">
        <v>40</v>
      </c>
      <c r="G43" s="69">
        <v>30</v>
      </c>
      <c r="H43" s="69">
        <v>38</v>
      </c>
      <c r="I43" s="69">
        <v>62</v>
      </c>
      <c r="J43" s="69">
        <v>240</v>
      </c>
      <c r="K43" s="69">
        <v>130</v>
      </c>
      <c r="L43" s="70">
        <v>6440</v>
      </c>
      <c r="M43" s="71">
        <v>6430</v>
      </c>
      <c r="N43" s="67"/>
      <c r="O43" s="71">
        <v>16.5</v>
      </c>
      <c r="P43" s="67"/>
      <c r="Q43" s="71" t="s">
        <v>76</v>
      </c>
      <c r="R43" s="70">
        <v>7</v>
      </c>
      <c r="S43" s="70" t="s">
        <v>136</v>
      </c>
      <c r="T43" s="70" t="s">
        <v>136</v>
      </c>
      <c r="U43" s="70" t="s">
        <v>143</v>
      </c>
      <c r="V43" s="69" t="s">
        <v>138</v>
      </c>
      <c r="W43" s="71">
        <v>6440</v>
      </c>
      <c r="X43" s="70">
        <v>6430</v>
      </c>
      <c r="Y43" s="67"/>
      <c r="Z43" s="70">
        <v>7</v>
      </c>
      <c r="AA43" s="70">
        <v>6444</v>
      </c>
      <c r="AB43" s="70" t="s">
        <v>139</v>
      </c>
      <c r="AC43" s="67"/>
      <c r="AD43" s="70" t="s">
        <v>135</v>
      </c>
      <c r="AE43" s="2"/>
      <c r="AF43" s="2"/>
      <c r="AG43" s="2"/>
    </row>
    <row r="44" spans="1:33" ht="14.4" x14ac:dyDescent="0.3">
      <c r="A44" s="66" t="s">
        <v>152</v>
      </c>
      <c r="B44" s="67" t="s">
        <v>153</v>
      </c>
      <c r="C44" s="67" t="s">
        <v>44</v>
      </c>
      <c r="D44" s="68">
        <v>22</v>
      </c>
      <c r="E44" s="69">
        <v>13.5</v>
      </c>
      <c r="F44" s="69">
        <v>32</v>
      </c>
      <c r="G44" s="69">
        <v>26.5</v>
      </c>
      <c r="H44" s="69">
        <v>31</v>
      </c>
      <c r="I44" s="69">
        <v>63</v>
      </c>
      <c r="J44" s="69">
        <v>265</v>
      </c>
      <c r="K44" s="69">
        <v>95</v>
      </c>
      <c r="L44" s="70">
        <v>6432</v>
      </c>
      <c r="M44" s="71">
        <v>6427</v>
      </c>
      <c r="N44" s="67"/>
      <c r="O44" s="74">
        <v>13</v>
      </c>
      <c r="P44" s="67"/>
      <c r="Q44" s="74" t="s">
        <v>143</v>
      </c>
      <c r="R44" s="74">
        <v>7</v>
      </c>
      <c r="S44" s="74" t="s">
        <v>136</v>
      </c>
      <c r="T44" s="74" t="s">
        <v>144</v>
      </c>
      <c r="U44" s="74" t="s">
        <v>135</v>
      </c>
      <c r="V44" s="70" t="s">
        <v>145</v>
      </c>
      <c r="W44" s="74">
        <v>6432</v>
      </c>
      <c r="X44" s="70">
        <v>6430</v>
      </c>
      <c r="Y44" s="67"/>
      <c r="Z44" s="74">
        <v>7</v>
      </c>
      <c r="AA44" s="70">
        <v>6436</v>
      </c>
      <c r="AB44" s="74" t="s">
        <v>139</v>
      </c>
      <c r="AC44" s="67"/>
      <c r="AD44" s="74" t="s">
        <v>135</v>
      </c>
      <c r="AE44" s="2"/>
      <c r="AF44" s="2"/>
      <c r="AG44" s="2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77" priority="2" operator="equal">
      <formula>"Returned"</formula>
    </cfRule>
    <cfRule type="cellIs" dxfId="76" priority="5" operator="equal">
      <formula>"Ready To Order"</formula>
    </cfRule>
    <cfRule type="cellIs" dxfId="75" priority="6" operator="equal">
      <formula>"UNP"</formula>
    </cfRule>
    <cfRule type="containsText" dxfId="74" priority="7" operator="containsText" text="Ordered">
      <formula>NOT(ISERROR(SEARCH("Ordered",G6)))</formula>
    </cfRule>
    <cfRule type="containsText" dxfId="73" priority="8" operator="containsText" text="Pick Up">
      <formula>NOT(ISERROR(SEARCH("Pick Up",G6)))</formula>
    </cfRule>
    <cfRule type="containsText" dxfId="72" priority="9" operator="containsText" text="Complete">
      <formula>NOT(ISERROR(SEARCH("Complete",G6)))</formula>
    </cfRule>
  </conditionalFormatting>
  <conditionalFormatting sqref="G30:G33">
    <cfRule type="containsText" dxfId="71" priority="4" operator="containsText" text="Given">
      <formula>NOT(ISERROR(SEARCH("Given",G30)))</formula>
    </cfRule>
  </conditionalFormatting>
  <conditionalFormatting sqref="G30:G34">
    <cfRule type="containsText" dxfId="70" priority="3" operator="containsText" text="Returned">
      <formula>NOT(ISERROR(SEARCH("Returned",G30)))</formula>
    </cfRule>
  </conditionalFormatting>
  <conditionalFormatting sqref="G6:G14 G21:G26 G16:G19">
    <cfRule type="cellIs" dxfId="69" priority="1" operator="equal">
      <formula>"In Stock"</formula>
    </cfRule>
  </conditionalFormatting>
  <dataValidations count="3">
    <dataValidation type="list" allowBlank="1" showInputMessage="1" showErrorMessage="1" sqref="G30:G34" xr:uid="{E5F89021-1DE9-481D-8EFF-CC69B551A21F}">
      <formula1>"--,Returned, Given"</formula1>
    </dataValidation>
    <dataValidation type="list" allowBlank="1" showInputMessage="1" showErrorMessage="1" sqref="G16:G19 G21:G24 G26 G6:G14" xr:uid="{C155E035-3176-4309-9C97-2B2629EADEA1}">
      <formula1>"UNP, Ready To Order, Ordered, In Stock, Pick Up, Complete, Returned"</formula1>
    </dataValidation>
    <dataValidation type="decimal" allowBlank="1" showInputMessage="1" showErrorMessage="1" sqref="L2" xr:uid="{D51CB7E5-1775-4EB4-95A0-1E2CFF5E49E5}">
      <formula1>19</formula1>
      <formula2>26</formula2>
    </dataValidation>
  </dataValidations>
  <hyperlinks>
    <hyperlink ref="A1:A2" location="Menu!A1" display="Back to Menu" xr:uid="{2D3E0B61-AD9C-4EE4-ABA9-4EEA2919A88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04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8E31D-9959-4B64-97A8-69261E470013}">
  <sheetPr codeName="Sheet5"/>
  <dimension ref="A1:L40"/>
  <sheetViews>
    <sheetView workbookViewId="0">
      <selection activeCell="E22" sqref="E22"/>
    </sheetView>
  </sheetViews>
  <sheetFormatPr defaultRowHeight="15.05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84" t="s">
        <v>42</v>
      </c>
      <c r="B1" s="20" t="s">
        <v>3</v>
      </c>
      <c r="C1" s="79" t="s">
        <v>0</v>
      </c>
      <c r="D1" s="79"/>
      <c r="E1" s="79" t="s">
        <v>2</v>
      </c>
      <c r="F1" s="79"/>
      <c r="G1" s="20" t="s">
        <v>34</v>
      </c>
      <c r="K1" s="20" t="s">
        <v>38</v>
      </c>
      <c r="L1" s="20" t="s">
        <v>10</v>
      </c>
    </row>
    <row r="2" spans="1:12" x14ac:dyDescent="0.3">
      <c r="A2" s="85"/>
      <c r="B2" s="2" t="s">
        <v>43</v>
      </c>
      <c r="C2" s="78" t="s">
        <v>90</v>
      </c>
      <c r="D2" s="78"/>
      <c r="E2" s="78" t="s">
        <v>115</v>
      </c>
      <c r="F2" s="78"/>
      <c r="G2" s="1" t="s">
        <v>116</v>
      </c>
      <c r="K2" s="4" t="s">
        <v>9</v>
      </c>
      <c r="L2" s="4">
        <v>19</v>
      </c>
    </row>
    <row r="3" spans="1:12" x14ac:dyDescent="0.3">
      <c r="A3" s="20" t="s">
        <v>1</v>
      </c>
      <c r="B3" s="86" t="s">
        <v>4</v>
      </c>
      <c r="C3" s="87"/>
      <c r="D3" s="88"/>
      <c r="E3" s="86" t="s">
        <v>49</v>
      </c>
      <c r="F3" s="88"/>
      <c r="G3" s="20" t="s">
        <v>5</v>
      </c>
      <c r="K3" s="1" t="s">
        <v>11</v>
      </c>
      <c r="L3" s="1">
        <v>13</v>
      </c>
    </row>
    <row r="4" spans="1:12" x14ac:dyDescent="0.3">
      <c r="A4" s="1" t="s">
        <v>39</v>
      </c>
      <c r="B4" s="89">
        <v>8364443015</v>
      </c>
      <c r="C4" s="89"/>
      <c r="D4" s="89"/>
      <c r="E4" s="78" t="s">
        <v>52</v>
      </c>
      <c r="F4" s="78"/>
      <c r="G4" s="1" t="s">
        <v>78</v>
      </c>
      <c r="K4" s="4" t="s">
        <v>12</v>
      </c>
      <c r="L4" s="4">
        <v>38.1</v>
      </c>
    </row>
    <row r="5" spans="1:12" x14ac:dyDescent="0.3">
      <c r="A5" s="20" t="s">
        <v>6</v>
      </c>
      <c r="B5" s="79" t="s">
        <v>7</v>
      </c>
      <c r="C5" s="79"/>
      <c r="D5" s="79"/>
      <c r="E5" s="20" t="s">
        <v>8</v>
      </c>
      <c r="F5" s="20" t="s">
        <v>35</v>
      </c>
      <c r="G5" s="20" t="s">
        <v>36</v>
      </c>
      <c r="K5" s="1" t="s">
        <v>13</v>
      </c>
      <c r="L5" s="1">
        <v>61.3</v>
      </c>
    </row>
    <row r="6" spans="1:12" x14ac:dyDescent="0.3">
      <c r="A6" s="3" t="s">
        <v>117</v>
      </c>
      <c r="B6" s="77" t="s">
        <v>18</v>
      </c>
      <c r="C6" s="77"/>
      <c r="D6" s="77"/>
      <c r="E6" s="91">
        <v>8040</v>
      </c>
      <c r="F6" s="4">
        <v>1</v>
      </c>
      <c r="G6" s="25" t="s">
        <v>63</v>
      </c>
      <c r="H6" s="28" t="str">
        <f>HYPERLINK("#G6",CHAR(128))</f>
        <v>€</v>
      </c>
      <c r="K6" s="4" t="s">
        <v>14</v>
      </c>
      <c r="L6" s="4">
        <v>44.2</v>
      </c>
    </row>
    <row r="7" spans="1:12" x14ac:dyDescent="0.3">
      <c r="A7" s="2" t="s">
        <v>80</v>
      </c>
      <c r="B7" s="78" t="s">
        <v>21</v>
      </c>
      <c r="C7" s="78"/>
      <c r="D7" s="78"/>
      <c r="E7" s="92" t="s">
        <v>79</v>
      </c>
      <c r="F7" s="16">
        <v>1</v>
      </c>
      <c r="G7" s="25" t="s">
        <v>63</v>
      </c>
      <c r="H7" s="28" t="str">
        <f>HYPERLINK("#G7",CHAR(128))</f>
        <v>€</v>
      </c>
      <c r="K7" s="1" t="s">
        <v>15</v>
      </c>
      <c r="L7" s="1">
        <v>70</v>
      </c>
    </row>
    <row r="8" spans="1:12" x14ac:dyDescent="0.3">
      <c r="A8" s="3" t="s">
        <v>91</v>
      </c>
      <c r="B8" s="77" t="s">
        <v>19</v>
      </c>
      <c r="C8" s="77"/>
      <c r="D8" s="77"/>
      <c r="E8" s="91" t="s">
        <v>76</v>
      </c>
      <c r="F8" s="4">
        <v>1</v>
      </c>
      <c r="G8" s="25" t="s">
        <v>63</v>
      </c>
      <c r="H8" s="28" t="str">
        <f>HYPERLINK("#G8",CHAR(128))</f>
        <v>€</v>
      </c>
      <c r="K8" s="4" t="s">
        <v>16</v>
      </c>
      <c r="L8" s="4">
        <v>317.10000000000002</v>
      </c>
    </row>
    <row r="9" spans="1:12" x14ac:dyDescent="0.3">
      <c r="A9" s="2"/>
      <c r="B9" s="78" t="s">
        <v>20</v>
      </c>
      <c r="C9" s="78"/>
      <c r="D9" s="78"/>
      <c r="E9" s="92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>
        <v>100.2</v>
      </c>
    </row>
    <row r="10" spans="1:12" x14ac:dyDescent="0.3">
      <c r="A10" s="3" t="s">
        <v>92</v>
      </c>
      <c r="B10" s="77" t="s">
        <v>24</v>
      </c>
      <c r="C10" s="77"/>
      <c r="D10" s="77"/>
      <c r="E10" s="91" t="s">
        <v>200</v>
      </c>
      <c r="F10" s="4">
        <v>1</v>
      </c>
      <c r="G10" s="25" t="s">
        <v>69</v>
      </c>
      <c r="H10" s="28" t="str">
        <f>HYPERLINK("#G10",CHAR(128))</f>
        <v>€</v>
      </c>
      <c r="K10" s="15" t="s">
        <v>47</v>
      </c>
      <c r="L10" s="15">
        <v>7.4</v>
      </c>
    </row>
    <row r="11" spans="1:12" x14ac:dyDescent="0.3">
      <c r="A11" s="2" t="s">
        <v>99</v>
      </c>
      <c r="B11" s="78" t="s">
        <v>23</v>
      </c>
      <c r="C11" s="78"/>
      <c r="D11" s="78"/>
      <c r="E11" s="92" t="s">
        <v>98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/>
      <c r="B12" s="77" t="s">
        <v>25</v>
      </c>
      <c r="C12" s="77"/>
      <c r="D12" s="77"/>
      <c r="E12" s="91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 t="s">
        <v>71</v>
      </c>
      <c r="B13" s="78" t="s">
        <v>26</v>
      </c>
      <c r="C13" s="78"/>
      <c r="D13" s="78"/>
      <c r="E13" s="92" t="s">
        <v>70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94</v>
      </c>
      <c r="B14" s="77" t="s">
        <v>27</v>
      </c>
      <c r="C14" s="77"/>
      <c r="D14" s="77"/>
      <c r="E14" s="91" t="s">
        <v>93</v>
      </c>
      <c r="F14" s="4">
        <v>1</v>
      </c>
      <c r="G14" s="25" t="s">
        <v>63</v>
      </c>
      <c r="H14" s="28" t="str">
        <f>HYPERLINK("#G14",CHAR(128))</f>
        <v>€</v>
      </c>
    </row>
    <row r="15" spans="1:12" x14ac:dyDescent="0.3">
      <c r="A15" s="2"/>
      <c r="B15" s="83"/>
      <c r="C15" s="83"/>
      <c r="D15" s="83"/>
      <c r="E15" s="92"/>
      <c r="F15" s="16"/>
      <c r="G15" s="16"/>
      <c r="H15" s="14"/>
    </row>
    <row r="16" spans="1:12" x14ac:dyDescent="0.3">
      <c r="A16" s="5" t="s">
        <v>46</v>
      </c>
      <c r="B16" s="77" t="s">
        <v>28</v>
      </c>
      <c r="C16" s="77"/>
      <c r="D16" s="77"/>
      <c r="E16" s="91" t="s">
        <v>51</v>
      </c>
      <c r="F16" s="4">
        <v>1</v>
      </c>
      <c r="G16" s="25" t="s">
        <v>63</v>
      </c>
      <c r="H16" s="23" t="str">
        <f>HYPERLINK("#G16",CHAR(128))</f>
        <v>€</v>
      </c>
    </row>
    <row r="17" spans="1:10" x14ac:dyDescent="0.3">
      <c r="A17" s="2" t="s">
        <v>95</v>
      </c>
      <c r="B17" s="78" t="s">
        <v>22</v>
      </c>
      <c r="C17" s="78"/>
      <c r="D17" s="78"/>
      <c r="E17" s="92" t="s">
        <v>81</v>
      </c>
      <c r="F17" s="16">
        <v>1</v>
      </c>
      <c r="G17" s="25" t="s">
        <v>63</v>
      </c>
      <c r="H17" s="23" t="str">
        <f>HYPERLINK("#G17",CHAR(128))</f>
        <v>€</v>
      </c>
    </row>
    <row r="18" spans="1:10" x14ac:dyDescent="0.3">
      <c r="A18" s="5" t="s">
        <v>118</v>
      </c>
      <c r="B18" s="77" t="s">
        <v>29</v>
      </c>
      <c r="C18" s="77"/>
      <c r="D18" s="77"/>
      <c r="E18" s="91">
        <v>7644</v>
      </c>
      <c r="F18" s="4">
        <v>1</v>
      </c>
      <c r="G18" s="25" t="s">
        <v>63</v>
      </c>
      <c r="H18" s="23" t="str">
        <f>HYPERLINK("#G18",CHAR(128))</f>
        <v>€</v>
      </c>
    </row>
    <row r="19" spans="1:10" x14ac:dyDescent="0.3">
      <c r="A19" s="2" t="s">
        <v>73</v>
      </c>
      <c r="B19" s="78" t="s">
        <v>30</v>
      </c>
      <c r="C19" s="78"/>
      <c r="D19" s="78"/>
      <c r="E19" s="92" t="s">
        <v>72</v>
      </c>
      <c r="F19" s="16">
        <v>1</v>
      </c>
      <c r="G19" s="25" t="s">
        <v>63</v>
      </c>
      <c r="H19" s="23" t="str">
        <f>HYPERLINK("#G19",CHAR(128))</f>
        <v>€</v>
      </c>
    </row>
    <row r="20" spans="1:10" x14ac:dyDescent="0.3">
      <c r="A20" s="5"/>
      <c r="B20" s="80"/>
      <c r="C20" s="81"/>
      <c r="D20" s="82"/>
      <c r="E20" s="91"/>
      <c r="F20" s="4"/>
      <c r="G20" s="4"/>
      <c r="H20" s="14"/>
    </row>
    <row r="21" spans="1:10" x14ac:dyDescent="0.3">
      <c r="A21" s="2" t="s">
        <v>102</v>
      </c>
      <c r="B21" s="78" t="s">
        <v>33</v>
      </c>
      <c r="C21" s="78"/>
      <c r="D21" s="78"/>
      <c r="E21" s="92" t="s">
        <v>204</v>
      </c>
      <c r="F21" s="16">
        <v>1</v>
      </c>
      <c r="G21" s="25" t="s">
        <v>63</v>
      </c>
      <c r="H21" s="23" t="str">
        <f>HYPERLINK("#G21",CHAR(128))</f>
        <v>€</v>
      </c>
    </row>
    <row r="22" spans="1:10" x14ac:dyDescent="0.3">
      <c r="A22" s="5" t="s">
        <v>119</v>
      </c>
      <c r="B22" s="77" t="s">
        <v>31</v>
      </c>
      <c r="C22" s="77"/>
      <c r="D22" s="77"/>
      <c r="E22" s="91">
        <v>7640</v>
      </c>
      <c r="F22" s="4">
        <v>1</v>
      </c>
      <c r="G22" s="25" t="s">
        <v>63</v>
      </c>
      <c r="H22" s="23" t="str">
        <f>HYPERLINK("#G22",CHAR(128))</f>
        <v>€</v>
      </c>
    </row>
    <row r="23" spans="1:10" x14ac:dyDescent="0.3">
      <c r="A23" s="2"/>
      <c r="B23" s="78" t="s">
        <v>48</v>
      </c>
      <c r="C23" s="78"/>
      <c r="D23" s="78"/>
      <c r="E23" s="92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 t="s">
        <v>121</v>
      </c>
      <c r="B24" s="77" t="s">
        <v>32</v>
      </c>
      <c r="C24" s="77"/>
      <c r="D24" s="77"/>
      <c r="E24" s="91" t="s">
        <v>120</v>
      </c>
      <c r="F24" s="4">
        <v>1</v>
      </c>
      <c r="G24" s="25" t="s">
        <v>63</v>
      </c>
      <c r="H24" s="22" t="str">
        <f>HYPERLINK("#G24",CHAR(128))</f>
        <v>€</v>
      </c>
    </row>
    <row r="25" spans="1:10" x14ac:dyDescent="0.3">
      <c r="A25" s="2"/>
      <c r="B25" s="78"/>
      <c r="C25" s="78"/>
      <c r="D25" s="78"/>
      <c r="E25" s="92"/>
      <c r="F25" s="16"/>
      <c r="G25" s="16"/>
      <c r="H25" s="14"/>
      <c r="I25" s="12"/>
    </row>
    <row r="26" spans="1:10" x14ac:dyDescent="0.3">
      <c r="A26" s="5"/>
      <c r="B26" s="77" t="s">
        <v>37</v>
      </c>
      <c r="C26" s="77"/>
      <c r="D26" s="77"/>
      <c r="E26" s="4" t="str">
        <f>C2</f>
        <v>Taylor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79" t="s">
        <v>50</v>
      </c>
      <c r="C29" s="79"/>
      <c r="D29" s="79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77"/>
      <c r="C30" s="77"/>
      <c r="D30" s="77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78"/>
      <c r="C31" s="78"/>
      <c r="D31" s="78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77"/>
      <c r="C32" s="77"/>
      <c r="D32" s="77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78"/>
      <c r="C33" s="78"/>
      <c r="D33" s="78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77"/>
      <c r="C34" s="77"/>
      <c r="D34" s="77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x14ac:dyDescent="0.3">
      <c r="A38" s="43">
        <v>45298</v>
      </c>
      <c r="B38" s="40" t="s">
        <v>23</v>
      </c>
      <c r="C38" s="40" t="s">
        <v>74</v>
      </c>
      <c r="D38" s="40" t="s">
        <v>60</v>
      </c>
    </row>
    <row r="39" spans="1:8" x14ac:dyDescent="0.3">
      <c r="A39" s="43">
        <v>45298</v>
      </c>
      <c r="B39" s="40" t="s">
        <v>23</v>
      </c>
      <c r="C39" s="40" t="s">
        <v>60</v>
      </c>
      <c r="D39" s="40" t="s">
        <v>74</v>
      </c>
    </row>
    <row r="40" spans="1:8" x14ac:dyDescent="0.3">
      <c r="A40" s="43">
        <v>45298</v>
      </c>
      <c r="B40" s="40" t="s">
        <v>23</v>
      </c>
      <c r="C40" s="40" t="s">
        <v>74</v>
      </c>
      <c r="D40" s="40" t="s">
        <v>98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68" priority="2" operator="equal">
      <formula>"Returned"</formula>
    </cfRule>
    <cfRule type="cellIs" dxfId="67" priority="5" operator="equal">
      <formula>"Ready To Order"</formula>
    </cfRule>
    <cfRule type="cellIs" dxfId="66" priority="6" operator="equal">
      <formula>"UNP"</formula>
    </cfRule>
    <cfRule type="containsText" dxfId="65" priority="7" operator="containsText" text="Ordered">
      <formula>NOT(ISERROR(SEARCH("Ordered",G6)))</formula>
    </cfRule>
    <cfRule type="containsText" dxfId="64" priority="8" operator="containsText" text="Pick Up">
      <formula>NOT(ISERROR(SEARCH("Pick Up",G6)))</formula>
    </cfRule>
    <cfRule type="containsText" dxfId="63" priority="9" operator="containsText" text="Complete">
      <formula>NOT(ISERROR(SEARCH("Complete",G6)))</formula>
    </cfRule>
  </conditionalFormatting>
  <conditionalFormatting sqref="G30:G33">
    <cfRule type="containsText" dxfId="62" priority="4" operator="containsText" text="Given">
      <formula>NOT(ISERROR(SEARCH("Given",G30)))</formula>
    </cfRule>
  </conditionalFormatting>
  <conditionalFormatting sqref="G30:G34">
    <cfRule type="containsText" dxfId="61" priority="3" operator="containsText" text="Returned">
      <formula>NOT(ISERROR(SEARCH("Returned",G30)))</formula>
    </cfRule>
  </conditionalFormatting>
  <conditionalFormatting sqref="G6:G14 G21:G26 G16:G19">
    <cfRule type="cellIs" dxfId="60" priority="1" operator="equal">
      <formula>"In Stock"</formula>
    </cfRule>
  </conditionalFormatting>
  <dataValidations count="3">
    <dataValidation type="list" allowBlank="1" showInputMessage="1" showErrorMessage="1" sqref="G30:G34" xr:uid="{B4763D4B-CEAD-42F4-967C-0F9300C7C7F1}">
      <formula1>"--,Returned, Given"</formula1>
    </dataValidation>
    <dataValidation type="list" allowBlank="1" showInputMessage="1" showErrorMessage="1" sqref="G16:G19 G21:G24 G26 G6:G14" xr:uid="{6549C590-5E18-4661-8103-97BDB2D9E629}">
      <formula1>"UNP, Ready To Order, Ordered, In Stock, Pick Up, Complete, Returned"</formula1>
    </dataValidation>
    <dataValidation type="decimal" allowBlank="1" showInputMessage="1" showErrorMessage="1" sqref="L2" xr:uid="{3F4193CB-376E-4E88-86DC-CE63E720BB73}">
      <formula1>19</formula1>
      <formula2>26</formula2>
    </dataValidation>
  </dataValidations>
  <hyperlinks>
    <hyperlink ref="A1:A2" location="Menu!A1" display="Back to Menu" xr:uid="{A76CB1CA-4EB7-47EB-80DA-11A783501A4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7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7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7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7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BD703-C19E-48ED-B4BF-0A3AC2EC3D4D}">
  <sheetPr codeName="Sheet7"/>
  <dimension ref="A1:L38"/>
  <sheetViews>
    <sheetView workbookViewId="0">
      <selection activeCell="M47" sqref="M47"/>
    </sheetView>
  </sheetViews>
  <sheetFormatPr defaultRowHeight="15.05" x14ac:dyDescent="0.3"/>
  <cols>
    <col min="1" max="1" width="18.6640625" customWidth="1"/>
    <col min="3" max="3" width="9.88671875" customWidth="1"/>
    <col min="4" max="4" width="10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84" t="s">
        <v>42</v>
      </c>
      <c r="B1" s="20" t="s">
        <v>3</v>
      </c>
      <c r="C1" s="79" t="s">
        <v>0</v>
      </c>
      <c r="D1" s="79"/>
      <c r="E1" s="79" t="s">
        <v>2</v>
      </c>
      <c r="F1" s="79"/>
      <c r="G1" s="20" t="s">
        <v>34</v>
      </c>
      <c r="K1" s="20" t="s">
        <v>38</v>
      </c>
      <c r="L1" s="20" t="s">
        <v>10</v>
      </c>
    </row>
    <row r="2" spans="1:12" x14ac:dyDescent="0.3">
      <c r="A2" s="85"/>
      <c r="B2" s="2" t="s">
        <v>154</v>
      </c>
      <c r="C2" s="78" t="s">
        <v>146</v>
      </c>
      <c r="D2" s="78"/>
      <c r="E2" s="78" t="s">
        <v>147</v>
      </c>
      <c r="F2" s="78"/>
      <c r="G2" s="1" t="s">
        <v>155</v>
      </c>
      <c r="K2" s="4" t="s">
        <v>9</v>
      </c>
      <c r="L2" s="4">
        <v>22</v>
      </c>
    </row>
    <row r="3" spans="1:12" x14ac:dyDescent="0.3">
      <c r="A3" s="20" t="s">
        <v>1</v>
      </c>
      <c r="B3" s="86" t="s">
        <v>4</v>
      </c>
      <c r="C3" s="87"/>
      <c r="D3" s="88"/>
      <c r="E3" s="86" t="s">
        <v>49</v>
      </c>
      <c r="F3" s="88"/>
      <c r="G3" s="20" t="s">
        <v>5</v>
      </c>
      <c r="K3" s="1" t="s">
        <v>11</v>
      </c>
      <c r="L3" s="1">
        <v>16</v>
      </c>
    </row>
    <row r="4" spans="1:12" x14ac:dyDescent="0.3">
      <c r="A4" s="1" t="s">
        <v>39</v>
      </c>
      <c r="B4" s="89">
        <v>9999999999</v>
      </c>
      <c r="C4" s="89"/>
      <c r="D4" s="89"/>
      <c r="E4" s="78"/>
      <c r="F4" s="78"/>
      <c r="G4" s="1" t="s">
        <v>78</v>
      </c>
      <c r="K4" s="4" t="s">
        <v>12</v>
      </c>
      <c r="L4" s="4">
        <v>35</v>
      </c>
    </row>
    <row r="5" spans="1:12" x14ac:dyDescent="0.3">
      <c r="A5" s="20" t="s">
        <v>6</v>
      </c>
      <c r="B5" s="79" t="s">
        <v>7</v>
      </c>
      <c r="C5" s="79"/>
      <c r="D5" s="79"/>
      <c r="E5" s="20" t="s">
        <v>8</v>
      </c>
      <c r="F5" s="20" t="s">
        <v>35</v>
      </c>
      <c r="G5" s="20" t="s">
        <v>36</v>
      </c>
      <c r="K5" s="1" t="s">
        <v>13</v>
      </c>
      <c r="L5" s="1">
        <v>31</v>
      </c>
    </row>
    <row r="6" spans="1:12" x14ac:dyDescent="0.3">
      <c r="A6" s="3" t="s">
        <v>156</v>
      </c>
      <c r="B6" s="77" t="s">
        <v>18</v>
      </c>
      <c r="C6" s="77"/>
      <c r="D6" s="77"/>
      <c r="E6" s="91">
        <v>6736</v>
      </c>
      <c r="F6" s="4">
        <v>1</v>
      </c>
      <c r="G6" s="25" t="s">
        <v>86</v>
      </c>
      <c r="H6" s="28" t="str">
        <f>HYPERLINK("#G6",CHAR(128))</f>
        <v>€</v>
      </c>
      <c r="K6" s="4" t="s">
        <v>14</v>
      </c>
      <c r="L6" s="4">
        <v>37</v>
      </c>
    </row>
    <row r="7" spans="1:12" x14ac:dyDescent="0.3">
      <c r="A7" s="2" t="s">
        <v>157</v>
      </c>
      <c r="B7" s="78" t="s">
        <v>21</v>
      </c>
      <c r="C7" s="78"/>
      <c r="D7" s="78"/>
      <c r="E7" s="92">
        <v>16</v>
      </c>
      <c r="F7" s="16">
        <v>1</v>
      </c>
      <c r="G7" s="25" t="s">
        <v>63</v>
      </c>
      <c r="H7" s="28" t="str">
        <f>HYPERLINK("#G7",CHAR(128))</f>
        <v>€</v>
      </c>
      <c r="K7" s="1" t="s">
        <v>15</v>
      </c>
      <c r="L7" s="1">
        <v>66</v>
      </c>
    </row>
    <row r="8" spans="1:12" x14ac:dyDescent="0.3">
      <c r="A8" s="3" t="s">
        <v>158</v>
      </c>
      <c r="B8" s="77" t="s">
        <v>19</v>
      </c>
      <c r="C8" s="77"/>
      <c r="D8" s="77"/>
      <c r="E8" s="91" t="s">
        <v>135</v>
      </c>
      <c r="F8" s="4">
        <v>1</v>
      </c>
      <c r="G8" s="25" t="s">
        <v>63</v>
      </c>
      <c r="H8" s="28" t="str">
        <f>HYPERLINK("#G8",CHAR(128))</f>
        <v>€</v>
      </c>
      <c r="K8" s="4" t="s">
        <v>16</v>
      </c>
      <c r="L8" s="4">
        <v>39</v>
      </c>
    </row>
    <row r="9" spans="1:12" x14ac:dyDescent="0.3">
      <c r="A9" s="2" t="s">
        <v>159</v>
      </c>
      <c r="B9" s="78" t="s">
        <v>20</v>
      </c>
      <c r="C9" s="78"/>
      <c r="D9" s="78"/>
      <c r="E9" s="92">
        <v>6731</v>
      </c>
      <c r="F9" s="16">
        <v>1</v>
      </c>
      <c r="G9" s="25" t="s">
        <v>69</v>
      </c>
      <c r="H9" s="28" t="str">
        <f>HYPERLINK("#G9",CHAR(128))</f>
        <v>€</v>
      </c>
      <c r="I9" s="11"/>
      <c r="K9" s="1" t="s">
        <v>17</v>
      </c>
      <c r="L9" s="1">
        <v>13</v>
      </c>
    </row>
    <row r="10" spans="1:12" x14ac:dyDescent="0.3">
      <c r="A10" s="3" t="s">
        <v>160</v>
      </c>
      <c r="B10" s="77" t="s">
        <v>24</v>
      </c>
      <c r="C10" s="77"/>
      <c r="D10" s="77"/>
      <c r="E10" s="91">
        <v>7</v>
      </c>
      <c r="F10" s="4">
        <v>1</v>
      </c>
      <c r="G10" s="25" t="s">
        <v>63</v>
      </c>
      <c r="H10" s="28" t="str">
        <f>HYPERLINK("#G10",CHAR(128))</f>
        <v>€</v>
      </c>
      <c r="K10" s="15" t="s">
        <v>47</v>
      </c>
      <c r="L10" s="15"/>
    </row>
    <row r="11" spans="1:12" x14ac:dyDescent="0.3">
      <c r="A11" s="2"/>
      <c r="B11" s="78" t="s">
        <v>23</v>
      </c>
      <c r="C11" s="78"/>
      <c r="D11" s="78"/>
      <c r="E11" s="92" t="s">
        <v>136</v>
      </c>
      <c r="F11" s="16">
        <v>1</v>
      </c>
      <c r="G11" s="25" t="s">
        <v>86</v>
      </c>
      <c r="H11" s="28" t="str">
        <f>HYPERLINK("#G11",CHAR(128))</f>
        <v>€</v>
      </c>
    </row>
    <row r="12" spans="1:12" x14ac:dyDescent="0.3">
      <c r="A12" s="5"/>
      <c r="B12" s="77" t="s">
        <v>25</v>
      </c>
      <c r="C12" s="77"/>
      <c r="D12" s="77"/>
      <c r="E12" s="91" t="s">
        <v>136</v>
      </c>
      <c r="F12" s="4">
        <v>1</v>
      </c>
      <c r="G12" s="25" t="s">
        <v>86</v>
      </c>
      <c r="H12" s="28" t="str">
        <f>HYPERLINK("#G12",CHAR(128))</f>
        <v>€</v>
      </c>
    </row>
    <row r="13" spans="1:12" x14ac:dyDescent="0.3">
      <c r="A13" s="2"/>
      <c r="B13" s="78" t="s">
        <v>26</v>
      </c>
      <c r="C13" s="78"/>
      <c r="D13" s="78"/>
      <c r="E13" s="92" t="s">
        <v>137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/>
      <c r="B14" s="77" t="s">
        <v>27</v>
      </c>
      <c r="C14" s="77"/>
      <c r="D14" s="77"/>
      <c r="E14" s="91" t="s">
        <v>138</v>
      </c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83"/>
      <c r="C15" s="83"/>
      <c r="D15" s="83"/>
      <c r="E15" s="92"/>
      <c r="F15" s="16"/>
      <c r="G15" s="16"/>
      <c r="H15" s="14"/>
    </row>
    <row r="16" spans="1:12" x14ac:dyDescent="0.3">
      <c r="A16" s="5" t="s">
        <v>161</v>
      </c>
      <c r="B16" s="77" t="s">
        <v>28</v>
      </c>
      <c r="C16" s="77"/>
      <c r="D16" s="77"/>
      <c r="E16" s="91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162</v>
      </c>
      <c r="B17" s="78" t="s">
        <v>22</v>
      </c>
      <c r="C17" s="78"/>
      <c r="D17" s="78"/>
      <c r="E17" s="92" t="s">
        <v>135</v>
      </c>
      <c r="F17" s="16">
        <v>1</v>
      </c>
      <c r="G17" s="25" t="s">
        <v>86</v>
      </c>
      <c r="H17" s="23" t="str">
        <f>HYPERLINK("#G17",CHAR(128))</f>
        <v>€</v>
      </c>
    </row>
    <row r="18" spans="1:10" x14ac:dyDescent="0.3">
      <c r="A18" s="5" t="s">
        <v>163</v>
      </c>
      <c r="B18" s="77" t="s">
        <v>29</v>
      </c>
      <c r="C18" s="77"/>
      <c r="D18" s="77"/>
      <c r="E18" s="91">
        <v>7040</v>
      </c>
      <c r="F18" s="4">
        <v>1</v>
      </c>
      <c r="G18" s="25" t="s">
        <v>63</v>
      </c>
      <c r="H18" s="23" t="str">
        <f>HYPERLINK("#G18",CHAR(128))</f>
        <v>€</v>
      </c>
    </row>
    <row r="19" spans="1:10" x14ac:dyDescent="0.3">
      <c r="A19" s="2"/>
      <c r="B19" s="78" t="s">
        <v>30</v>
      </c>
      <c r="C19" s="78"/>
      <c r="D19" s="78"/>
      <c r="E19" s="92" t="s">
        <v>139</v>
      </c>
      <c r="F19" s="16">
        <v>1</v>
      </c>
      <c r="G19" s="25" t="s">
        <v>86</v>
      </c>
      <c r="H19" s="23" t="str">
        <f>HYPERLINK("#G19",CHAR(128))</f>
        <v>€</v>
      </c>
    </row>
    <row r="20" spans="1:10" x14ac:dyDescent="0.3">
      <c r="A20" s="5"/>
      <c r="B20" s="80"/>
      <c r="C20" s="81"/>
      <c r="D20" s="82"/>
      <c r="E20" s="91"/>
      <c r="F20" s="4"/>
      <c r="G20" s="4"/>
      <c r="H20" s="14"/>
    </row>
    <row r="21" spans="1:10" x14ac:dyDescent="0.3">
      <c r="A21" s="2" t="s">
        <v>164</v>
      </c>
      <c r="B21" s="78" t="s">
        <v>33</v>
      </c>
      <c r="C21" s="78"/>
      <c r="D21" s="78"/>
      <c r="E21" s="92">
        <v>7</v>
      </c>
      <c r="F21" s="16">
        <v>1</v>
      </c>
      <c r="G21" s="25" t="s">
        <v>86</v>
      </c>
      <c r="H21" s="23" t="str">
        <f>HYPERLINK("#G21",CHAR(128))</f>
        <v>€</v>
      </c>
    </row>
    <row r="22" spans="1:10" x14ac:dyDescent="0.3">
      <c r="A22" s="5" t="s">
        <v>165</v>
      </c>
      <c r="B22" s="77" t="s">
        <v>31</v>
      </c>
      <c r="C22" s="77"/>
      <c r="D22" s="77"/>
      <c r="E22" s="91">
        <v>6736</v>
      </c>
      <c r="F22" s="4">
        <v>1</v>
      </c>
      <c r="G22" s="25" t="s">
        <v>86</v>
      </c>
      <c r="H22" s="23" t="str">
        <f>HYPERLINK("#G22",CHAR(128))</f>
        <v>€</v>
      </c>
    </row>
    <row r="23" spans="1:10" x14ac:dyDescent="0.3">
      <c r="A23" s="2" t="s">
        <v>166</v>
      </c>
      <c r="B23" s="78" t="s">
        <v>48</v>
      </c>
      <c r="C23" s="78"/>
      <c r="D23" s="78"/>
      <c r="E23" s="92">
        <v>6734</v>
      </c>
      <c r="F23" s="16">
        <v>1</v>
      </c>
      <c r="G23" s="25" t="s">
        <v>86</v>
      </c>
      <c r="H23" s="22" t="str">
        <f>HYPERLINK("#G23",CHAR(128))</f>
        <v>€</v>
      </c>
    </row>
    <row r="24" spans="1:10" x14ac:dyDescent="0.3">
      <c r="A24" s="5"/>
      <c r="B24" s="77" t="s">
        <v>32</v>
      </c>
      <c r="C24" s="77"/>
      <c r="D24" s="77"/>
      <c r="E24" s="91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78"/>
      <c r="C25" s="78"/>
      <c r="D25" s="78"/>
      <c r="E25" s="92"/>
      <c r="F25" s="16"/>
      <c r="G25" s="16"/>
      <c r="H25" s="14"/>
      <c r="I25" s="12"/>
    </row>
    <row r="26" spans="1:10" x14ac:dyDescent="0.3">
      <c r="A26" s="5"/>
      <c r="B26" s="77" t="s">
        <v>37</v>
      </c>
      <c r="C26" s="77"/>
      <c r="D26" s="77"/>
      <c r="E26" s="4" t="str">
        <f>C2</f>
        <v>Rob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79" t="s">
        <v>50</v>
      </c>
      <c r="C29" s="79"/>
      <c r="D29" s="79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77"/>
      <c r="C30" s="77"/>
      <c r="D30" s="77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78"/>
      <c r="C31" s="78"/>
      <c r="D31" s="78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77"/>
      <c r="C32" s="77"/>
      <c r="D32" s="77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78"/>
      <c r="C33" s="78"/>
      <c r="D33" s="78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77"/>
      <c r="C34" s="77"/>
      <c r="D34" s="77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x14ac:dyDescent="0.3">
      <c r="A38" s="40"/>
      <c r="B38" s="40"/>
      <c r="C38" s="40"/>
      <c r="D38" s="40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59" priority="2" operator="equal">
      <formula>"Returned"</formula>
    </cfRule>
    <cfRule type="cellIs" dxfId="58" priority="5" operator="equal">
      <formula>"Ready To Order"</formula>
    </cfRule>
    <cfRule type="cellIs" dxfId="57" priority="6" operator="equal">
      <formula>"UNP"</formula>
    </cfRule>
    <cfRule type="containsText" dxfId="56" priority="7" operator="containsText" text="Ordered">
      <formula>NOT(ISERROR(SEARCH("Ordered",G6)))</formula>
    </cfRule>
    <cfRule type="containsText" dxfId="55" priority="8" operator="containsText" text="Pick Up">
      <formula>NOT(ISERROR(SEARCH("Pick Up",G6)))</formula>
    </cfRule>
    <cfRule type="containsText" dxfId="54" priority="9" operator="containsText" text="Complete">
      <formula>NOT(ISERROR(SEARCH("Complete",G6)))</formula>
    </cfRule>
  </conditionalFormatting>
  <conditionalFormatting sqref="G30:G33">
    <cfRule type="containsText" dxfId="53" priority="4" operator="containsText" text="Given">
      <formula>NOT(ISERROR(SEARCH("Given",G30)))</formula>
    </cfRule>
  </conditionalFormatting>
  <conditionalFormatting sqref="G30:G34">
    <cfRule type="containsText" dxfId="52" priority="3" operator="containsText" text="Returned">
      <formula>NOT(ISERROR(SEARCH("Returned",G30)))</formula>
    </cfRule>
  </conditionalFormatting>
  <conditionalFormatting sqref="G6:G14 G21:G26 G16:G19">
    <cfRule type="cellIs" dxfId="51" priority="1" operator="equal">
      <formula>"In Stock"</formula>
    </cfRule>
  </conditionalFormatting>
  <dataValidations count="3">
    <dataValidation type="list" allowBlank="1" showInputMessage="1" showErrorMessage="1" sqref="G30:G34" xr:uid="{C35F0D43-82F8-48FB-93BB-77ABC098F5F4}">
      <formula1>"--,Returned, Given"</formula1>
    </dataValidation>
    <dataValidation type="list" allowBlank="1" showInputMessage="1" showErrorMessage="1" sqref="G16:G19 G21:G24 G26 G6:G14" xr:uid="{3674C418-6BBA-4AE4-BBD1-17F47A782A5F}">
      <formula1>"UNP, Ready To Order, Ordered, In Stock, Pick Up, Complete, Returned"</formula1>
    </dataValidation>
    <dataValidation type="decimal" allowBlank="1" showInputMessage="1" showErrorMessage="1" sqref="L2" xr:uid="{569B61B1-E0F9-4A18-9C1D-4F8A2848BFB1}">
      <formula1>19</formula1>
      <formula2>26</formula2>
    </dataValidation>
  </dataValidations>
  <hyperlinks>
    <hyperlink ref="A1:A2" location="Menu!A1" display="Back to Menu" xr:uid="{1B3BC908-1ADD-4AFC-8B26-3D29299F479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521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21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21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22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22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EA593-0272-4177-A450-5A4D4627D50F}">
  <sheetPr codeName="Sheet8"/>
  <dimension ref="A1:L38"/>
  <sheetViews>
    <sheetView workbookViewId="0">
      <selection activeCell="E22" sqref="E22"/>
    </sheetView>
  </sheetViews>
  <sheetFormatPr defaultRowHeight="15.05" x14ac:dyDescent="0.3"/>
  <cols>
    <col min="1" max="1" width="18.6640625" customWidth="1"/>
    <col min="3" max="3" width="9.88671875" customWidth="1"/>
    <col min="4" max="4" width="10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84" t="s">
        <v>42</v>
      </c>
      <c r="B1" s="20" t="s">
        <v>3</v>
      </c>
      <c r="C1" s="79" t="s">
        <v>0</v>
      </c>
      <c r="D1" s="79"/>
      <c r="E1" s="79" t="s">
        <v>2</v>
      </c>
      <c r="F1" s="79"/>
      <c r="G1" s="20" t="s">
        <v>34</v>
      </c>
      <c r="K1" s="20" t="s">
        <v>38</v>
      </c>
      <c r="L1" s="20" t="s">
        <v>10</v>
      </c>
    </row>
    <row r="2" spans="1:12" x14ac:dyDescent="0.3">
      <c r="A2" s="85"/>
      <c r="B2" s="2" t="s">
        <v>154</v>
      </c>
      <c r="C2" s="78" t="s">
        <v>148</v>
      </c>
      <c r="D2" s="78"/>
      <c r="E2" s="78" t="s">
        <v>149</v>
      </c>
      <c r="F2" s="78"/>
      <c r="G2" s="1" t="s">
        <v>167</v>
      </c>
      <c r="K2" s="4" t="s">
        <v>9</v>
      </c>
      <c r="L2" s="4">
        <v>23.5</v>
      </c>
    </row>
    <row r="3" spans="1:12" x14ac:dyDescent="0.3">
      <c r="A3" s="20" t="s">
        <v>1</v>
      </c>
      <c r="B3" s="86" t="s">
        <v>4</v>
      </c>
      <c r="C3" s="87"/>
      <c r="D3" s="88"/>
      <c r="E3" s="86" t="s">
        <v>49</v>
      </c>
      <c r="F3" s="88"/>
      <c r="G3" s="20" t="s">
        <v>5</v>
      </c>
      <c r="K3" s="1" t="s">
        <v>11</v>
      </c>
      <c r="L3" s="1">
        <v>17</v>
      </c>
    </row>
    <row r="4" spans="1:12" x14ac:dyDescent="0.3">
      <c r="A4" s="1" t="s">
        <v>39</v>
      </c>
      <c r="B4" s="89">
        <v>9999999999</v>
      </c>
      <c r="C4" s="89"/>
      <c r="D4" s="89"/>
      <c r="E4" s="78"/>
      <c r="F4" s="78"/>
      <c r="G4" s="1" t="s">
        <v>78</v>
      </c>
      <c r="K4" s="4" t="s">
        <v>12</v>
      </c>
      <c r="L4" s="4">
        <v>45</v>
      </c>
    </row>
    <row r="5" spans="1:12" x14ac:dyDescent="0.3">
      <c r="A5" s="20" t="s">
        <v>6</v>
      </c>
      <c r="B5" s="79" t="s">
        <v>7</v>
      </c>
      <c r="C5" s="79"/>
      <c r="D5" s="79"/>
      <c r="E5" s="20" t="s">
        <v>8</v>
      </c>
      <c r="F5" s="20" t="s">
        <v>35</v>
      </c>
      <c r="G5" s="20" t="s">
        <v>36</v>
      </c>
      <c r="K5" s="1" t="s">
        <v>13</v>
      </c>
      <c r="L5" s="1">
        <v>43</v>
      </c>
    </row>
    <row r="6" spans="1:12" x14ac:dyDescent="0.3">
      <c r="A6" s="3" t="s">
        <v>168</v>
      </c>
      <c r="B6" s="77" t="s">
        <v>18</v>
      </c>
      <c r="C6" s="77"/>
      <c r="D6" s="77"/>
      <c r="E6" s="91">
        <v>8046</v>
      </c>
      <c r="F6" s="4">
        <v>1</v>
      </c>
      <c r="G6" s="25" t="s">
        <v>86</v>
      </c>
      <c r="H6" s="28" t="str">
        <f>HYPERLINK("#G6",CHAR(128))</f>
        <v>€</v>
      </c>
      <c r="K6" s="4" t="s">
        <v>14</v>
      </c>
      <c r="L6" s="4">
        <v>43</v>
      </c>
    </row>
    <row r="7" spans="1:12" x14ac:dyDescent="0.3">
      <c r="A7" s="2"/>
      <c r="B7" s="78" t="s">
        <v>21</v>
      </c>
      <c r="C7" s="78"/>
      <c r="D7" s="78"/>
      <c r="E7" s="92">
        <v>17.5</v>
      </c>
      <c r="F7" s="16">
        <v>1</v>
      </c>
      <c r="G7" s="25" t="s">
        <v>63</v>
      </c>
      <c r="H7" s="28" t="str">
        <f>HYPERLINK("#G7",CHAR(128))</f>
        <v>€</v>
      </c>
      <c r="K7" s="1" t="s">
        <v>15</v>
      </c>
      <c r="L7" s="1">
        <v>75</v>
      </c>
    </row>
    <row r="8" spans="1:12" x14ac:dyDescent="0.3">
      <c r="A8" s="3" t="s">
        <v>169</v>
      </c>
      <c r="B8" s="77" t="s">
        <v>19</v>
      </c>
      <c r="C8" s="77"/>
      <c r="D8" s="77"/>
      <c r="E8" s="91" t="s">
        <v>140</v>
      </c>
      <c r="F8" s="4">
        <v>1</v>
      </c>
      <c r="G8" s="25" t="s">
        <v>63</v>
      </c>
      <c r="H8" s="28" t="str">
        <f>HYPERLINK("#G8",CHAR(128))</f>
        <v>€</v>
      </c>
      <c r="K8" s="4" t="s">
        <v>16</v>
      </c>
      <c r="L8" s="4">
        <v>304.8</v>
      </c>
    </row>
    <row r="9" spans="1:12" x14ac:dyDescent="0.3">
      <c r="A9" s="2" t="s">
        <v>170</v>
      </c>
      <c r="B9" s="78" t="s">
        <v>20</v>
      </c>
      <c r="C9" s="78"/>
      <c r="D9" s="78"/>
      <c r="E9" s="92">
        <v>7644</v>
      </c>
      <c r="F9" s="16">
        <v>1</v>
      </c>
      <c r="G9" s="25" t="s">
        <v>63</v>
      </c>
      <c r="H9" s="28" t="str">
        <f>HYPERLINK("#G9",CHAR(128))</f>
        <v>€</v>
      </c>
      <c r="I9" s="11"/>
      <c r="K9" s="1" t="s">
        <v>17</v>
      </c>
      <c r="L9" s="1">
        <v>101.6</v>
      </c>
    </row>
    <row r="10" spans="1:12" x14ac:dyDescent="0.3">
      <c r="A10" s="3" t="s">
        <v>203</v>
      </c>
      <c r="B10" s="77" t="s">
        <v>24</v>
      </c>
      <c r="C10" s="77"/>
      <c r="D10" s="77"/>
      <c r="E10" s="91" t="s">
        <v>202</v>
      </c>
      <c r="F10" s="4">
        <v>1</v>
      </c>
      <c r="G10" s="25" t="s">
        <v>69</v>
      </c>
      <c r="H10" s="28" t="str">
        <f>HYPERLINK("#G10",CHAR(128))</f>
        <v>€</v>
      </c>
      <c r="K10" s="15" t="s">
        <v>47</v>
      </c>
      <c r="L10" s="15"/>
    </row>
    <row r="11" spans="1:12" x14ac:dyDescent="0.3">
      <c r="A11" s="2"/>
      <c r="B11" s="78" t="s">
        <v>23</v>
      </c>
      <c r="C11" s="78"/>
      <c r="D11" s="78"/>
      <c r="E11" s="92" t="s">
        <v>141</v>
      </c>
      <c r="F11" s="16">
        <v>1</v>
      </c>
      <c r="G11" s="25" t="s">
        <v>63</v>
      </c>
      <c r="H11" s="28" t="str">
        <f>HYPERLINK("#G11",CHAR(128))</f>
        <v>€</v>
      </c>
    </row>
    <row r="12" spans="1:12" x14ac:dyDescent="0.3">
      <c r="A12" s="5"/>
      <c r="B12" s="77" t="s">
        <v>25</v>
      </c>
      <c r="C12" s="77"/>
      <c r="D12" s="77"/>
      <c r="E12" s="91" t="s">
        <v>141</v>
      </c>
      <c r="F12" s="4">
        <v>1</v>
      </c>
      <c r="G12" s="25" t="s">
        <v>63</v>
      </c>
      <c r="H12" s="28" t="str">
        <f>HYPERLINK("#G12",CHAR(128))</f>
        <v>€</v>
      </c>
    </row>
    <row r="13" spans="1:12" x14ac:dyDescent="0.3">
      <c r="A13" s="2"/>
      <c r="B13" s="78" t="s">
        <v>26</v>
      </c>
      <c r="C13" s="78"/>
      <c r="D13" s="78"/>
      <c r="E13" s="92" t="s">
        <v>76</v>
      </c>
      <c r="F13" s="16">
        <v>1</v>
      </c>
      <c r="G13" s="25" t="s">
        <v>86</v>
      </c>
      <c r="H13" s="28" t="str">
        <f>HYPERLINK("#G13",CHAR(128))</f>
        <v>€</v>
      </c>
    </row>
    <row r="14" spans="1:12" x14ac:dyDescent="0.3">
      <c r="A14" s="5"/>
      <c r="B14" s="77" t="s">
        <v>27</v>
      </c>
      <c r="C14" s="77"/>
      <c r="D14" s="77"/>
      <c r="E14" s="91" t="s">
        <v>138</v>
      </c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83"/>
      <c r="C15" s="83"/>
      <c r="D15" s="83"/>
      <c r="E15" s="92"/>
      <c r="F15" s="16"/>
      <c r="G15" s="16"/>
      <c r="H15" s="14"/>
    </row>
    <row r="16" spans="1:12" x14ac:dyDescent="0.3">
      <c r="A16" s="5" t="s">
        <v>161</v>
      </c>
      <c r="B16" s="77" t="s">
        <v>28</v>
      </c>
      <c r="C16" s="77"/>
      <c r="D16" s="77"/>
      <c r="E16" s="91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171</v>
      </c>
      <c r="B17" s="78" t="s">
        <v>22</v>
      </c>
      <c r="C17" s="78"/>
      <c r="D17" s="78"/>
      <c r="E17" s="92" t="s">
        <v>140</v>
      </c>
      <c r="F17" s="16">
        <v>1</v>
      </c>
      <c r="G17" s="25" t="s">
        <v>63</v>
      </c>
      <c r="H17" s="23" t="str">
        <f>HYPERLINK("#G17",CHAR(128))</f>
        <v>€</v>
      </c>
    </row>
    <row r="18" spans="1:10" x14ac:dyDescent="0.3">
      <c r="A18" s="5" t="s">
        <v>172</v>
      </c>
      <c r="B18" s="77" t="s">
        <v>29</v>
      </c>
      <c r="C18" s="77"/>
      <c r="D18" s="77"/>
      <c r="E18" s="91">
        <v>7648</v>
      </c>
      <c r="F18" s="4">
        <v>1</v>
      </c>
      <c r="G18" s="25" t="s">
        <v>63</v>
      </c>
      <c r="H18" s="23" t="str">
        <f>HYPERLINK("#G18",CHAR(128))</f>
        <v>€</v>
      </c>
    </row>
    <row r="19" spans="1:10" x14ac:dyDescent="0.3">
      <c r="A19" s="2"/>
      <c r="B19" s="78" t="s">
        <v>30</v>
      </c>
      <c r="C19" s="78"/>
      <c r="D19" s="78"/>
      <c r="E19" s="92" t="s">
        <v>142</v>
      </c>
      <c r="F19" s="16">
        <v>1</v>
      </c>
      <c r="G19" s="25" t="s">
        <v>86</v>
      </c>
      <c r="H19" s="23" t="str">
        <f>HYPERLINK("#G19",CHAR(128))</f>
        <v>€</v>
      </c>
    </row>
    <row r="20" spans="1:10" x14ac:dyDescent="0.3">
      <c r="A20" s="5"/>
      <c r="B20" s="80"/>
      <c r="C20" s="81"/>
      <c r="D20" s="82"/>
      <c r="E20" s="91"/>
      <c r="F20" s="4"/>
      <c r="G20" s="4"/>
      <c r="H20" s="14"/>
    </row>
    <row r="21" spans="1:10" x14ac:dyDescent="0.3">
      <c r="A21" s="2" t="s">
        <v>205</v>
      </c>
      <c r="B21" s="78" t="s">
        <v>33</v>
      </c>
      <c r="C21" s="78"/>
      <c r="D21" s="78"/>
      <c r="E21" s="92" t="s">
        <v>202</v>
      </c>
      <c r="F21" s="16">
        <v>1</v>
      </c>
      <c r="G21" s="25" t="s">
        <v>63</v>
      </c>
      <c r="H21" s="23" t="str">
        <f>HYPERLINK("#G21",CHAR(128))</f>
        <v>€</v>
      </c>
    </row>
    <row r="22" spans="1:10" x14ac:dyDescent="0.3">
      <c r="A22" s="5" t="s">
        <v>173</v>
      </c>
      <c r="B22" s="77" t="s">
        <v>31</v>
      </c>
      <c r="C22" s="77"/>
      <c r="D22" s="77"/>
      <c r="E22" s="91">
        <v>7648</v>
      </c>
      <c r="F22" s="4">
        <v>1</v>
      </c>
      <c r="G22" s="25" t="s">
        <v>63</v>
      </c>
      <c r="H22" s="23" t="str">
        <f>HYPERLINK("#G22",CHAR(128))</f>
        <v>€</v>
      </c>
    </row>
    <row r="23" spans="1:10" x14ac:dyDescent="0.3">
      <c r="A23" s="2" t="s">
        <v>174</v>
      </c>
      <c r="B23" s="78" t="s">
        <v>48</v>
      </c>
      <c r="C23" s="78"/>
      <c r="D23" s="78"/>
      <c r="E23" s="92">
        <v>7646</v>
      </c>
      <c r="F23" s="16">
        <v>1</v>
      </c>
      <c r="G23" s="25" t="s">
        <v>63</v>
      </c>
      <c r="H23" s="22" t="str">
        <f>HYPERLINK("#G23",CHAR(128))</f>
        <v>€</v>
      </c>
    </row>
    <row r="24" spans="1:10" x14ac:dyDescent="0.3">
      <c r="A24" s="5"/>
      <c r="B24" s="77" t="s">
        <v>32</v>
      </c>
      <c r="C24" s="77"/>
      <c r="D24" s="77"/>
      <c r="E24" s="91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78"/>
      <c r="C25" s="78"/>
      <c r="D25" s="78"/>
      <c r="E25" s="1"/>
      <c r="F25" s="16"/>
      <c r="G25" s="16"/>
      <c r="H25" s="14"/>
      <c r="I25" s="12"/>
    </row>
    <row r="26" spans="1:10" x14ac:dyDescent="0.3">
      <c r="A26" s="5"/>
      <c r="B26" s="77" t="s">
        <v>37</v>
      </c>
      <c r="C26" s="77"/>
      <c r="D26" s="77"/>
      <c r="E26" s="4" t="str">
        <f>C2</f>
        <v>Mike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79" t="s">
        <v>50</v>
      </c>
      <c r="C29" s="79"/>
      <c r="D29" s="79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77"/>
      <c r="C30" s="77"/>
      <c r="D30" s="77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78"/>
      <c r="C31" s="78"/>
      <c r="D31" s="78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77"/>
      <c r="C32" s="77"/>
      <c r="D32" s="77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78"/>
      <c r="C33" s="78"/>
      <c r="D33" s="78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77"/>
      <c r="C34" s="77"/>
      <c r="D34" s="77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x14ac:dyDescent="0.3">
      <c r="A38" s="40"/>
      <c r="B38" s="40"/>
      <c r="C38" s="40"/>
      <c r="D38" s="40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50" priority="2" operator="equal">
      <formula>"Returned"</formula>
    </cfRule>
    <cfRule type="cellIs" dxfId="49" priority="5" operator="equal">
      <formula>"Ready To Order"</formula>
    </cfRule>
    <cfRule type="cellIs" dxfId="48" priority="6" operator="equal">
      <formula>"UNP"</formula>
    </cfRule>
    <cfRule type="containsText" dxfId="47" priority="7" operator="containsText" text="Ordered">
      <formula>NOT(ISERROR(SEARCH("Ordered",G6)))</formula>
    </cfRule>
    <cfRule type="containsText" dxfId="46" priority="8" operator="containsText" text="Pick Up">
      <formula>NOT(ISERROR(SEARCH("Pick Up",G6)))</formula>
    </cfRule>
    <cfRule type="containsText" dxfId="45" priority="9" operator="containsText" text="Complete">
      <formula>NOT(ISERROR(SEARCH("Complete",G6)))</formula>
    </cfRule>
  </conditionalFormatting>
  <conditionalFormatting sqref="G30:G33">
    <cfRule type="containsText" dxfId="44" priority="4" operator="containsText" text="Given">
      <formula>NOT(ISERROR(SEARCH("Given",G30)))</formula>
    </cfRule>
  </conditionalFormatting>
  <conditionalFormatting sqref="G30:G34">
    <cfRule type="containsText" dxfId="43" priority="3" operator="containsText" text="Returned">
      <formula>NOT(ISERROR(SEARCH("Returned",G30)))</formula>
    </cfRule>
  </conditionalFormatting>
  <conditionalFormatting sqref="G6:G14 G21:G26 G16:G19">
    <cfRule type="cellIs" dxfId="42" priority="1" operator="equal">
      <formula>"In Stock"</formula>
    </cfRule>
  </conditionalFormatting>
  <dataValidations count="3">
    <dataValidation type="list" allowBlank="1" showInputMessage="1" showErrorMessage="1" sqref="G30:G34" xr:uid="{0475BF4E-BA96-475C-957F-A17D96BEB205}">
      <formula1>"--,Returned, Given"</formula1>
    </dataValidation>
    <dataValidation type="list" allowBlank="1" showInputMessage="1" showErrorMessage="1" sqref="G16:G19 G21:G24 G26 G6:G14" xr:uid="{CF452DE8-4D44-4285-8256-6B40F9689110}">
      <formula1>"UNP, Ready To Order, Ordered, In Stock, Pick Up, Complete, Returned"</formula1>
    </dataValidation>
    <dataValidation type="decimal" allowBlank="1" showInputMessage="1" showErrorMessage="1" sqref="L2" xr:uid="{E15A7DB2-5F79-45AE-98A9-CA8E12D659D2}">
      <formula1>19</formula1>
      <formula2>26</formula2>
    </dataValidation>
  </dataValidations>
  <hyperlinks>
    <hyperlink ref="A1:A2" location="Menu!A1" display="Back to Menu" xr:uid="{E46D100E-CFD9-4365-A609-D470838F313A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41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42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43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44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45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C3D12-81E0-4A9C-9DC8-F97CF5A9B76C}">
  <sheetPr codeName="Sheet9"/>
  <dimension ref="A1:L38"/>
  <sheetViews>
    <sheetView workbookViewId="0">
      <selection activeCell="E11" sqref="E11"/>
    </sheetView>
  </sheetViews>
  <sheetFormatPr defaultRowHeight="15.05" x14ac:dyDescent="0.3"/>
  <cols>
    <col min="1" max="1" width="18.6640625" customWidth="1"/>
    <col min="3" max="3" width="9.88671875" customWidth="1"/>
    <col min="4" max="4" width="10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84" t="s">
        <v>42</v>
      </c>
      <c r="B1" s="20" t="s">
        <v>3</v>
      </c>
      <c r="C1" s="79" t="s">
        <v>0</v>
      </c>
      <c r="D1" s="79"/>
      <c r="E1" s="79" t="s">
        <v>2</v>
      </c>
      <c r="F1" s="79"/>
      <c r="G1" s="20" t="s">
        <v>34</v>
      </c>
      <c r="K1" s="20" t="s">
        <v>38</v>
      </c>
      <c r="L1" s="20" t="s">
        <v>10</v>
      </c>
    </row>
    <row r="2" spans="1:12" x14ac:dyDescent="0.3">
      <c r="A2" s="85"/>
      <c r="B2" s="2" t="s">
        <v>154</v>
      </c>
      <c r="C2" s="78" t="s">
        <v>150</v>
      </c>
      <c r="D2" s="78"/>
      <c r="E2" s="78" t="s">
        <v>151</v>
      </c>
      <c r="F2" s="78"/>
      <c r="G2" s="1">
        <v>87519091</v>
      </c>
      <c r="K2" s="4" t="s">
        <v>9</v>
      </c>
      <c r="L2" s="4">
        <v>22</v>
      </c>
    </row>
    <row r="3" spans="1:12" x14ac:dyDescent="0.3">
      <c r="A3" s="20" t="s">
        <v>1</v>
      </c>
      <c r="B3" s="86" t="s">
        <v>4</v>
      </c>
      <c r="C3" s="87"/>
      <c r="D3" s="88"/>
      <c r="E3" s="86" t="s">
        <v>49</v>
      </c>
      <c r="F3" s="88"/>
      <c r="G3" s="20" t="s">
        <v>5</v>
      </c>
      <c r="K3" s="1" t="s">
        <v>11</v>
      </c>
      <c r="L3" s="1">
        <v>16.5</v>
      </c>
    </row>
    <row r="4" spans="1:12" x14ac:dyDescent="0.3">
      <c r="A4" s="1" t="s">
        <v>39</v>
      </c>
      <c r="B4" s="89">
        <v>9999999999</v>
      </c>
      <c r="C4" s="89"/>
      <c r="D4" s="89"/>
      <c r="E4" s="78"/>
      <c r="F4" s="78"/>
      <c r="G4" s="1" t="s">
        <v>78</v>
      </c>
      <c r="K4" s="4" t="s">
        <v>12</v>
      </c>
      <c r="L4" s="4">
        <v>40</v>
      </c>
    </row>
    <row r="5" spans="1:12" x14ac:dyDescent="0.3">
      <c r="A5" s="20" t="s">
        <v>6</v>
      </c>
      <c r="B5" s="79" t="s">
        <v>7</v>
      </c>
      <c r="C5" s="79"/>
      <c r="D5" s="79"/>
      <c r="E5" s="20" t="s">
        <v>8</v>
      </c>
      <c r="F5" s="20" t="s">
        <v>35</v>
      </c>
      <c r="G5" s="20" t="s">
        <v>36</v>
      </c>
      <c r="K5" s="1" t="s">
        <v>13</v>
      </c>
      <c r="L5" s="1">
        <v>30</v>
      </c>
    </row>
    <row r="6" spans="1:12" x14ac:dyDescent="0.3">
      <c r="A6" s="3" t="s">
        <v>175</v>
      </c>
      <c r="B6" s="77" t="s">
        <v>18</v>
      </c>
      <c r="C6" s="77"/>
      <c r="D6" s="77"/>
      <c r="E6" s="91">
        <v>6440</v>
      </c>
      <c r="F6" s="4">
        <v>1</v>
      </c>
      <c r="G6" s="25" t="s">
        <v>86</v>
      </c>
      <c r="H6" s="28" t="str">
        <f>HYPERLINK("#G6",CHAR(128))</f>
        <v>€</v>
      </c>
      <c r="K6" s="4" t="s">
        <v>14</v>
      </c>
      <c r="L6" s="4">
        <v>38</v>
      </c>
    </row>
    <row r="7" spans="1:12" x14ac:dyDescent="0.3">
      <c r="A7" s="2"/>
      <c r="B7" s="78" t="s">
        <v>21</v>
      </c>
      <c r="C7" s="78"/>
      <c r="D7" s="78"/>
      <c r="E7" s="92">
        <v>16.5</v>
      </c>
      <c r="F7" s="16">
        <v>1</v>
      </c>
      <c r="G7" s="25" t="s">
        <v>63</v>
      </c>
      <c r="H7" s="28" t="str">
        <f>HYPERLINK("#G7",CHAR(128))</f>
        <v>€</v>
      </c>
      <c r="K7" s="1" t="s">
        <v>15</v>
      </c>
      <c r="L7" s="1">
        <v>62</v>
      </c>
    </row>
    <row r="8" spans="1:12" x14ac:dyDescent="0.3">
      <c r="A8" s="3" t="s">
        <v>91</v>
      </c>
      <c r="B8" s="77" t="s">
        <v>19</v>
      </c>
      <c r="C8" s="77"/>
      <c r="D8" s="77"/>
      <c r="E8" s="91" t="s">
        <v>76</v>
      </c>
      <c r="F8" s="4">
        <v>1</v>
      </c>
      <c r="G8" s="25" t="s">
        <v>63</v>
      </c>
      <c r="H8" s="28" t="str">
        <f>HYPERLINK("#G8",CHAR(128))</f>
        <v>€</v>
      </c>
      <c r="K8" s="4" t="s">
        <v>16</v>
      </c>
      <c r="L8" s="4">
        <v>240</v>
      </c>
    </row>
    <row r="9" spans="1:12" x14ac:dyDescent="0.3">
      <c r="A9" s="2" t="s">
        <v>176</v>
      </c>
      <c r="B9" s="78" t="s">
        <v>20</v>
      </c>
      <c r="C9" s="78"/>
      <c r="D9" s="78"/>
      <c r="E9" s="92">
        <v>6430</v>
      </c>
      <c r="F9" s="16">
        <v>1</v>
      </c>
      <c r="G9" s="25" t="s">
        <v>63</v>
      </c>
      <c r="H9" s="28" t="str">
        <f>HYPERLINK("#G9",CHAR(128))</f>
        <v>€</v>
      </c>
      <c r="I9" s="11"/>
      <c r="K9" s="1" t="s">
        <v>17</v>
      </c>
      <c r="L9" s="1">
        <v>130</v>
      </c>
    </row>
    <row r="10" spans="1:12" x14ac:dyDescent="0.3">
      <c r="A10" s="3" t="s">
        <v>207</v>
      </c>
      <c r="B10" s="77" t="s">
        <v>24</v>
      </c>
      <c r="C10" s="77"/>
      <c r="D10" s="77"/>
      <c r="E10" s="91" t="s">
        <v>206</v>
      </c>
      <c r="F10" s="4">
        <v>1</v>
      </c>
      <c r="G10" s="25" t="s">
        <v>86</v>
      </c>
      <c r="H10" s="28" t="str">
        <f>HYPERLINK("#G10",CHAR(128))</f>
        <v>€</v>
      </c>
      <c r="K10" s="15" t="s">
        <v>47</v>
      </c>
      <c r="L10" s="15"/>
    </row>
    <row r="11" spans="1:12" x14ac:dyDescent="0.3">
      <c r="A11" s="2" t="s">
        <v>197</v>
      </c>
      <c r="B11" s="78" t="s">
        <v>23</v>
      </c>
      <c r="C11" s="78"/>
      <c r="D11" s="78"/>
      <c r="E11" s="92" t="s">
        <v>136</v>
      </c>
      <c r="F11" s="16">
        <v>1</v>
      </c>
      <c r="G11" s="25" t="s">
        <v>86</v>
      </c>
      <c r="H11" s="28" t="str">
        <f>HYPERLINK("#G11",CHAR(128))</f>
        <v>€</v>
      </c>
    </row>
    <row r="12" spans="1:12" x14ac:dyDescent="0.3">
      <c r="A12" s="5"/>
      <c r="B12" s="77" t="s">
        <v>25</v>
      </c>
      <c r="C12" s="77"/>
      <c r="D12" s="77"/>
      <c r="E12" s="91" t="s">
        <v>136</v>
      </c>
      <c r="F12" s="4">
        <v>1</v>
      </c>
      <c r="G12" s="25" t="s">
        <v>86</v>
      </c>
      <c r="H12" s="28" t="str">
        <f>HYPERLINK("#G12",CHAR(128))</f>
        <v>€</v>
      </c>
    </row>
    <row r="13" spans="1:12" x14ac:dyDescent="0.3">
      <c r="A13" s="2" t="s">
        <v>199</v>
      </c>
      <c r="B13" s="78" t="s">
        <v>26</v>
      </c>
      <c r="C13" s="78"/>
      <c r="D13" s="78"/>
      <c r="E13" s="92" t="s">
        <v>198</v>
      </c>
      <c r="F13" s="16">
        <v>1</v>
      </c>
      <c r="G13" s="25" t="s">
        <v>86</v>
      </c>
      <c r="H13" s="28" t="str">
        <f>HYPERLINK("#G13",CHAR(128))</f>
        <v>€</v>
      </c>
    </row>
    <row r="14" spans="1:12" x14ac:dyDescent="0.3">
      <c r="A14" s="5"/>
      <c r="B14" s="77" t="s">
        <v>27</v>
      </c>
      <c r="C14" s="77"/>
      <c r="D14" s="77"/>
      <c r="E14" s="91" t="s">
        <v>138</v>
      </c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83"/>
      <c r="C15" s="83"/>
      <c r="D15" s="83"/>
      <c r="E15" s="92"/>
      <c r="F15" s="16"/>
      <c r="G15" s="16"/>
      <c r="H15" s="14"/>
    </row>
    <row r="16" spans="1:12" x14ac:dyDescent="0.3">
      <c r="A16" s="5" t="s">
        <v>161</v>
      </c>
      <c r="B16" s="77" t="s">
        <v>28</v>
      </c>
      <c r="C16" s="77"/>
      <c r="D16" s="77"/>
      <c r="E16" s="91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162</v>
      </c>
      <c r="B17" s="78" t="s">
        <v>22</v>
      </c>
      <c r="C17" s="78"/>
      <c r="D17" s="78"/>
      <c r="E17" s="92" t="s">
        <v>135</v>
      </c>
      <c r="F17" s="16">
        <v>1</v>
      </c>
      <c r="G17" s="25" t="s">
        <v>86</v>
      </c>
      <c r="H17" s="23" t="str">
        <f>HYPERLINK("#G17",CHAR(128))</f>
        <v>€</v>
      </c>
    </row>
    <row r="18" spans="1:10" x14ac:dyDescent="0.3">
      <c r="A18" s="5" t="s">
        <v>177</v>
      </c>
      <c r="B18" s="77" t="s">
        <v>29</v>
      </c>
      <c r="C18" s="77"/>
      <c r="D18" s="77"/>
      <c r="E18" s="91">
        <v>6444</v>
      </c>
      <c r="F18" s="4">
        <v>1</v>
      </c>
      <c r="G18" s="25" t="s">
        <v>86</v>
      </c>
      <c r="H18" s="23" t="str">
        <f>HYPERLINK("#G18",CHAR(128))</f>
        <v>€</v>
      </c>
    </row>
    <row r="19" spans="1:10" x14ac:dyDescent="0.3">
      <c r="A19" s="2"/>
      <c r="B19" s="78" t="s">
        <v>30</v>
      </c>
      <c r="C19" s="78"/>
      <c r="D19" s="78"/>
      <c r="E19" s="92" t="s">
        <v>139</v>
      </c>
      <c r="F19" s="16">
        <v>1</v>
      </c>
      <c r="G19" s="25" t="s">
        <v>86</v>
      </c>
      <c r="H19" s="23" t="str">
        <f>HYPERLINK("#G19",CHAR(128))</f>
        <v>€</v>
      </c>
    </row>
    <row r="20" spans="1:10" x14ac:dyDescent="0.3">
      <c r="A20" s="5"/>
      <c r="B20" s="80"/>
      <c r="C20" s="81"/>
      <c r="D20" s="82"/>
      <c r="E20" s="91"/>
      <c r="F20" s="4"/>
      <c r="G20" s="4"/>
      <c r="H20" s="14"/>
    </row>
    <row r="21" spans="1:10" x14ac:dyDescent="0.3">
      <c r="A21" s="2" t="s">
        <v>164</v>
      </c>
      <c r="B21" s="78" t="s">
        <v>33</v>
      </c>
      <c r="C21" s="78"/>
      <c r="D21" s="78"/>
      <c r="E21" s="92">
        <v>7</v>
      </c>
      <c r="F21" s="16">
        <v>1</v>
      </c>
      <c r="G21" s="25" t="s">
        <v>86</v>
      </c>
      <c r="H21" s="23" t="str">
        <f>HYPERLINK("#G21",CHAR(128))</f>
        <v>€</v>
      </c>
    </row>
    <row r="22" spans="1:10" x14ac:dyDescent="0.3">
      <c r="A22" s="5" t="s">
        <v>178</v>
      </c>
      <c r="B22" s="77" t="s">
        <v>31</v>
      </c>
      <c r="C22" s="77"/>
      <c r="D22" s="77"/>
      <c r="E22" s="91">
        <v>6440</v>
      </c>
      <c r="F22" s="4">
        <v>1</v>
      </c>
      <c r="G22" s="25" t="s">
        <v>63</v>
      </c>
      <c r="H22" s="23" t="str">
        <f>HYPERLINK("#G22",CHAR(128))</f>
        <v>€</v>
      </c>
    </row>
    <row r="23" spans="1:10" x14ac:dyDescent="0.3">
      <c r="A23" s="2" t="s">
        <v>179</v>
      </c>
      <c r="B23" s="78" t="s">
        <v>48</v>
      </c>
      <c r="C23" s="78"/>
      <c r="D23" s="78"/>
      <c r="E23" s="92">
        <v>6430</v>
      </c>
      <c r="F23" s="16">
        <v>1</v>
      </c>
      <c r="G23" s="25" t="s">
        <v>86</v>
      </c>
      <c r="H23" s="22" t="str">
        <f>HYPERLINK("#G23",CHAR(128))</f>
        <v>€</v>
      </c>
    </row>
    <row r="24" spans="1:10" x14ac:dyDescent="0.3">
      <c r="A24" s="5"/>
      <c r="B24" s="77" t="s">
        <v>32</v>
      </c>
      <c r="C24" s="77"/>
      <c r="D24" s="77"/>
      <c r="E24" s="91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78"/>
      <c r="C25" s="78"/>
      <c r="D25" s="78"/>
      <c r="E25" s="92"/>
      <c r="F25" s="16"/>
      <c r="G25" s="16"/>
      <c r="H25" s="14"/>
      <c r="I25" s="12"/>
    </row>
    <row r="26" spans="1:10" x14ac:dyDescent="0.3">
      <c r="A26" s="5"/>
      <c r="B26" s="77" t="s">
        <v>37</v>
      </c>
      <c r="C26" s="77"/>
      <c r="D26" s="77"/>
      <c r="E26" s="4" t="str">
        <f>C2</f>
        <v>Jesus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79" t="s">
        <v>50</v>
      </c>
      <c r="C29" s="79"/>
      <c r="D29" s="79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77"/>
      <c r="C30" s="77"/>
      <c r="D30" s="77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78"/>
      <c r="C31" s="78"/>
      <c r="D31" s="78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77"/>
      <c r="C32" s="77"/>
      <c r="D32" s="77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78"/>
      <c r="C33" s="78"/>
      <c r="D33" s="78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77"/>
      <c r="C34" s="77"/>
      <c r="D34" s="77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x14ac:dyDescent="0.3">
      <c r="A38" s="40"/>
      <c r="B38" s="40"/>
      <c r="C38" s="40"/>
      <c r="D38" s="40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41" priority="2" operator="equal">
      <formula>"Returned"</formula>
    </cfRule>
    <cfRule type="cellIs" dxfId="40" priority="5" operator="equal">
      <formula>"Ready To Order"</formula>
    </cfRule>
    <cfRule type="cellIs" dxfId="39" priority="6" operator="equal">
      <formula>"UNP"</formula>
    </cfRule>
    <cfRule type="containsText" dxfId="38" priority="7" operator="containsText" text="Ordered">
      <formula>NOT(ISERROR(SEARCH("Ordered",G6)))</formula>
    </cfRule>
    <cfRule type="containsText" dxfId="37" priority="8" operator="containsText" text="Pick Up">
      <formula>NOT(ISERROR(SEARCH("Pick Up",G6)))</formula>
    </cfRule>
    <cfRule type="containsText" dxfId="36" priority="9" operator="containsText" text="Complete">
      <formula>NOT(ISERROR(SEARCH("Complete",G6)))</formula>
    </cfRule>
  </conditionalFormatting>
  <conditionalFormatting sqref="G30:G33">
    <cfRule type="containsText" dxfId="35" priority="4" operator="containsText" text="Given">
      <formula>NOT(ISERROR(SEARCH("Given",G30)))</formula>
    </cfRule>
  </conditionalFormatting>
  <conditionalFormatting sqref="G30:G34">
    <cfRule type="containsText" dxfId="34" priority="3" operator="containsText" text="Returned">
      <formula>NOT(ISERROR(SEARCH("Returned",G30)))</formula>
    </cfRule>
  </conditionalFormatting>
  <conditionalFormatting sqref="G6:G14 G21:G26 G16:G19">
    <cfRule type="cellIs" dxfId="33" priority="1" operator="equal">
      <formula>"In Stock"</formula>
    </cfRule>
  </conditionalFormatting>
  <dataValidations count="3">
    <dataValidation type="list" allowBlank="1" showInputMessage="1" showErrorMessage="1" sqref="G30:G34" xr:uid="{FD1CC8D5-B4F3-4816-8CB3-D8664C843ABE}">
      <formula1>"--,Returned, Given"</formula1>
    </dataValidation>
    <dataValidation type="list" allowBlank="1" showInputMessage="1" showErrorMessage="1" sqref="G16:G19 G21:G24 G26 G6:G14" xr:uid="{E2C3B859-EB0B-4158-9A28-D8391C43583F}">
      <formula1>"UNP, Ready To Order, Ordered, In Stock, Pick Up, Complete, Returned"</formula1>
    </dataValidation>
    <dataValidation type="decimal" allowBlank="1" showInputMessage="1" showErrorMessage="1" sqref="L2" xr:uid="{CFF70327-9FC0-4784-9BC7-DEC9FD43E274}">
      <formula1>19</formula1>
      <formula2>26</formula2>
    </dataValidation>
  </dataValidations>
  <hyperlinks>
    <hyperlink ref="A1:A2" location="Menu!A1" display="Back to Menu" xr:uid="{ED60876E-20FB-466E-91DE-585C59F5D4E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FCCD-2763-4F91-8199-0D04971E7A09}">
  <sheetPr codeName="Sheet10"/>
  <dimension ref="A1:L38"/>
  <sheetViews>
    <sheetView workbookViewId="0">
      <selection sqref="A1:A2"/>
    </sheetView>
  </sheetViews>
  <sheetFormatPr defaultRowHeight="15.05" x14ac:dyDescent="0.3"/>
  <cols>
    <col min="1" max="1" width="18.6640625" customWidth="1"/>
    <col min="3" max="3" width="9.88671875" customWidth="1"/>
    <col min="4" max="4" width="10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84" t="s">
        <v>42</v>
      </c>
      <c r="B1" s="20" t="s">
        <v>3</v>
      </c>
      <c r="C1" s="79" t="s">
        <v>0</v>
      </c>
      <c r="D1" s="79"/>
      <c r="E1" s="79" t="s">
        <v>2</v>
      </c>
      <c r="F1" s="79"/>
      <c r="G1" s="20" t="s">
        <v>34</v>
      </c>
      <c r="K1" s="20" t="s">
        <v>38</v>
      </c>
      <c r="L1" s="20" t="s">
        <v>10</v>
      </c>
    </row>
    <row r="2" spans="1:12" x14ac:dyDescent="0.3">
      <c r="A2" s="85"/>
      <c r="B2" s="2" t="s">
        <v>154</v>
      </c>
      <c r="C2" s="78" t="s">
        <v>152</v>
      </c>
      <c r="D2" s="78"/>
      <c r="E2" s="78" t="s">
        <v>153</v>
      </c>
      <c r="F2" s="78"/>
      <c r="G2" s="1" t="s">
        <v>180</v>
      </c>
      <c r="K2" s="4" t="s">
        <v>9</v>
      </c>
      <c r="L2" s="4">
        <v>22</v>
      </c>
    </row>
    <row r="3" spans="1:12" x14ac:dyDescent="0.3">
      <c r="A3" s="20" t="s">
        <v>1</v>
      </c>
      <c r="B3" s="86" t="s">
        <v>4</v>
      </c>
      <c r="C3" s="87"/>
      <c r="D3" s="88"/>
      <c r="E3" s="86" t="s">
        <v>49</v>
      </c>
      <c r="F3" s="88"/>
      <c r="G3" s="20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89">
        <v>9999999999</v>
      </c>
      <c r="C4" s="89"/>
      <c r="D4" s="89"/>
      <c r="E4" s="78"/>
      <c r="F4" s="78"/>
      <c r="G4" s="1" t="s">
        <v>78</v>
      </c>
      <c r="K4" s="4" t="s">
        <v>12</v>
      </c>
      <c r="L4" s="4">
        <v>32</v>
      </c>
    </row>
    <row r="5" spans="1:12" x14ac:dyDescent="0.3">
      <c r="A5" s="20" t="s">
        <v>6</v>
      </c>
      <c r="B5" s="79" t="s">
        <v>7</v>
      </c>
      <c r="C5" s="79"/>
      <c r="D5" s="79"/>
      <c r="E5" s="20" t="s">
        <v>8</v>
      </c>
      <c r="F5" s="20" t="s">
        <v>35</v>
      </c>
      <c r="G5" s="20" t="s">
        <v>36</v>
      </c>
      <c r="K5" s="1" t="s">
        <v>13</v>
      </c>
      <c r="L5" s="1">
        <v>26.5</v>
      </c>
    </row>
    <row r="6" spans="1:12" x14ac:dyDescent="0.3">
      <c r="A6" s="3" t="s">
        <v>181</v>
      </c>
      <c r="B6" s="77" t="s">
        <v>18</v>
      </c>
      <c r="C6" s="77"/>
      <c r="D6" s="77"/>
      <c r="E6" s="4">
        <v>6432</v>
      </c>
      <c r="F6" s="4">
        <v>1</v>
      </c>
      <c r="G6" s="25" t="s">
        <v>86</v>
      </c>
      <c r="H6" s="28" t="str">
        <f>HYPERLINK("#G6",CHAR(128))</f>
        <v>€</v>
      </c>
      <c r="K6" s="4" t="s">
        <v>14</v>
      </c>
      <c r="L6" s="4">
        <v>31</v>
      </c>
    </row>
    <row r="7" spans="1:12" x14ac:dyDescent="0.3">
      <c r="A7" s="2" t="s">
        <v>182</v>
      </c>
      <c r="B7" s="78" t="s">
        <v>21</v>
      </c>
      <c r="C7" s="78"/>
      <c r="D7" s="78"/>
      <c r="E7" s="1">
        <v>13</v>
      </c>
      <c r="F7" s="16">
        <v>1</v>
      </c>
      <c r="G7" s="25" t="s">
        <v>69</v>
      </c>
      <c r="H7" s="28" t="str">
        <f>HYPERLINK("#G7",CHAR(128))</f>
        <v>€</v>
      </c>
      <c r="K7" s="1" t="s">
        <v>15</v>
      </c>
      <c r="L7" s="1">
        <v>63</v>
      </c>
    </row>
    <row r="8" spans="1:12" x14ac:dyDescent="0.3">
      <c r="A8" s="3" t="s">
        <v>183</v>
      </c>
      <c r="B8" s="77" t="s">
        <v>19</v>
      </c>
      <c r="C8" s="77"/>
      <c r="D8" s="77"/>
      <c r="E8" s="4" t="s">
        <v>143</v>
      </c>
      <c r="F8" s="4">
        <v>1</v>
      </c>
      <c r="G8" s="25" t="s">
        <v>69</v>
      </c>
      <c r="H8" s="28" t="str">
        <f>HYPERLINK("#G8",CHAR(128))</f>
        <v>€</v>
      </c>
      <c r="K8" s="4" t="s">
        <v>16</v>
      </c>
      <c r="L8" s="4">
        <v>265</v>
      </c>
    </row>
    <row r="9" spans="1:12" x14ac:dyDescent="0.3">
      <c r="A9" s="2" t="s">
        <v>184</v>
      </c>
      <c r="B9" s="78" t="s">
        <v>20</v>
      </c>
      <c r="C9" s="78"/>
      <c r="D9" s="78"/>
      <c r="E9" s="1">
        <v>6427</v>
      </c>
      <c r="F9" s="16">
        <v>1</v>
      </c>
      <c r="G9" s="25" t="s">
        <v>63</v>
      </c>
      <c r="H9" s="28" t="str">
        <f>HYPERLINK("#G9",CHAR(128))</f>
        <v>€</v>
      </c>
      <c r="I9" s="11"/>
      <c r="K9" s="1" t="s">
        <v>17</v>
      </c>
      <c r="L9" s="1">
        <v>95</v>
      </c>
    </row>
    <row r="10" spans="1:12" x14ac:dyDescent="0.3">
      <c r="A10" s="3" t="s">
        <v>160</v>
      </c>
      <c r="B10" s="77" t="s">
        <v>24</v>
      </c>
      <c r="C10" s="77"/>
      <c r="D10" s="77"/>
      <c r="E10" s="8">
        <v>7</v>
      </c>
      <c r="F10" s="4">
        <v>1</v>
      </c>
      <c r="G10" s="25" t="s">
        <v>69</v>
      </c>
      <c r="H10" s="28" t="str">
        <f>HYPERLINK("#G10",CHAR(128))</f>
        <v>€</v>
      </c>
      <c r="K10" s="15" t="s">
        <v>47</v>
      </c>
      <c r="L10" s="15"/>
    </row>
    <row r="11" spans="1:12" x14ac:dyDescent="0.3">
      <c r="A11" s="2"/>
      <c r="B11" s="78" t="s">
        <v>23</v>
      </c>
      <c r="C11" s="78"/>
      <c r="D11" s="78"/>
      <c r="E11" s="1" t="s">
        <v>136</v>
      </c>
      <c r="F11" s="16">
        <v>1</v>
      </c>
      <c r="G11" s="25" t="s">
        <v>69</v>
      </c>
      <c r="H11" s="28" t="str">
        <f>HYPERLINK("#G11",CHAR(128))</f>
        <v>€</v>
      </c>
    </row>
    <row r="12" spans="1:12" x14ac:dyDescent="0.3">
      <c r="A12" s="5"/>
      <c r="B12" s="77" t="s">
        <v>25</v>
      </c>
      <c r="C12" s="77"/>
      <c r="D12" s="77"/>
      <c r="E12" s="4" t="s">
        <v>144</v>
      </c>
      <c r="F12" s="4">
        <v>1</v>
      </c>
      <c r="G12" s="25" t="s">
        <v>69</v>
      </c>
      <c r="H12" s="28" t="str">
        <f>HYPERLINK("#G12",CHAR(128))</f>
        <v>€</v>
      </c>
    </row>
    <row r="13" spans="1:12" x14ac:dyDescent="0.3">
      <c r="A13" s="2" t="s">
        <v>185</v>
      </c>
      <c r="B13" s="78" t="s">
        <v>26</v>
      </c>
      <c r="C13" s="78"/>
      <c r="D13" s="78"/>
      <c r="E13" s="1" t="s">
        <v>135</v>
      </c>
      <c r="F13" s="16">
        <v>1</v>
      </c>
      <c r="G13" s="25" t="s">
        <v>69</v>
      </c>
      <c r="H13" s="28" t="str">
        <f>HYPERLINK("#G13",CHAR(128))</f>
        <v>€</v>
      </c>
    </row>
    <row r="14" spans="1:12" x14ac:dyDescent="0.3">
      <c r="A14" s="5" t="s">
        <v>186</v>
      </c>
      <c r="B14" s="77" t="s">
        <v>27</v>
      </c>
      <c r="C14" s="77"/>
      <c r="D14" s="77"/>
      <c r="E14" s="4" t="s">
        <v>145</v>
      </c>
      <c r="F14" s="4">
        <v>1</v>
      </c>
      <c r="G14" s="25" t="s">
        <v>86</v>
      </c>
      <c r="H14" s="28" t="str">
        <f>HYPERLINK("#G14",CHAR(128))</f>
        <v>€</v>
      </c>
    </row>
    <row r="15" spans="1:12" x14ac:dyDescent="0.3">
      <c r="A15" s="2"/>
      <c r="B15" s="83"/>
      <c r="C15" s="83"/>
      <c r="D15" s="83"/>
      <c r="E15" s="1"/>
      <c r="F15" s="16"/>
      <c r="G15" s="16"/>
      <c r="H15" s="14"/>
    </row>
    <row r="16" spans="1:12" x14ac:dyDescent="0.3">
      <c r="A16" s="5" t="s">
        <v>161</v>
      </c>
      <c r="B16" s="77" t="s">
        <v>28</v>
      </c>
      <c r="C16" s="77"/>
      <c r="D16" s="77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162</v>
      </c>
      <c r="B17" s="78" t="s">
        <v>22</v>
      </c>
      <c r="C17" s="78"/>
      <c r="D17" s="78"/>
      <c r="E17" s="1" t="s">
        <v>135</v>
      </c>
      <c r="F17" s="16">
        <v>1</v>
      </c>
      <c r="G17" s="25" t="s">
        <v>69</v>
      </c>
      <c r="H17" s="23" t="str">
        <f>HYPERLINK("#G17",CHAR(128))</f>
        <v>€</v>
      </c>
    </row>
    <row r="18" spans="1:10" x14ac:dyDescent="0.3">
      <c r="A18" s="5" t="s">
        <v>187</v>
      </c>
      <c r="B18" s="77" t="s">
        <v>29</v>
      </c>
      <c r="C18" s="77"/>
      <c r="D18" s="77"/>
      <c r="E18" s="4">
        <v>6436</v>
      </c>
      <c r="F18" s="4">
        <v>1</v>
      </c>
      <c r="G18" s="25" t="s">
        <v>86</v>
      </c>
      <c r="H18" s="23" t="str">
        <f>HYPERLINK("#G18",CHAR(128))</f>
        <v>€</v>
      </c>
    </row>
    <row r="19" spans="1:10" x14ac:dyDescent="0.3">
      <c r="A19" s="2"/>
      <c r="B19" s="78" t="s">
        <v>30</v>
      </c>
      <c r="C19" s="78"/>
      <c r="D19" s="78"/>
      <c r="E19" s="1" t="s">
        <v>139</v>
      </c>
      <c r="F19" s="16">
        <v>1</v>
      </c>
      <c r="G19" s="25" t="s">
        <v>69</v>
      </c>
      <c r="H19" s="23" t="str">
        <f>HYPERLINK("#G19",CHAR(128))</f>
        <v>€</v>
      </c>
    </row>
    <row r="20" spans="1:10" x14ac:dyDescent="0.3">
      <c r="A20" s="5"/>
      <c r="B20" s="80"/>
      <c r="C20" s="81"/>
      <c r="D20" s="82"/>
      <c r="E20" s="4"/>
      <c r="F20" s="4"/>
      <c r="G20" s="4"/>
      <c r="H20" s="14"/>
    </row>
    <row r="21" spans="1:10" x14ac:dyDescent="0.3">
      <c r="A21" s="2" t="s">
        <v>164</v>
      </c>
      <c r="B21" s="78" t="s">
        <v>33</v>
      </c>
      <c r="C21" s="78"/>
      <c r="D21" s="78"/>
      <c r="E21" s="9">
        <v>7</v>
      </c>
      <c r="F21" s="16">
        <v>1</v>
      </c>
      <c r="G21" s="25" t="s">
        <v>69</v>
      </c>
      <c r="H21" s="23" t="str">
        <f>HYPERLINK("#G21",CHAR(128))</f>
        <v>€</v>
      </c>
    </row>
    <row r="22" spans="1:10" x14ac:dyDescent="0.3">
      <c r="A22" s="5" t="s">
        <v>188</v>
      </c>
      <c r="B22" s="77" t="s">
        <v>31</v>
      </c>
      <c r="C22" s="77"/>
      <c r="D22" s="77"/>
      <c r="E22" s="4">
        <v>6432</v>
      </c>
      <c r="F22" s="4">
        <v>1</v>
      </c>
      <c r="G22" s="25" t="s">
        <v>69</v>
      </c>
      <c r="H22" s="23" t="str">
        <f>HYPERLINK("#G22",CHAR(128))</f>
        <v>€</v>
      </c>
    </row>
    <row r="23" spans="1:10" x14ac:dyDescent="0.3">
      <c r="A23" s="2" t="s">
        <v>179</v>
      </c>
      <c r="B23" s="78" t="s">
        <v>48</v>
      </c>
      <c r="C23" s="78"/>
      <c r="D23" s="78"/>
      <c r="E23" s="1">
        <v>6430</v>
      </c>
      <c r="F23" s="16">
        <v>1</v>
      </c>
      <c r="G23" s="25" t="s">
        <v>86</v>
      </c>
      <c r="H23" s="22" t="str">
        <f>HYPERLINK("#G23",CHAR(128))</f>
        <v>€</v>
      </c>
    </row>
    <row r="24" spans="1:10" x14ac:dyDescent="0.3">
      <c r="A24" s="5"/>
      <c r="B24" s="77" t="s">
        <v>32</v>
      </c>
      <c r="C24" s="77"/>
      <c r="D24" s="77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78"/>
      <c r="C25" s="78"/>
      <c r="D25" s="78"/>
      <c r="E25" s="1"/>
      <c r="F25" s="16"/>
      <c r="G25" s="16"/>
      <c r="H25" s="14"/>
      <c r="I25" s="12"/>
    </row>
    <row r="26" spans="1:10" x14ac:dyDescent="0.3">
      <c r="A26" s="5"/>
      <c r="B26" s="77" t="s">
        <v>37</v>
      </c>
      <c r="C26" s="77"/>
      <c r="D26" s="77"/>
      <c r="E26" s="4" t="str">
        <f>C2</f>
        <v>Dia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79" t="s">
        <v>50</v>
      </c>
      <c r="C29" s="79"/>
      <c r="D29" s="79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77"/>
      <c r="C30" s="77"/>
      <c r="D30" s="77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78"/>
      <c r="C31" s="78"/>
      <c r="D31" s="78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77"/>
      <c r="C32" s="77"/>
      <c r="D32" s="77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78"/>
      <c r="C33" s="78"/>
      <c r="D33" s="78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77"/>
      <c r="C34" s="77"/>
      <c r="D34" s="77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x14ac:dyDescent="0.3">
      <c r="A38" s="40"/>
      <c r="B38" s="40"/>
      <c r="C38" s="40"/>
      <c r="D38" s="40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32" priority="2" operator="equal">
      <formula>"Returned"</formula>
    </cfRule>
    <cfRule type="cellIs" dxfId="31" priority="5" operator="equal">
      <formula>"Ready To Order"</formula>
    </cfRule>
    <cfRule type="cellIs" dxfId="30" priority="6" operator="equal">
      <formula>"UNP"</formula>
    </cfRule>
    <cfRule type="containsText" dxfId="29" priority="7" operator="containsText" text="Ordered">
      <formula>NOT(ISERROR(SEARCH("Ordered",G6)))</formula>
    </cfRule>
    <cfRule type="containsText" dxfId="28" priority="8" operator="containsText" text="Pick Up">
      <formula>NOT(ISERROR(SEARCH("Pick Up",G6)))</formula>
    </cfRule>
    <cfRule type="containsText" dxfId="27" priority="9" operator="containsText" text="Complete">
      <formula>NOT(ISERROR(SEARCH("Complete",G6)))</formula>
    </cfRule>
  </conditionalFormatting>
  <conditionalFormatting sqref="G30:G33">
    <cfRule type="containsText" dxfId="26" priority="4" operator="containsText" text="Given">
      <formula>NOT(ISERROR(SEARCH("Given",G30)))</formula>
    </cfRule>
  </conditionalFormatting>
  <conditionalFormatting sqref="G30:G34">
    <cfRule type="containsText" dxfId="25" priority="3" operator="containsText" text="Returned">
      <formula>NOT(ISERROR(SEARCH("Returned",G30)))</formula>
    </cfRule>
  </conditionalFormatting>
  <conditionalFormatting sqref="G6:G14 G21:G26 G16:G19">
    <cfRule type="cellIs" dxfId="24" priority="1" operator="equal">
      <formula>"In Stock"</formula>
    </cfRule>
  </conditionalFormatting>
  <dataValidations count="3">
    <dataValidation type="list" allowBlank="1" showInputMessage="1" showErrorMessage="1" sqref="G30:G34" xr:uid="{77987B07-F81F-47A9-AD21-2778D84E5EEA}">
      <formula1>"--,Returned, Given"</formula1>
    </dataValidation>
    <dataValidation type="list" allowBlank="1" showInputMessage="1" showErrorMessage="1" sqref="G16:G19 G21:G24 G26 G6:G14" xr:uid="{E5200D05-D4B8-4CFB-8702-C2D97465F92F}">
      <formula1>"UNP, Ready To Order, Ordered, In Stock, Pick Up, Complete, Returned"</formula1>
    </dataValidation>
    <dataValidation type="decimal" allowBlank="1" showInputMessage="1" showErrorMessage="1" sqref="L2" xr:uid="{9F85FC28-BCF0-4AA2-8B2D-EB43DE24BF91}">
      <formula1>19</formula1>
      <formula2>26</formula2>
    </dataValidation>
  </dataValidations>
  <hyperlinks>
    <hyperlink ref="A1:A2" location="Menu!A1" display="Back to Menu" xr:uid="{A49D622F-B552-4589-8109-3F0FFD838ED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828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29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29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29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29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DD0F1-516F-4946-B6A4-D19B2F5DB422}">
  <sheetPr codeName="Sheet13"/>
  <dimension ref="A1:L38"/>
  <sheetViews>
    <sheetView tabSelected="1" workbookViewId="0">
      <selection activeCell="P15" sqref="P15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84" t="s">
        <v>42</v>
      </c>
      <c r="B1" s="20" t="s">
        <v>3</v>
      </c>
      <c r="C1" s="79" t="s">
        <v>0</v>
      </c>
      <c r="D1" s="79"/>
      <c r="E1" s="79" t="s">
        <v>2</v>
      </c>
      <c r="F1" s="79"/>
      <c r="G1" s="20" t="s">
        <v>34</v>
      </c>
      <c r="K1" s="20" t="s">
        <v>38</v>
      </c>
      <c r="L1" s="20" t="s">
        <v>10</v>
      </c>
    </row>
    <row r="2" spans="1:12" x14ac:dyDescent="0.3">
      <c r="A2" s="85"/>
      <c r="B2" s="2" t="s">
        <v>43</v>
      </c>
      <c r="C2" s="78" t="s">
        <v>208</v>
      </c>
      <c r="D2" s="78"/>
      <c r="E2" s="78" t="s">
        <v>115</v>
      </c>
      <c r="F2" s="78"/>
      <c r="G2" s="1" t="s">
        <v>209</v>
      </c>
      <c r="K2" s="4" t="s">
        <v>9</v>
      </c>
      <c r="L2" s="4">
        <v>25</v>
      </c>
    </row>
    <row r="3" spans="1:12" x14ac:dyDescent="0.3">
      <c r="A3" s="20" t="s">
        <v>1</v>
      </c>
      <c r="B3" s="86" t="s">
        <v>4</v>
      </c>
      <c r="C3" s="87"/>
      <c r="D3" s="88"/>
      <c r="E3" s="86" t="s">
        <v>49</v>
      </c>
      <c r="F3" s="88"/>
      <c r="G3" s="20" t="s">
        <v>5</v>
      </c>
      <c r="K3" s="1" t="s">
        <v>11</v>
      </c>
      <c r="L3" s="1">
        <v>17.7</v>
      </c>
    </row>
    <row r="4" spans="1:12" x14ac:dyDescent="0.3">
      <c r="A4" s="1" t="s">
        <v>39</v>
      </c>
      <c r="B4" s="89">
        <v>7345806215</v>
      </c>
      <c r="C4" s="89"/>
      <c r="D4" s="89"/>
      <c r="E4" s="78" t="s">
        <v>52</v>
      </c>
      <c r="F4" s="78"/>
      <c r="G4" s="1" t="s">
        <v>78</v>
      </c>
      <c r="K4" s="4" t="s">
        <v>12</v>
      </c>
      <c r="L4" s="4">
        <v>35.4</v>
      </c>
    </row>
    <row r="5" spans="1:12" x14ac:dyDescent="0.3">
      <c r="A5" s="20" t="s">
        <v>6</v>
      </c>
      <c r="B5" s="79" t="s">
        <v>7</v>
      </c>
      <c r="C5" s="79"/>
      <c r="D5" s="79"/>
      <c r="E5" s="20" t="s">
        <v>8</v>
      </c>
      <c r="F5" s="20" t="s">
        <v>35</v>
      </c>
      <c r="G5" s="20" t="s">
        <v>36</v>
      </c>
      <c r="K5" s="1" t="s">
        <v>13</v>
      </c>
      <c r="L5" s="1">
        <v>32.799999999999997</v>
      </c>
    </row>
    <row r="6" spans="1:12" x14ac:dyDescent="0.3">
      <c r="A6" s="3" t="s">
        <v>211</v>
      </c>
      <c r="B6" s="77" t="s">
        <v>18</v>
      </c>
      <c r="C6" s="77"/>
      <c r="D6" s="77"/>
      <c r="E6" s="91" t="s">
        <v>210</v>
      </c>
      <c r="F6" s="4">
        <v>1</v>
      </c>
      <c r="G6" s="25" t="s">
        <v>63</v>
      </c>
      <c r="H6" s="28" t="str">
        <f>HYPERLINK("#G6",CHAR(128))</f>
        <v>€</v>
      </c>
      <c r="K6" s="4" t="s">
        <v>14</v>
      </c>
      <c r="L6" s="4">
        <v>51.6</v>
      </c>
    </row>
    <row r="7" spans="1:12" x14ac:dyDescent="0.3">
      <c r="A7" s="2" t="s">
        <v>213</v>
      </c>
      <c r="B7" s="78" t="s">
        <v>21</v>
      </c>
      <c r="C7" s="78"/>
      <c r="D7" s="78"/>
      <c r="E7" s="92" t="s">
        <v>212</v>
      </c>
      <c r="F7" s="16">
        <v>1</v>
      </c>
      <c r="G7" s="25" t="s">
        <v>63</v>
      </c>
      <c r="H7" s="28" t="str">
        <f>HYPERLINK("#G7",CHAR(128))</f>
        <v>€</v>
      </c>
      <c r="K7" s="1" t="s">
        <v>15</v>
      </c>
      <c r="L7" s="1">
        <v>56.8</v>
      </c>
    </row>
    <row r="8" spans="1:12" x14ac:dyDescent="0.3">
      <c r="A8" s="3" t="s">
        <v>158</v>
      </c>
      <c r="B8" s="77" t="s">
        <v>19</v>
      </c>
      <c r="C8" s="77"/>
      <c r="D8" s="77"/>
      <c r="E8" s="91" t="s">
        <v>135</v>
      </c>
      <c r="F8" s="4">
        <v>1</v>
      </c>
      <c r="G8" s="25" t="s">
        <v>63</v>
      </c>
      <c r="H8" s="28" t="str">
        <f>HYPERLINK("#G8",CHAR(128))</f>
        <v>€</v>
      </c>
      <c r="K8" s="4" t="s">
        <v>16</v>
      </c>
      <c r="L8" s="4">
        <v>308.39999999999998</v>
      </c>
    </row>
    <row r="9" spans="1:12" x14ac:dyDescent="0.3">
      <c r="A9" s="2" t="s">
        <v>215</v>
      </c>
      <c r="B9" s="78" t="s">
        <v>20</v>
      </c>
      <c r="C9" s="78"/>
      <c r="D9" s="78"/>
      <c r="E9" s="92" t="s">
        <v>214</v>
      </c>
      <c r="F9" s="16">
        <v>1</v>
      </c>
      <c r="G9" s="25" t="s">
        <v>63</v>
      </c>
      <c r="H9" s="28" t="str">
        <f>HYPERLINK("#G9",CHAR(128))</f>
        <v>€</v>
      </c>
      <c r="I9" s="11"/>
      <c r="K9" s="1" t="s">
        <v>17</v>
      </c>
      <c r="L9" s="1">
        <v>121.9</v>
      </c>
    </row>
    <row r="10" spans="1:12" x14ac:dyDescent="0.3">
      <c r="A10" s="3"/>
      <c r="B10" s="77" t="s">
        <v>24</v>
      </c>
      <c r="C10" s="77"/>
      <c r="D10" s="77"/>
      <c r="E10" s="91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>
        <v>7.3</v>
      </c>
    </row>
    <row r="11" spans="1:12" x14ac:dyDescent="0.3">
      <c r="A11" s="2" t="s">
        <v>61</v>
      </c>
      <c r="B11" s="78" t="s">
        <v>23</v>
      </c>
      <c r="C11" s="78"/>
      <c r="D11" s="78"/>
      <c r="E11" s="92" t="s">
        <v>60</v>
      </c>
      <c r="F11" s="16">
        <v>1</v>
      </c>
      <c r="G11" s="25" t="s">
        <v>63</v>
      </c>
      <c r="H11" s="28" t="str">
        <f>HYPERLINK("#G11",CHAR(128))</f>
        <v>€</v>
      </c>
    </row>
    <row r="12" spans="1:12" x14ac:dyDescent="0.3">
      <c r="A12" s="5" t="s">
        <v>217</v>
      </c>
      <c r="B12" s="77" t="s">
        <v>25</v>
      </c>
      <c r="C12" s="77"/>
      <c r="D12" s="77"/>
      <c r="E12" s="91" t="s">
        <v>216</v>
      </c>
      <c r="F12" s="4">
        <v>1</v>
      </c>
      <c r="G12" s="25" t="s">
        <v>63</v>
      </c>
      <c r="H12" s="28" t="str">
        <f>HYPERLINK("#G12",CHAR(128))</f>
        <v>€</v>
      </c>
    </row>
    <row r="13" spans="1:12" x14ac:dyDescent="0.3">
      <c r="A13" s="2" t="s">
        <v>71</v>
      </c>
      <c r="B13" s="78" t="s">
        <v>26</v>
      </c>
      <c r="C13" s="78"/>
      <c r="D13" s="78"/>
      <c r="E13" s="92" t="s">
        <v>70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219</v>
      </c>
      <c r="B14" s="77" t="s">
        <v>27</v>
      </c>
      <c r="C14" s="77"/>
      <c r="D14" s="77"/>
      <c r="E14" s="91" t="s">
        <v>218</v>
      </c>
      <c r="F14" s="4">
        <v>1</v>
      </c>
      <c r="G14" s="25" t="s">
        <v>63</v>
      </c>
      <c r="H14" s="28" t="str">
        <f>HYPERLINK("#G14",CHAR(128))</f>
        <v>€</v>
      </c>
    </row>
    <row r="15" spans="1:12" x14ac:dyDescent="0.3">
      <c r="A15" s="2"/>
      <c r="B15" s="83"/>
      <c r="C15" s="83"/>
      <c r="D15" s="83"/>
      <c r="E15" s="92"/>
      <c r="F15" s="16"/>
      <c r="G15" s="16"/>
      <c r="H15" s="14"/>
    </row>
    <row r="16" spans="1:12" x14ac:dyDescent="0.3">
      <c r="A16" s="5" t="s">
        <v>46</v>
      </c>
      <c r="B16" s="77" t="s">
        <v>28</v>
      </c>
      <c r="C16" s="77"/>
      <c r="D16" s="77"/>
      <c r="E16" s="91" t="s">
        <v>51</v>
      </c>
      <c r="F16" s="4">
        <v>1</v>
      </c>
      <c r="G16" s="25" t="s">
        <v>63</v>
      </c>
      <c r="H16" s="23" t="str">
        <f>HYPERLINK("#G16",CHAR(128))</f>
        <v>€</v>
      </c>
    </row>
    <row r="17" spans="1:10" x14ac:dyDescent="0.3">
      <c r="A17" s="2" t="s">
        <v>220</v>
      </c>
      <c r="B17" s="78" t="s">
        <v>22</v>
      </c>
      <c r="C17" s="78"/>
      <c r="D17" s="78"/>
      <c r="E17" s="92" t="s">
        <v>96</v>
      </c>
      <c r="F17" s="16">
        <v>1</v>
      </c>
      <c r="G17" s="25" t="s">
        <v>63</v>
      </c>
      <c r="H17" s="23" t="str">
        <f>HYPERLINK("#G17",CHAR(128))</f>
        <v>€</v>
      </c>
    </row>
    <row r="18" spans="1:10" x14ac:dyDescent="0.3">
      <c r="A18" s="5" t="s">
        <v>222</v>
      </c>
      <c r="B18" s="77" t="s">
        <v>29</v>
      </c>
      <c r="C18" s="77"/>
      <c r="D18" s="77"/>
      <c r="E18" s="91" t="s">
        <v>221</v>
      </c>
      <c r="F18" s="4">
        <v>1</v>
      </c>
      <c r="G18" s="25" t="s">
        <v>63</v>
      </c>
      <c r="H18" s="23" t="str">
        <f>HYPERLINK("#G18",CHAR(128))</f>
        <v>€</v>
      </c>
    </row>
    <row r="19" spans="1:10" x14ac:dyDescent="0.3">
      <c r="A19" s="2" t="s">
        <v>73</v>
      </c>
      <c r="B19" s="78" t="s">
        <v>30</v>
      </c>
      <c r="C19" s="78"/>
      <c r="D19" s="78"/>
      <c r="E19" s="92" t="s">
        <v>72</v>
      </c>
      <c r="F19" s="16">
        <v>1</v>
      </c>
      <c r="G19" s="25" t="s">
        <v>63</v>
      </c>
      <c r="H19" s="23" t="str">
        <f>HYPERLINK("#G19",CHAR(128))</f>
        <v>€</v>
      </c>
    </row>
    <row r="20" spans="1:10" x14ac:dyDescent="0.3">
      <c r="A20" s="5"/>
      <c r="B20" s="80"/>
      <c r="C20" s="81"/>
      <c r="D20" s="82"/>
      <c r="E20" s="91"/>
      <c r="F20" s="4"/>
      <c r="G20" s="4"/>
      <c r="H20" s="14"/>
    </row>
    <row r="21" spans="1:10" x14ac:dyDescent="0.3">
      <c r="A21" s="2"/>
      <c r="B21" s="78" t="s">
        <v>33</v>
      </c>
      <c r="C21" s="78"/>
      <c r="D21" s="78"/>
      <c r="E21" s="92"/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3">
      <c r="A22" s="5" t="s">
        <v>224</v>
      </c>
      <c r="B22" s="77" t="s">
        <v>31</v>
      </c>
      <c r="C22" s="77"/>
      <c r="D22" s="77"/>
      <c r="E22" s="91" t="s">
        <v>223</v>
      </c>
      <c r="F22" s="4">
        <v>1</v>
      </c>
      <c r="G22" s="25" t="s">
        <v>63</v>
      </c>
      <c r="H22" s="23" t="str">
        <f>HYPERLINK("#G22",CHAR(128))</f>
        <v>€</v>
      </c>
    </row>
    <row r="23" spans="1:10" x14ac:dyDescent="0.3">
      <c r="A23" s="2" t="s">
        <v>226</v>
      </c>
      <c r="B23" s="78" t="s">
        <v>48</v>
      </c>
      <c r="C23" s="78"/>
      <c r="D23" s="78"/>
      <c r="E23" s="92" t="s">
        <v>225</v>
      </c>
      <c r="F23" s="16">
        <v>1</v>
      </c>
      <c r="G23" s="25" t="s">
        <v>63</v>
      </c>
      <c r="H23" s="22" t="str">
        <f>HYPERLINK("#G23",CHAR(128))</f>
        <v>€</v>
      </c>
    </row>
    <row r="24" spans="1:10" x14ac:dyDescent="0.3">
      <c r="A24" s="5"/>
      <c r="B24" s="77" t="s">
        <v>32</v>
      </c>
      <c r="C24" s="77"/>
      <c r="D24" s="77"/>
      <c r="E24" s="91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78"/>
      <c r="C25" s="78"/>
      <c r="D25" s="78"/>
      <c r="E25" s="1"/>
      <c r="F25" s="16"/>
      <c r="G25" s="16"/>
      <c r="H25" s="14"/>
      <c r="I25" s="12"/>
    </row>
    <row r="26" spans="1:10" x14ac:dyDescent="0.3">
      <c r="A26" s="5"/>
      <c r="B26" s="77" t="s">
        <v>37</v>
      </c>
      <c r="C26" s="77"/>
      <c r="D26" s="77"/>
      <c r="E26" s="4" t="str">
        <f>C2</f>
        <v>Jones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79" t="s">
        <v>50</v>
      </c>
      <c r="C29" s="79"/>
      <c r="D29" s="79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77"/>
      <c r="C30" s="77"/>
      <c r="D30" s="77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78"/>
      <c r="C31" s="78"/>
      <c r="D31" s="78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77"/>
      <c r="C32" s="77"/>
      <c r="D32" s="77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78"/>
      <c r="C33" s="78"/>
      <c r="D33" s="78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77"/>
      <c r="C34" s="77"/>
      <c r="D34" s="77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x14ac:dyDescent="0.3">
      <c r="A38" s="40"/>
      <c r="B38" s="40"/>
      <c r="C38" s="40"/>
      <c r="D38" s="40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14" priority="2" operator="equal">
      <formula>"Returned"</formula>
    </cfRule>
    <cfRule type="cellIs" dxfId="13" priority="5" operator="equal">
      <formula>"Ready To Order"</formula>
    </cfRule>
    <cfRule type="cellIs" dxfId="12" priority="6" operator="equal">
      <formula>"UNP"</formula>
    </cfRule>
    <cfRule type="containsText" dxfId="11" priority="7" operator="containsText" text="Ordered">
      <formula>NOT(ISERROR(SEARCH("Ordered",G6)))</formula>
    </cfRule>
    <cfRule type="containsText" dxfId="10" priority="8" operator="containsText" text="Pick Up">
      <formula>NOT(ISERROR(SEARCH("Pick Up",G6)))</formula>
    </cfRule>
    <cfRule type="containsText" dxfId="9" priority="9" operator="containsText" text="Complete">
      <formula>NOT(ISERROR(SEARCH("Complete",G6)))</formula>
    </cfRule>
  </conditionalFormatting>
  <conditionalFormatting sqref="G30:G33">
    <cfRule type="containsText" dxfId="8" priority="4" operator="containsText" text="Given">
      <formula>NOT(ISERROR(SEARCH("Given",G30)))</formula>
    </cfRule>
  </conditionalFormatting>
  <conditionalFormatting sqref="G30:G34">
    <cfRule type="containsText" dxfId="7" priority="3" operator="containsText" text="Returned">
      <formula>NOT(ISERROR(SEARCH("Returned",G30)))</formula>
    </cfRule>
  </conditionalFormatting>
  <conditionalFormatting sqref="G6:G14 G21:G26 G16:G19">
    <cfRule type="cellIs" dxfId="6" priority="1" operator="equal">
      <formula>"In Stock"</formula>
    </cfRule>
  </conditionalFormatting>
  <dataValidations count="3">
    <dataValidation type="list" allowBlank="1" showInputMessage="1" showErrorMessage="1" sqref="G30:G34" xr:uid="{E1B74C84-B18C-4F4B-BCEA-F49FECAE5E3D}">
      <formula1>"--,Returned, Given"</formula1>
    </dataValidation>
    <dataValidation type="list" allowBlank="1" showInputMessage="1" showErrorMessage="1" sqref="G16:G19 G21:G24 G26 G6:G14" xr:uid="{25BC7963-3726-48FF-B5D0-EF58D90075B2}">
      <formula1>"UNP, Ready To Order, Ordered, In Stock, Pick Up, Complete, Returned"</formula1>
    </dataValidation>
    <dataValidation type="decimal" allowBlank="1" showInputMessage="1" showErrorMessage="1" sqref="L2" xr:uid="{03BBCE09-03CE-4A28-B5BF-B3AC311DC513}">
      <formula1>19</formula1>
      <formula2>26</formula2>
    </dataValidation>
  </dataValidations>
  <hyperlinks>
    <hyperlink ref="A1:A2" location="Menu!A1" display="Back to Menu" xr:uid="{AC52FA62-EFE7-4615-BE7B-BDB0156B9EA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361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362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363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364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365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8"/>
  <sheetViews>
    <sheetView zoomScaleNormal="100" workbookViewId="0">
      <selection sqref="A1:L38"/>
    </sheetView>
  </sheetViews>
  <sheetFormatPr defaultRowHeight="15.05" x14ac:dyDescent="0.3"/>
  <cols>
    <col min="1" max="1" width="18.5546875" customWidth="1"/>
    <col min="3" max="3" width="9.44140625" customWidth="1"/>
    <col min="4" max="4" width="10.77734375" customWidth="1"/>
    <col min="5" max="5" width="14.33203125" customWidth="1"/>
    <col min="7" max="7" width="16.5546875" customWidth="1"/>
    <col min="8" max="9" width="10.44140625" customWidth="1"/>
    <col min="11" max="11" width="12.109375" customWidth="1"/>
    <col min="12" max="12" width="13.109375" customWidth="1"/>
  </cols>
  <sheetData>
    <row r="1" spans="1:12" ht="17.2" customHeight="1" x14ac:dyDescent="0.3">
      <c r="A1" s="84" t="s">
        <v>42</v>
      </c>
      <c r="B1" s="20" t="s">
        <v>3</v>
      </c>
      <c r="C1" s="79" t="s">
        <v>0</v>
      </c>
      <c r="D1" s="79"/>
      <c r="E1" s="79" t="s">
        <v>2</v>
      </c>
      <c r="F1" s="79"/>
      <c r="G1" s="20" t="s">
        <v>34</v>
      </c>
      <c r="K1" s="20" t="s">
        <v>38</v>
      </c>
      <c r="L1" s="20" t="s">
        <v>10</v>
      </c>
    </row>
    <row r="2" spans="1:12" ht="17.2" customHeight="1" x14ac:dyDescent="0.3">
      <c r="A2" s="85"/>
      <c r="B2" s="2"/>
      <c r="C2" s="78"/>
      <c r="D2" s="78"/>
      <c r="E2" s="78"/>
      <c r="F2" s="78"/>
      <c r="G2" s="1"/>
      <c r="K2" s="4" t="s">
        <v>9</v>
      </c>
      <c r="L2" s="4"/>
    </row>
    <row r="3" spans="1:12" ht="17.2" customHeight="1" x14ac:dyDescent="0.3">
      <c r="A3" s="20" t="s">
        <v>1</v>
      </c>
      <c r="B3" s="86" t="s">
        <v>4</v>
      </c>
      <c r="C3" s="87"/>
      <c r="D3" s="88"/>
      <c r="E3" s="86" t="s">
        <v>49</v>
      </c>
      <c r="F3" s="88"/>
      <c r="G3" s="20" t="s">
        <v>5</v>
      </c>
      <c r="K3" s="1" t="s">
        <v>11</v>
      </c>
      <c r="L3" s="1"/>
    </row>
    <row r="4" spans="1:12" ht="17.2" customHeight="1" x14ac:dyDescent="0.3">
      <c r="A4" s="1" t="s">
        <v>39</v>
      </c>
      <c r="B4" s="89"/>
      <c r="C4" s="89"/>
      <c r="D4" s="89"/>
      <c r="E4" s="78"/>
      <c r="F4" s="78"/>
      <c r="G4" s="1"/>
      <c r="K4" s="4" t="s">
        <v>12</v>
      </c>
      <c r="L4" s="4"/>
    </row>
    <row r="5" spans="1:12" ht="17.2" customHeight="1" x14ac:dyDescent="0.3">
      <c r="A5" s="20" t="s">
        <v>6</v>
      </c>
      <c r="B5" s="79" t="s">
        <v>7</v>
      </c>
      <c r="C5" s="79"/>
      <c r="D5" s="79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" customHeight="1" x14ac:dyDescent="0.3">
      <c r="A6" s="3"/>
      <c r="B6" s="77" t="s">
        <v>18</v>
      </c>
      <c r="C6" s="77"/>
      <c r="D6" s="77"/>
      <c r="E6" s="91"/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/>
    </row>
    <row r="7" spans="1:12" ht="17.2" customHeight="1" x14ac:dyDescent="0.3">
      <c r="A7" s="2"/>
      <c r="B7" s="78" t="s">
        <v>21</v>
      </c>
      <c r="C7" s="78"/>
      <c r="D7" s="78"/>
      <c r="E7" s="92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/>
    </row>
    <row r="8" spans="1:12" ht="17.2" customHeight="1" x14ac:dyDescent="0.3">
      <c r="A8" s="3"/>
      <c r="B8" s="77" t="s">
        <v>19</v>
      </c>
      <c r="C8" s="77"/>
      <c r="D8" s="77"/>
      <c r="E8" s="91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/>
    </row>
    <row r="9" spans="1:12" ht="17.2" customHeight="1" x14ac:dyDescent="0.3">
      <c r="A9" s="2"/>
      <c r="B9" s="78" t="s">
        <v>20</v>
      </c>
      <c r="C9" s="78"/>
      <c r="D9" s="78"/>
      <c r="E9" s="92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/>
    </row>
    <row r="10" spans="1:12" ht="17.2" customHeight="1" x14ac:dyDescent="0.3">
      <c r="A10" s="3"/>
      <c r="B10" s="77" t="s">
        <v>24</v>
      </c>
      <c r="C10" s="77"/>
      <c r="D10" s="77"/>
      <c r="E10" s="91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/>
    </row>
    <row r="11" spans="1:12" ht="17.2" customHeight="1" x14ac:dyDescent="0.3">
      <c r="A11" s="2"/>
      <c r="B11" s="78" t="s">
        <v>23</v>
      </c>
      <c r="C11" s="78"/>
      <c r="D11" s="78"/>
      <c r="E11" s="92"/>
      <c r="F11" s="16">
        <v>1</v>
      </c>
      <c r="G11" s="25" t="s">
        <v>45</v>
      </c>
      <c r="H11" s="28" t="str">
        <f>HYPERLINK("#G11",CHAR(128))</f>
        <v>€</v>
      </c>
    </row>
    <row r="12" spans="1:12" ht="17.2" customHeight="1" x14ac:dyDescent="0.3">
      <c r="A12" s="5"/>
      <c r="B12" s="77" t="s">
        <v>25</v>
      </c>
      <c r="C12" s="77"/>
      <c r="D12" s="77"/>
      <c r="E12" s="91"/>
      <c r="F12" s="4">
        <v>1</v>
      </c>
      <c r="G12" s="25" t="s">
        <v>45</v>
      </c>
      <c r="H12" s="28" t="str">
        <f>HYPERLINK("#G12",CHAR(128))</f>
        <v>€</v>
      </c>
    </row>
    <row r="13" spans="1:12" ht="17.2" customHeight="1" x14ac:dyDescent="0.3">
      <c r="A13" s="2"/>
      <c r="B13" s="78" t="s">
        <v>26</v>
      </c>
      <c r="C13" s="78"/>
      <c r="D13" s="78"/>
      <c r="E13" s="92"/>
      <c r="F13" s="16">
        <v>1</v>
      </c>
      <c r="G13" s="25" t="s">
        <v>45</v>
      </c>
      <c r="H13" s="28" t="str">
        <f>HYPERLINK("#G13",CHAR(128))</f>
        <v>€</v>
      </c>
    </row>
    <row r="14" spans="1:12" ht="17.2" customHeight="1" x14ac:dyDescent="0.3">
      <c r="A14" s="5"/>
      <c r="B14" s="77" t="s">
        <v>27</v>
      </c>
      <c r="C14" s="77"/>
      <c r="D14" s="77"/>
      <c r="E14" s="91"/>
      <c r="F14" s="4">
        <v>1</v>
      </c>
      <c r="G14" s="25" t="s">
        <v>45</v>
      </c>
      <c r="H14" s="28" t="str">
        <f>HYPERLINK("#G14",CHAR(128))</f>
        <v>€</v>
      </c>
    </row>
    <row r="15" spans="1:12" ht="17.2" customHeight="1" x14ac:dyDescent="0.3">
      <c r="A15" s="2"/>
      <c r="B15" s="83"/>
      <c r="C15" s="83"/>
      <c r="D15" s="83"/>
      <c r="E15" s="92"/>
      <c r="F15" s="16"/>
      <c r="G15" s="16"/>
      <c r="H15" s="14"/>
    </row>
    <row r="16" spans="1:12" ht="17.2" customHeight="1" x14ac:dyDescent="0.3">
      <c r="A16" s="5"/>
      <c r="B16" s="77" t="s">
        <v>28</v>
      </c>
      <c r="C16" s="77"/>
      <c r="D16" s="77"/>
      <c r="E16" s="91"/>
      <c r="F16" s="4">
        <v>1</v>
      </c>
      <c r="G16" s="25" t="s">
        <v>45</v>
      </c>
      <c r="H16" s="23" t="str">
        <f>HYPERLINK("#G16",CHAR(128))</f>
        <v>€</v>
      </c>
    </row>
    <row r="17" spans="1:14" ht="17.2" customHeight="1" x14ac:dyDescent="0.3">
      <c r="A17" s="2"/>
      <c r="B17" s="78" t="s">
        <v>22</v>
      </c>
      <c r="C17" s="78"/>
      <c r="D17" s="78"/>
      <c r="E17" s="92"/>
      <c r="F17" s="16">
        <v>1</v>
      </c>
      <c r="G17" s="25" t="s">
        <v>45</v>
      </c>
      <c r="H17" s="23" t="str">
        <f>HYPERLINK("#G17",CHAR(128))</f>
        <v>€</v>
      </c>
    </row>
    <row r="18" spans="1:14" ht="17.2" customHeight="1" x14ac:dyDescent="0.3">
      <c r="A18" s="5"/>
      <c r="B18" s="77" t="s">
        <v>29</v>
      </c>
      <c r="C18" s="77"/>
      <c r="D18" s="77"/>
      <c r="E18" s="91"/>
      <c r="F18" s="4">
        <v>1</v>
      </c>
      <c r="G18" s="25" t="s">
        <v>45</v>
      </c>
      <c r="H18" s="23" t="str">
        <f>HYPERLINK("#G18",CHAR(128))</f>
        <v>€</v>
      </c>
    </row>
    <row r="19" spans="1:14" ht="17.2" customHeight="1" x14ac:dyDescent="0.3">
      <c r="A19" s="2"/>
      <c r="B19" s="78" t="s">
        <v>30</v>
      </c>
      <c r="C19" s="78"/>
      <c r="D19" s="78"/>
      <c r="E19" s="92"/>
      <c r="F19" s="16">
        <v>1</v>
      </c>
      <c r="G19" s="25" t="s">
        <v>45</v>
      </c>
      <c r="H19" s="23" t="str">
        <f>HYPERLINK("#G19",CHAR(128))</f>
        <v>€</v>
      </c>
    </row>
    <row r="20" spans="1:14" ht="17.2" customHeight="1" x14ac:dyDescent="0.3">
      <c r="A20" s="5"/>
      <c r="B20" s="80"/>
      <c r="C20" s="81"/>
      <c r="D20" s="82"/>
      <c r="E20" s="91"/>
      <c r="F20" s="4"/>
      <c r="G20" s="4"/>
      <c r="H20" s="14"/>
    </row>
    <row r="21" spans="1:14" ht="14.4" x14ac:dyDescent="0.3">
      <c r="A21" s="2"/>
      <c r="B21" s="78" t="s">
        <v>33</v>
      </c>
      <c r="C21" s="78"/>
      <c r="D21" s="78"/>
      <c r="E21" s="92"/>
      <c r="F21" s="16">
        <v>1</v>
      </c>
      <c r="G21" s="25" t="s">
        <v>45</v>
      </c>
      <c r="H21" s="23" t="str">
        <f>HYPERLINK("#G21",CHAR(128))</f>
        <v>€</v>
      </c>
    </row>
    <row r="22" spans="1:14" ht="14.4" x14ac:dyDescent="0.3">
      <c r="A22" s="5"/>
      <c r="B22" s="77" t="s">
        <v>31</v>
      </c>
      <c r="C22" s="77"/>
      <c r="D22" s="77"/>
      <c r="E22" s="91"/>
      <c r="F22" s="4">
        <v>1</v>
      </c>
      <c r="G22" s="25" t="s">
        <v>45</v>
      </c>
      <c r="H22" s="23" t="str">
        <f>HYPERLINK("#G22",CHAR(128))</f>
        <v>€</v>
      </c>
      <c r="N22" s="2"/>
    </row>
    <row r="23" spans="1:14" ht="14.4" x14ac:dyDescent="0.3">
      <c r="A23" s="2"/>
      <c r="B23" s="78" t="s">
        <v>48</v>
      </c>
      <c r="C23" s="78"/>
      <c r="D23" s="78"/>
      <c r="E23" s="92"/>
      <c r="F23" s="16">
        <v>1</v>
      </c>
      <c r="G23" s="25" t="s">
        <v>45</v>
      </c>
      <c r="H23" s="22" t="str">
        <f>HYPERLINK("#G23",CHAR(128))</f>
        <v>€</v>
      </c>
    </row>
    <row r="24" spans="1:14" ht="14.4" x14ac:dyDescent="0.3">
      <c r="A24" s="5"/>
      <c r="B24" s="77" t="s">
        <v>32</v>
      </c>
      <c r="C24" s="77"/>
      <c r="D24" s="77"/>
      <c r="E24" s="91"/>
      <c r="F24" s="4">
        <v>1</v>
      </c>
      <c r="G24" s="25" t="s">
        <v>45</v>
      </c>
      <c r="H24" s="22" t="str">
        <f>HYPERLINK("#G24",CHAR(128))</f>
        <v>€</v>
      </c>
    </row>
    <row r="25" spans="1:14" ht="14.4" x14ac:dyDescent="0.3">
      <c r="A25" s="2"/>
      <c r="B25" s="78"/>
      <c r="C25" s="78"/>
      <c r="D25" s="78"/>
      <c r="E25" s="1"/>
      <c r="F25" s="16"/>
      <c r="G25" s="16"/>
      <c r="H25" s="14"/>
      <c r="I25" s="12"/>
    </row>
    <row r="26" spans="1:14" ht="14.4" x14ac:dyDescent="0.3">
      <c r="A26" s="5"/>
      <c r="B26" s="77" t="s">
        <v>37</v>
      </c>
      <c r="C26" s="77"/>
      <c r="D26" s="77"/>
      <c r="E26" s="4">
        <f>C2</f>
        <v>0</v>
      </c>
      <c r="F26" s="4">
        <v>1</v>
      </c>
      <c r="G26" s="25" t="s">
        <v>45</v>
      </c>
      <c r="H26" s="24" t="str">
        <f>HYPERLINK("#G26",CHAR(128))</f>
        <v>€</v>
      </c>
    </row>
    <row r="28" spans="1:14" ht="14.4" x14ac:dyDescent="0.3">
      <c r="J28" s="18"/>
    </row>
    <row r="29" spans="1:14" ht="14.4" x14ac:dyDescent="0.3">
      <c r="A29" s="20"/>
      <c r="B29" s="79" t="s">
        <v>50</v>
      </c>
      <c r="C29" s="79"/>
      <c r="D29" s="79"/>
      <c r="E29" s="20" t="s">
        <v>8</v>
      </c>
      <c r="F29" s="20" t="s">
        <v>35</v>
      </c>
      <c r="G29" s="21" t="s">
        <v>36</v>
      </c>
    </row>
    <row r="30" spans="1:14" ht="14.4" x14ac:dyDescent="0.3">
      <c r="A30" s="3"/>
      <c r="B30" s="77"/>
      <c r="C30" s="77"/>
      <c r="D30" s="77"/>
      <c r="E30" s="4"/>
      <c r="F30" s="10">
        <v>1</v>
      </c>
      <c r="G30" s="17"/>
      <c r="H30" s="19" t="str">
        <f>HYPERLINK("#G30",CHAR(128))</f>
        <v>€</v>
      </c>
    </row>
    <row r="31" spans="1:14" ht="14.4" x14ac:dyDescent="0.3">
      <c r="A31" s="2"/>
      <c r="B31" s="78"/>
      <c r="C31" s="78"/>
      <c r="D31" s="78"/>
      <c r="E31" s="1"/>
      <c r="F31" s="16">
        <v>1</v>
      </c>
      <c r="G31" s="26"/>
      <c r="H31" s="19" t="str">
        <f>HYPERLINK("#G31",CHAR(128))</f>
        <v>€</v>
      </c>
    </row>
    <row r="32" spans="1:14" ht="14.4" x14ac:dyDescent="0.3">
      <c r="A32" s="3"/>
      <c r="B32" s="77"/>
      <c r="C32" s="77"/>
      <c r="D32" s="77"/>
      <c r="E32" s="4"/>
      <c r="F32" s="4">
        <v>1</v>
      </c>
      <c r="G32" s="27"/>
      <c r="H32" s="19" t="str">
        <f>HYPERLINK("#G32",CHAR(128))</f>
        <v>€</v>
      </c>
    </row>
    <row r="33" spans="1:8" ht="14.4" x14ac:dyDescent="0.3">
      <c r="A33" s="2"/>
      <c r="B33" s="78"/>
      <c r="C33" s="78"/>
      <c r="D33" s="78"/>
      <c r="E33" s="1"/>
      <c r="F33" s="16">
        <v>1</v>
      </c>
      <c r="G33" s="26"/>
      <c r="H33" s="19" t="str">
        <f>HYPERLINK("#G33",CHAR(128))</f>
        <v>€</v>
      </c>
    </row>
    <row r="34" spans="1:8" ht="14.4" x14ac:dyDescent="0.3">
      <c r="A34" s="3"/>
      <c r="B34" s="77"/>
      <c r="C34" s="77"/>
      <c r="D34" s="77"/>
      <c r="E34" s="4"/>
      <c r="F34" s="4">
        <v>1</v>
      </c>
      <c r="G34" s="27"/>
      <c r="H34" s="19" t="str">
        <f>HYPERLINK("#G34",CHAR(128))</f>
        <v>€</v>
      </c>
    </row>
    <row r="37" spans="1:8" ht="14.4" x14ac:dyDescent="0.3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ht="14.4" x14ac:dyDescent="0.3">
      <c r="A38" s="40"/>
      <c r="B38" s="40"/>
      <c r="C38" s="40"/>
      <c r="D38" s="40"/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14 G21:G26 G16:G19">
    <cfRule type="cellIs" dxfId="23" priority="2" operator="equal">
      <formula>"Returned"</formula>
    </cfRule>
    <cfRule type="cellIs" dxfId="22" priority="12" operator="equal">
      <formula>"Ready To Order"</formula>
    </cfRule>
    <cfRule type="cellIs" dxfId="21" priority="13" operator="equal">
      <formula>"UNP"</formula>
    </cfRule>
    <cfRule type="containsText" dxfId="20" priority="14" operator="containsText" text="Ordered">
      <formula>NOT(ISERROR(SEARCH("Ordered",G6)))</formula>
    </cfRule>
    <cfRule type="containsText" dxfId="19" priority="15" operator="containsText" text="Pick Up">
      <formula>NOT(ISERROR(SEARCH("Pick Up",G6)))</formula>
    </cfRule>
    <cfRule type="containsText" dxfId="18" priority="16" operator="containsText" text="Complete">
      <formula>NOT(ISERROR(SEARCH("Complete",G6)))</formula>
    </cfRule>
  </conditionalFormatting>
  <conditionalFormatting sqref="G30:G33">
    <cfRule type="containsText" dxfId="17" priority="4" operator="containsText" text="Given">
      <formula>NOT(ISERROR(SEARCH("Given",G30)))</formula>
    </cfRule>
  </conditionalFormatting>
  <conditionalFormatting sqref="G30:G34">
    <cfRule type="containsText" dxfId="16" priority="3" operator="containsText" text="Returned">
      <formula>NOT(ISERROR(SEARCH("Returned",G30)))</formula>
    </cfRule>
  </conditionalFormatting>
  <conditionalFormatting sqref="G6:G14 G21:G26 G16:G19">
    <cfRule type="cellIs" dxfId="15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2" r:id="rId3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5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6" name="Button 12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7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Menu</vt:lpstr>
      <vt:lpstr>Importing</vt:lpstr>
      <vt:lpstr>Pickup</vt:lpstr>
      <vt:lpstr>Master</vt:lpstr>
      <vt:lpstr>Import Sheets</vt:lpstr>
      <vt:lpstr>Charlie_Clark_74CD899D</vt:lpstr>
      <vt:lpstr>Isabella_Taylor_D098F288</vt:lpstr>
      <vt:lpstr>Banks_Rob_B4DD32A8</vt:lpstr>
      <vt:lpstr>Rophone_Mike_747A9E83</vt:lpstr>
      <vt:lpstr>Christ_Jesus_87519091</vt:lpstr>
      <vt:lpstr>Rhea_Dia_A5D0E0B7</vt:lpstr>
      <vt:lpstr>Isabella_Jones_36E7E7BB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cp:lastPrinted>2023-12-28T05:00:54Z</cp:lastPrinted>
  <dcterms:created xsi:type="dcterms:W3CDTF">2023-08-20T19:28:09Z</dcterms:created>
  <dcterms:modified xsi:type="dcterms:W3CDTF">2024-01-12T06:53:43Z</dcterms:modified>
</cp:coreProperties>
</file>