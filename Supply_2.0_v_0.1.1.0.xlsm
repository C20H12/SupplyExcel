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vi\Desktop\projects\SupplyExcel\"/>
    </mc:Choice>
  </mc:AlternateContent>
  <xr:revisionPtr revIDLastSave="0" documentId="13_ncr:1_{DD5832BE-53BC-4EE6-ADC0-B07DF5A265C6}" xr6:coauthVersionLast="47" xr6:coauthVersionMax="47" xr10:uidLastSave="{00000000-0000-0000-0000-000000000000}"/>
  <bookViews>
    <workbookView xWindow="-98" yWindow="-98" windowWidth="21795" windowHeight="13875" tabRatio="856" activeTab="2" xr2:uid="{01218C0E-FF84-42AC-8993-DD76AC11461D}"/>
  </bookViews>
  <sheets>
    <sheet name="Menu" sheetId="48" r:id="rId1"/>
    <sheet name="Importing" sheetId="124" r:id="rId2"/>
    <sheet name="Henry_Smith_AB6D98A0" sheetId="172" r:id="rId3"/>
    <sheet name="Template" sheetId="1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172" l="1"/>
  <c r="H33" i="172"/>
  <c r="H32" i="172"/>
  <c r="H31" i="172"/>
  <c r="H30" i="172"/>
  <c r="H26" i="172"/>
  <c r="E26" i="172"/>
  <c r="H24" i="172"/>
  <c r="H23" i="172"/>
  <c r="H22" i="172"/>
  <c r="H21" i="172"/>
  <c r="H19" i="172"/>
  <c r="H18" i="172"/>
  <c r="H17" i="172"/>
  <c r="H16" i="172"/>
  <c r="H14" i="172"/>
  <c r="H13" i="172"/>
  <c r="H12" i="172"/>
  <c r="H11" i="172"/>
  <c r="H10" i="172"/>
  <c r="H9" i="172"/>
  <c r="H8" i="172"/>
  <c r="H7" i="172"/>
  <c r="H6" i="172"/>
  <c r="E26" i="1" l="1"/>
  <c r="H14" i="1"/>
  <c r="H13" i="1"/>
  <c r="H12" i="1"/>
  <c r="H11" i="1"/>
  <c r="H10" i="1"/>
  <c r="H9" i="1"/>
  <c r="H8" i="1"/>
  <c r="H7" i="1"/>
  <c r="H6" i="1"/>
  <c r="H34" i="1"/>
  <c r="H33" i="1"/>
  <c r="H32" i="1"/>
  <c r="H31" i="1"/>
  <c r="H30" i="1"/>
  <c r="H22" i="1"/>
  <c r="H21" i="1"/>
  <c r="H19" i="1"/>
  <c r="H18" i="1"/>
  <c r="H17" i="1"/>
  <c r="H16" i="1"/>
  <c r="H26" i="1"/>
  <c r="H24" i="1"/>
  <c r="H23" i="1"/>
</calcChain>
</file>

<file path=xl/sharedStrings.xml><?xml version="1.0" encoding="utf-8"?>
<sst xmlns="http://schemas.openxmlformats.org/spreadsheetml/2006/main" count="177" uniqueCount="78">
  <si>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</si>
  <si>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</si>
  <si>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</si>
  <si>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</si>
  <si>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</si>
  <si>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</si>
  <si>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</si>
  <si>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</si>
  <si>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</si>
  <si>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</si>
  <si>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</si>
  <si>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</si>
  <si>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</si>
  <si>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</si>
  <si>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</si>
  <si>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</si>
  <si>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</si>
  <si>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</si>
  <si>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</si>
  <si>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</si>
  <si>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</si>
  <si>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</si>
  <si>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</si>
  <si>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</si>
  <si>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</si>
  <si>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</si>
  <si>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</si>
  <si>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</si>
  <si>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</si>
  <si>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</si>
  <si>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</si>
  <si>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</si>
  <si>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</si>
  <si>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</si>
  <si>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</si>
  <si>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</si>
  <si>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</si>
  <si>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</si>
  <si>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</si>
  <si>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</si>
  <si>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</si>
  <si>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</si>
  <si>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</si>
  <si>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FSgt</t>
  </si>
  <si>
    <t>Male</t>
  </si>
  <si>
    <t>XS</t>
  </si>
  <si>
    <t>XL/TG</t>
  </si>
  <si>
    <t>UNP</t>
  </si>
  <si>
    <t>8405-21-907-9466</t>
  </si>
  <si>
    <t>Hand Length</t>
  </si>
  <si>
    <t>FTU Pants</t>
  </si>
  <si>
    <t>Email</t>
  </si>
  <si>
    <t>Extra Items</t>
  </si>
  <si>
    <t>320/126</t>
  </si>
  <si>
    <t>UNI</t>
  </si>
  <si>
    <t>8440-20-006-6068</t>
  </si>
  <si>
    <t>L (66 inch)</t>
  </si>
  <si>
    <t>8440-21-899-1182</t>
  </si>
  <si>
    <t>Jesus@hotmail.com</t>
  </si>
  <si>
    <t>8430-20-006-2569</t>
  </si>
  <si>
    <t>8405-20-003-5837</t>
  </si>
  <si>
    <t>8405-21-920-7275</t>
  </si>
  <si>
    <t>Smith</t>
  </si>
  <si>
    <t>Last Name</t>
  </si>
  <si>
    <t>Is Male</t>
  </si>
  <si>
    <t>Hip</t>
  </si>
  <si>
    <t>Foot Len</t>
  </si>
  <si>
    <t>Foot Wid</t>
  </si>
  <si>
    <t>XXL</t>
  </si>
  <si>
    <t>1000-21-215-7658</t>
  </si>
  <si>
    <t>Henry</t>
  </si>
  <si>
    <t>AB6D98A0</t>
  </si>
  <si>
    <t>1000-21-059-8060</t>
  </si>
  <si>
    <t>1000-21-316-2000</t>
  </si>
  <si>
    <t>1000-21-070-7658</t>
  </si>
  <si>
    <t>(L/XL - G/TG)</t>
  </si>
  <si>
    <t>8415-20-006-8917</t>
  </si>
  <si>
    <t>8405-20-013-1465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</si>
</sst>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\-###\-####"/>
    <numFmt numFmtId="165" formatCode="yyyy/mm/d\ h:mm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12" fontId="1" fillId="2" borderId="1" xfId="1" applyNumberFormat="1" applyBorder="1" applyAlignment="1">
      <alignment horizontal="center"/>
    </xf>
    <xf numFmtId="12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7" fillId="0" borderId="0" xfId="0" applyFont="1"/>
    <xf numFmtId="0" fontId="10" fillId="0" borderId="0" xfId="0" applyFont="1"/>
    <xf numFmtId="0" fontId="3" fillId="3" borderId="1" xfId="2" applyFont="1" applyBorder="1" applyAlignment="1">
      <alignment horizontal="center" vertical="center"/>
    </xf>
    <xf numFmtId="0" fontId="8" fillId="0" borderId="0" xfId="3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7" borderId="1" xfId="1" applyFill="1" applyBorder="1" applyAlignment="1">
      <alignment horizontal="center"/>
    </xf>
    <xf numFmtId="0" fontId="1" fillId="4" borderId="1" xfId="1" applyFill="1" applyBorder="1" applyAlignment="1">
      <alignment horizontal="center"/>
    </xf>
    <xf numFmtId="0" fontId="11" fillId="0" borderId="0" xfId="0" applyFont="1"/>
    <xf numFmtId="0" fontId="10" fillId="5" borderId="0" xfId="3" applyFont="1" applyFill="1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2" fillId="3" borderId="9" xfId="2" applyFont="1" applyBorder="1" applyAlignment="1">
      <alignment horizontal="center"/>
    </xf>
    <xf numFmtId="0" fontId="9" fillId="5" borderId="11" xfId="3" applyFont="1" applyFill="1" applyBorder="1" applyAlignment="1">
      <alignment horizontal="center" vertical="center"/>
    </xf>
    <xf numFmtId="0" fontId="10" fillId="5" borderId="11" xfId="3" applyFont="1" applyFill="1" applyBorder="1" applyAlignment="1">
      <alignment horizontal="center" vertical="center"/>
    </xf>
    <xf numFmtId="0" fontId="9" fillId="5" borderId="12" xfId="3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/>
    </xf>
    <xf numFmtId="0" fontId="3" fillId="7" borderId="1" xfId="1" applyFont="1" applyFill="1" applyBorder="1" applyAlignment="1">
      <alignment horizontal="center"/>
    </xf>
    <xf numFmtId="0" fontId="3" fillId="2" borderId="1" xfId="1" applyFont="1" applyBorder="1" applyAlignment="1">
      <alignment horizontal="center"/>
    </xf>
    <xf numFmtId="0" fontId="10" fillId="5" borderId="10" xfId="3" applyFont="1" applyFill="1" applyBorder="1" applyAlignment="1">
      <alignment horizontal="center" vertical="center"/>
    </xf>
    <xf numFmtId="0" fontId="3" fillId="3" borderId="1" xfId="2" applyFont="1" applyBorder="1" applyAlignment="1">
      <alignment horizontal="center" vertical="center" wrapText="1"/>
    </xf>
    <xf numFmtId="0" fontId="5" fillId="0" borderId="9" xfId="3" applyFont="1" applyBorder="1" applyAlignment="1">
      <alignment horizontal="center" vertical="center"/>
    </xf>
    <xf numFmtId="0" fontId="5" fillId="0" borderId="9" xfId="3" applyFont="1" applyBorder="1" applyAlignment="1">
      <alignment horizontal="center" vertical="center" wrapText="1"/>
    </xf>
    <xf numFmtId="0" fontId="2" fillId="0" borderId="8" xfId="3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8" borderId="0" xfId="0" applyFill="1"/>
    <xf numFmtId="0" fontId="1" fillId="2" borderId="1" xfId="1" applyBorder="1" applyAlignment="1">
      <alignment horizontal="center"/>
    </xf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2" fillId="3" borderId="4" xfId="2" applyFont="1" applyBorder="1" applyAlignment="1">
      <alignment horizontal="center"/>
    </xf>
    <xf numFmtId="0" fontId="12" fillId="3" borderId="5" xfId="2" applyFont="1" applyBorder="1" applyAlignment="1">
      <alignment horizontal="center"/>
    </xf>
    <xf numFmtId="0" fontId="12" fillId="3" borderId="6" xfId="2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0" fillId="0" borderId="1" xfId="0" applyBorder="1"/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32"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yyyy/mm/d\ 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ill>
        <patternFill>
          <bgColor rgb="FFFF7575"/>
        </patternFill>
      </fill>
    </dxf>
  </dxfs>
  <tableStyles count="0" defaultTableStyle="TableStyleMedium2" defaultPivotStyle="PivotStyleLight16"/>
  <colors>
    <mruColors>
      <color rgb="FFC39BE1"/>
      <color rgb="FF70AE8C"/>
      <color rgb="FFDAA100"/>
      <color rgb="FF03E4DF"/>
      <color rgb="FF699BFF"/>
      <color rgb="FFFB873F"/>
      <color rgb="FFFF7575"/>
      <color rgb="FFF6F66A"/>
      <color rgb="FFFF9371"/>
      <color rgb="FFCADD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309563</xdr:colOff>
          <xdr:row>0</xdr:row>
          <xdr:rowOff>0</xdr:rowOff>
        </xdr:from>
        <xdr:to>
          <xdr:col>7</xdr:col>
          <xdr:colOff>490538</xdr:colOff>
          <xdr:row>0</xdr:row>
          <xdr:rowOff>481013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0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347663</xdr:colOff>
          <xdr:row>0</xdr:row>
          <xdr:rowOff>0</xdr:rowOff>
        </xdr:from>
        <xdr:to>
          <xdr:col>12</xdr:col>
          <xdr:colOff>523875</xdr:colOff>
          <xdr:row>0</xdr:row>
          <xdr:rowOff>471488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0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Seperate Backup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604838</xdr:colOff>
          <xdr:row>0</xdr:row>
          <xdr:rowOff>0</xdr:rowOff>
        </xdr:from>
        <xdr:to>
          <xdr:col>10</xdr:col>
          <xdr:colOff>176213</xdr:colOff>
          <xdr:row>0</xdr:row>
          <xdr:rowOff>481013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0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Cadet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80963</xdr:colOff>
          <xdr:row>0</xdr:row>
          <xdr:rowOff>0</xdr:rowOff>
        </xdr:from>
        <xdr:to>
          <xdr:col>15</xdr:col>
          <xdr:colOff>257175</xdr:colOff>
          <xdr:row>0</xdr:row>
          <xdr:rowOff>481013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0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Emergency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400050</xdr:colOff>
          <xdr:row>0</xdr:row>
          <xdr:rowOff>133350</xdr:rowOff>
        </xdr:from>
        <xdr:to>
          <xdr:col>16</xdr:col>
          <xdr:colOff>342900</xdr:colOff>
          <xdr:row>1</xdr:row>
          <xdr:rowOff>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To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31</xdr:row>
          <xdr:rowOff>147638</xdr:rowOff>
        </xdr:from>
        <xdr:to>
          <xdr:col>12</xdr:col>
          <xdr:colOff>9525</xdr:colOff>
          <xdr:row>33</xdr:row>
          <xdr:rowOff>147638</xdr:rowOff>
        </xdr:to>
        <xdr:sp macro="" textlink="">
          <xdr:nvSpPr>
            <xdr:cNvPr id="153601" name="Button 1" hidden="1">
              <a:extLst>
                <a:ext uri="{63B3BB69-23CF-44E3-9099-C40C66FF867C}">
                  <a14:compatExt spid="_x0000_s153601"/>
                </a:ext>
                <a:ext uri="{FF2B5EF4-FFF2-40B4-BE49-F238E27FC236}">
                  <a16:creationId xmlns:a16="http://schemas.microsoft.com/office/drawing/2014/main" id="{00000000-0008-0000-0200-000001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10</xdr:row>
          <xdr:rowOff>200025</xdr:rowOff>
        </xdr:from>
        <xdr:to>
          <xdr:col>12</xdr:col>
          <xdr:colOff>9525</xdr:colOff>
          <xdr:row>12</xdr:row>
          <xdr:rowOff>200025</xdr:rowOff>
        </xdr:to>
        <xdr:sp macro="" textlink="">
          <xdr:nvSpPr>
            <xdr:cNvPr id="153602" name="Button 2" hidden="1">
              <a:extLst>
                <a:ext uri="{63B3BB69-23CF-44E3-9099-C40C66FF867C}">
                  <a14:compatExt spid="_x0000_s153602"/>
                </a:ext>
                <a:ext uri="{FF2B5EF4-FFF2-40B4-BE49-F238E27FC236}">
                  <a16:creationId xmlns:a16="http://schemas.microsoft.com/office/drawing/2014/main" id="{00000000-0008-0000-0200-000002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209550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53603" name="Button 3" hidden="1">
              <a:extLst>
                <a:ext uri="{63B3BB69-23CF-44E3-9099-C40C66FF867C}">
                  <a14:compatExt spid="_x0000_s153603"/>
                </a:ext>
                <a:ext uri="{FF2B5EF4-FFF2-40B4-BE49-F238E27FC236}">
                  <a16:creationId xmlns:a16="http://schemas.microsoft.com/office/drawing/2014/main" id="{00000000-0008-0000-0200-000003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33338</xdr:colOff>
          <xdr:row>21</xdr:row>
          <xdr:rowOff>157163</xdr:rowOff>
        </xdr:to>
        <xdr:sp macro="" textlink="">
          <xdr:nvSpPr>
            <xdr:cNvPr id="153604" name="Button 4" hidden="1">
              <a:extLst>
                <a:ext uri="{63B3BB69-23CF-44E3-9099-C40C66FF867C}">
                  <a14:compatExt spid="_x0000_s153604"/>
                </a:ext>
                <a:ext uri="{FF2B5EF4-FFF2-40B4-BE49-F238E27FC236}">
                  <a16:creationId xmlns:a16="http://schemas.microsoft.com/office/drawing/2014/main" id="{00000000-0008-0000-0200-000004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31</xdr:row>
          <xdr:rowOff>147638</xdr:rowOff>
        </xdr:from>
        <xdr:to>
          <xdr:col>12</xdr:col>
          <xdr:colOff>9525</xdr:colOff>
          <xdr:row>33</xdr:row>
          <xdr:rowOff>147638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03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10</xdr:row>
          <xdr:rowOff>200025</xdr:rowOff>
        </xdr:from>
        <xdr:to>
          <xdr:col>12</xdr:col>
          <xdr:colOff>9525</xdr:colOff>
          <xdr:row>12</xdr:row>
          <xdr:rowOff>200025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03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209550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3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33338</xdr:colOff>
          <xdr:row>21</xdr:row>
          <xdr:rowOff>157163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3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4" totalsRowShown="0" headerRowDxfId="25" dataDxfId="23" headerRowBorderDxfId="24" tableBorderDxfId="22" totalsRowBorderDxfId="21" headerRowCellStyle="60% - Accent5">
  <autoFilter ref="A1:E4" xr:uid="{7E3155DF-3CB2-4063-8346-D3006162EB2E}"/>
  <sortState xmlns:xlrd2="http://schemas.microsoft.com/office/spreadsheetml/2017/richdata2" ref="A2:E4">
    <sortCondition ref="A1:A4"/>
  </sortState>
  <tableColumns count="5">
    <tableColumn id="1" xr3:uid="{4A3C96D4-74F9-46DA-B54B-0CD347E35136}" name="Surname" dataDxfId="20" dataCellStyle="Hyperlink"/>
    <tableColumn id="2" xr3:uid="{2B90B92F-5F96-4EDA-9BBB-0E797162ECC4}" name="First Name" dataDxfId="19" dataCellStyle="Hyperlink"/>
    <tableColumn id="8" xr3:uid="{CFE0A41F-FE26-4CF3-BAA8-F6CEC7B006D4}" name="Status" dataDxfId="18" dataCellStyle="Hyperlink"/>
    <tableColumn id="3" xr3:uid="{EBBDE5FC-4AD9-4996-A6CE-25D9B52D4D03}" name="Date" dataDxfId="17"/>
    <tableColumn id="4" xr3:uid="{854BBB0E-E50E-4F6C-90CC-6180E0CE5D32}" name="ID" dataDxfId="16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E4"/>
  <sheetViews>
    <sheetView workbookViewId="0">
      <selection activeCell="F22" sqref="F22"/>
    </sheetView>
  </sheetViews>
  <sheetFormatPr defaultRowHeight="14.25" x14ac:dyDescent="0.45"/>
  <cols>
    <col min="1" max="1" width="16.86328125" customWidth="1"/>
    <col min="2" max="2" width="21.33203125" customWidth="1"/>
    <col min="3" max="3" width="20.19921875" customWidth="1"/>
    <col min="4" max="4" width="25.6640625" customWidth="1"/>
    <col min="5" max="5" width="16.6640625" customWidth="1"/>
  </cols>
  <sheetData>
    <row r="1" spans="1:5" ht="43.9" customHeight="1" x14ac:dyDescent="0.45">
      <c r="A1" s="7" t="s">
        <v>0</v>
      </c>
      <c r="B1" s="6" t="s">
        <v>2</v>
      </c>
      <c r="C1" s="29" t="s">
        <v>36</v>
      </c>
      <c r="D1" s="6" t="s">
        <v>40</v>
      </c>
      <c r="E1" s="13" t="s">
        <v>41</v>
      </c>
    </row>
    <row r="2" spans="1:5" x14ac:dyDescent="0.45">
      <c r="A2" s="32" t="s">
        <v>62</v>
      </c>
      <c r="B2" s="30" t="s">
        <v>70</v>
      </c>
      <c r="C2" s="31"/>
      <c r="D2" s="33">
        <v>45201.988206018519</v>
      </c>
      <c r="E2" s="34" t="s">
        <v>71</v>
      </c>
    </row>
    <row r="3" spans="1:5" x14ac:dyDescent="0.45">
      <c r="A3" s="32"/>
      <c r="B3" s="30"/>
      <c r="C3" s="31"/>
      <c r="D3" s="33"/>
      <c r="E3" s="34"/>
    </row>
    <row r="4" spans="1:5" x14ac:dyDescent="0.45">
      <c r="A4" s="32"/>
      <c r="B4" s="30"/>
      <c r="C4" s="31"/>
      <c r="D4" s="33"/>
      <c r="E4" s="34"/>
    </row>
  </sheetData>
  <conditionalFormatting sqref="C2:C4">
    <cfRule type="containsText" dxfId="31" priority="1" operator="containsText" text="UNP">
      <formula>NOT(ISERROR(SEARCH("UNP",C2)))</formula>
    </cfRule>
    <cfRule type="containsText" dxfId="30" priority="2" operator="containsText" text="Pick Up">
      <formula>NOT(ISERROR(SEARCH("Pick Up",C2)))</formula>
    </cfRule>
    <cfRule type="cellIs" dxfId="29" priority="7" operator="equal">
      <formula>"Ready To Order"</formula>
    </cfRule>
    <cfRule type="containsText" dxfId="28" priority="8" operator="containsText" text="Ordered">
      <formula>NOT(ISERROR(SEARCH("Ordered",C2)))</formula>
    </cfRule>
    <cfRule type="containsText" dxfId="27" priority="9" operator="containsText" text="Complete">
      <formula>NOT(ISERROR(SEARCH("Complete",C2)))</formula>
    </cfRule>
    <cfRule type="cellIs" dxfId="26" priority="10" operator="equal">
      <formula>"Returned"</formula>
    </cfRule>
  </conditionalFormatting>
  <hyperlinks>
    <hyperlink ref="A2" location="'Henry_Smith_AB6D98A0'!A1" display="Smith" xr:uid="{F0491C2D-9026-45AA-BDE6-9C7BDC7799B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0" r:id="rId3" name="Button 4">
              <controlPr defaultSize="0" print="0" autoFill="0" autoPict="0" macro="[0]!ScanAllSheetsAndPrioritizeLabels">
                <anchor moveWithCells="1" sizeWithCells="1">
                  <from>
                    <xdr:col>5</xdr:col>
                    <xdr:colOff>309563</xdr:colOff>
                    <xdr:row>0</xdr:row>
                    <xdr:rowOff>0</xdr:rowOff>
                  </from>
                  <to>
                    <xdr:col>7</xdr:col>
                    <xdr:colOff>490538</xdr:colOff>
                    <xdr:row>0</xdr:row>
                    <xdr:rowOff>481013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4" name="Button 5">
              <controlPr defaultSize="0" print="0" autoFill="0" autoPict="0" macro="[0]!ManualBackup">
                <anchor moveWithCells="1" sizeWithCells="1">
                  <from>
                    <xdr:col>10</xdr:col>
                    <xdr:colOff>347663</xdr:colOff>
                    <xdr:row>0</xdr:row>
                    <xdr:rowOff>0</xdr:rowOff>
                  </from>
                  <to>
                    <xdr:col>12</xdr:col>
                    <xdr:colOff>523875</xdr:colOff>
                    <xdr:row>0</xdr:row>
                    <xdr:rowOff>471488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Button 6">
              <controlPr defaultSize="0" print="0" autoFill="0" autoPict="0" macro="[0]!NCInput_Button">
                <anchor moveWithCells="1" sizeWithCells="1">
                  <from>
                    <xdr:col>7</xdr:col>
                    <xdr:colOff>604838</xdr:colOff>
                    <xdr:row>0</xdr:row>
                    <xdr:rowOff>0</xdr:rowOff>
                  </from>
                  <to>
                    <xdr:col>10</xdr:col>
                    <xdr:colOff>176213</xdr:colOff>
                    <xdr:row>0</xdr:row>
                    <xdr:rowOff>481013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6" name="Button 7">
              <controlPr defaultSize="0" print="0" autoFill="0" autoPict="0" macro="[0]!NC_Experiment">
                <anchor moveWithCells="1" sizeWithCells="1">
                  <from>
                    <xdr:col>13</xdr:col>
                    <xdr:colOff>80963</xdr:colOff>
                    <xdr:row>0</xdr:row>
                    <xdr:rowOff>0</xdr:rowOff>
                  </from>
                  <to>
                    <xdr:col>15</xdr:col>
                    <xdr:colOff>257175</xdr:colOff>
                    <xdr:row>0</xdr:row>
                    <xdr:rowOff>481013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0BFF2-89D4-4B39-8B77-7D0F1E2AF126}">
  <sheetPr codeName="Sheet3"/>
  <dimension ref="A1:L1"/>
  <sheetViews>
    <sheetView workbookViewId="0">
      <selection activeCell="N2" sqref="N2"/>
    </sheetView>
  </sheetViews>
  <sheetFormatPr defaultRowHeight="14.25" x14ac:dyDescent="0.45"/>
  <sheetData>
    <row r="1" spans="1:12" ht="38" customHeight="1" x14ac:dyDescent="0.45">
      <c r="A1" s="35" t="s">
        <v>51</v>
      </c>
      <c r="B1" s="35" t="s">
        <v>63</v>
      </c>
      <c r="C1" s="35" t="s">
        <v>2</v>
      </c>
      <c r="D1" s="35" t="s">
        <v>64</v>
      </c>
      <c r="E1" s="35" t="s">
        <v>9</v>
      </c>
      <c r="F1" s="35" t="s">
        <v>11</v>
      </c>
      <c r="G1" s="35" t="s">
        <v>12</v>
      </c>
      <c r="H1" s="35" t="s">
        <v>13</v>
      </c>
      <c r="I1" s="35" t="s">
        <v>65</v>
      </c>
      <c r="J1" s="35" t="s">
        <v>15</v>
      </c>
      <c r="K1" s="35" t="s">
        <v>66</v>
      </c>
      <c r="L1" s="35" t="s">
        <v>67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3" name="Button 1">
              <controlPr defaultSize="0" print="0" autoFill="0" autoPict="0" macro="[0]!Importing.Importing">
                <anchor moveWithCells="1" sizeWithCells="1">
                  <from>
                    <xdr:col>13</xdr:col>
                    <xdr:colOff>400050</xdr:colOff>
                    <xdr:row>0</xdr:row>
                    <xdr:rowOff>133350</xdr:rowOff>
                  </from>
                  <to>
                    <xdr:col>16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D00C4-525A-4B6F-B684-05266ED0D55D}">
  <sheetPr codeName="Sheet51"/>
  <dimension ref="A1:L34"/>
  <sheetViews>
    <sheetView tabSelected="1" workbookViewId="0">
      <selection activeCell="I8" sqref="I8"/>
    </sheetView>
  </sheetViews>
  <sheetFormatPr defaultRowHeight="14.25" x14ac:dyDescent="0.45"/>
  <cols>
    <col min="1" max="1" width="18.6640625" customWidth="1"/>
    <col min="5" max="5" width="15.796875" customWidth="1"/>
    <col min="7" max="7" width="16.796875" customWidth="1"/>
    <col min="8" max="8" width="2.53125" customWidth="1"/>
    <col min="11" max="11" width="12.19921875" customWidth="1"/>
    <col min="12" max="12" width="13.19921875" customWidth="1"/>
  </cols>
  <sheetData>
    <row r="1" spans="1:12" x14ac:dyDescent="0.45">
      <c r="A1" s="37" t="s">
        <v>42</v>
      </c>
      <c r="B1" s="20" t="s">
        <v>3</v>
      </c>
      <c r="C1" s="39" t="s">
        <v>0</v>
      </c>
      <c r="D1" s="39"/>
      <c r="E1" s="39" t="s">
        <v>2</v>
      </c>
      <c r="F1" s="39"/>
      <c r="G1" s="20" t="s">
        <v>34</v>
      </c>
      <c r="K1" s="20" t="s">
        <v>38</v>
      </c>
      <c r="L1" s="20" t="s">
        <v>10</v>
      </c>
    </row>
    <row r="2" spans="1:12" x14ac:dyDescent="0.45">
      <c r="A2" s="38"/>
      <c r="B2" s="2" t="s">
        <v>43</v>
      </c>
      <c r="C2" s="40" t="s">
        <v>62</v>
      </c>
      <c r="D2" s="40"/>
      <c r="E2" s="40" t="s">
        <v>70</v>
      </c>
      <c r="F2" s="40"/>
      <c r="G2" s="1" t="s">
        <v>71</v>
      </c>
      <c r="K2" s="4" t="s">
        <v>9</v>
      </c>
      <c r="L2" s="4">
        <v>19.3</v>
      </c>
    </row>
    <row r="3" spans="1:12" x14ac:dyDescent="0.45">
      <c r="A3" s="20" t="s">
        <v>1</v>
      </c>
      <c r="B3" s="41" t="s">
        <v>4</v>
      </c>
      <c r="C3" s="42"/>
      <c r="D3" s="43"/>
      <c r="E3" s="41" t="s">
        <v>51</v>
      </c>
      <c r="F3" s="43"/>
      <c r="G3" s="20" t="s">
        <v>5</v>
      </c>
      <c r="K3" s="1" t="s">
        <v>11</v>
      </c>
      <c r="L3" s="1">
        <v>13.3</v>
      </c>
    </row>
    <row r="4" spans="1:12" x14ac:dyDescent="0.45">
      <c r="A4" s="1" t="s">
        <v>39</v>
      </c>
      <c r="B4" s="44">
        <v>3727638738</v>
      </c>
      <c r="C4" s="44"/>
      <c r="D4" s="44"/>
      <c r="E4" s="40" t="s">
        <v>58</v>
      </c>
      <c r="F4" s="40"/>
      <c r="G4" s="1" t="s">
        <v>44</v>
      </c>
      <c r="K4" s="4" t="s">
        <v>12</v>
      </c>
      <c r="L4" s="4">
        <v>61.4</v>
      </c>
    </row>
    <row r="5" spans="1:12" x14ac:dyDescent="0.45">
      <c r="A5" s="20" t="s">
        <v>6</v>
      </c>
      <c r="B5" s="39" t="s">
        <v>7</v>
      </c>
      <c r="C5" s="39"/>
      <c r="D5" s="39"/>
      <c r="E5" s="20" t="s">
        <v>8</v>
      </c>
      <c r="F5" s="20" t="s">
        <v>35</v>
      </c>
      <c r="G5" s="20" t="s">
        <v>36</v>
      </c>
      <c r="K5" s="1" t="s">
        <v>13</v>
      </c>
      <c r="L5" s="1">
        <v>48.3</v>
      </c>
    </row>
    <row r="6" spans="1:12" x14ac:dyDescent="0.45">
      <c r="A6" s="3" t="s">
        <v>72</v>
      </c>
      <c r="B6" s="36" t="s">
        <v>18</v>
      </c>
      <c r="C6" s="36"/>
      <c r="D6" s="36"/>
      <c r="E6" s="4">
        <v>8060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63.7</v>
      </c>
    </row>
    <row r="7" spans="1:12" x14ac:dyDescent="0.45">
      <c r="A7" s="2" t="s">
        <v>73</v>
      </c>
      <c r="B7" s="40" t="s">
        <v>21</v>
      </c>
      <c r="C7" s="40"/>
      <c r="D7" s="40"/>
      <c r="E7" s="1">
        <v>20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70.2</v>
      </c>
    </row>
    <row r="8" spans="1:12" x14ac:dyDescent="0.45">
      <c r="A8" s="3"/>
      <c r="B8" s="36" t="s">
        <v>19</v>
      </c>
      <c r="C8" s="36"/>
      <c r="D8" s="36"/>
      <c r="E8" s="4"/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276.89999999999998</v>
      </c>
    </row>
    <row r="9" spans="1:12" x14ac:dyDescent="0.45">
      <c r="A9" s="2" t="s">
        <v>74</v>
      </c>
      <c r="B9" s="40" t="s">
        <v>20</v>
      </c>
      <c r="C9" s="40"/>
      <c r="D9" s="40"/>
      <c r="E9" s="1">
        <v>7658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124.3</v>
      </c>
    </row>
    <row r="10" spans="1:12" x14ac:dyDescent="0.45">
      <c r="A10" s="3" t="s">
        <v>60</v>
      </c>
      <c r="B10" s="36" t="s">
        <v>24</v>
      </c>
      <c r="C10" s="36"/>
      <c r="D10" s="36"/>
      <c r="E10" s="8">
        <v>6.375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9.9</v>
      </c>
    </row>
    <row r="11" spans="1:12" x14ac:dyDescent="0.45">
      <c r="A11" s="2" t="s">
        <v>57</v>
      </c>
      <c r="B11" s="40" t="s">
        <v>23</v>
      </c>
      <c r="C11" s="40"/>
      <c r="D11" s="40"/>
      <c r="E11" s="1" t="s">
        <v>56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45">
      <c r="A12" s="5" t="s">
        <v>69</v>
      </c>
      <c r="B12" s="36" t="s">
        <v>25</v>
      </c>
      <c r="C12" s="36"/>
      <c r="D12" s="36"/>
      <c r="E12" s="4" t="s">
        <v>68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45">
      <c r="A13" s="2" t="s">
        <v>55</v>
      </c>
      <c r="B13" s="40" t="s">
        <v>26</v>
      </c>
      <c r="C13" s="40"/>
      <c r="D13" s="40"/>
      <c r="E13" s="1" t="s">
        <v>46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45">
      <c r="A14" s="5" t="s">
        <v>59</v>
      </c>
      <c r="B14" s="36" t="s">
        <v>27</v>
      </c>
      <c r="C14" s="36"/>
      <c r="D14" s="36"/>
      <c r="E14" s="4" t="s">
        <v>53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45">
      <c r="A15" s="2"/>
      <c r="B15" s="48"/>
      <c r="C15" s="48"/>
      <c r="D15" s="48"/>
      <c r="E15" s="1"/>
      <c r="F15" s="16"/>
      <c r="G15" s="4"/>
      <c r="H15" s="14"/>
    </row>
    <row r="16" spans="1:12" x14ac:dyDescent="0.45">
      <c r="A16" s="5" t="s">
        <v>48</v>
      </c>
      <c r="B16" s="36" t="s">
        <v>28</v>
      </c>
      <c r="C16" s="36"/>
      <c r="D16" s="36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45">
      <c r="A17" s="2" t="s">
        <v>61</v>
      </c>
      <c r="B17" s="40" t="s">
        <v>22</v>
      </c>
      <c r="C17" s="40"/>
      <c r="D17" s="40"/>
      <c r="E17" s="1" t="s">
        <v>45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45">
      <c r="A18" s="5"/>
      <c r="B18" s="36" t="s">
        <v>29</v>
      </c>
      <c r="C18" s="36"/>
      <c r="D18" s="36"/>
      <c r="E18" s="4"/>
      <c r="F18" s="4">
        <v>1</v>
      </c>
      <c r="G18" s="4" t="s">
        <v>47</v>
      </c>
      <c r="H18" s="23" t="str">
        <f>HYPERLINK("#G18",CHAR(128))</f>
        <v>€</v>
      </c>
    </row>
    <row r="19" spans="1:10" x14ac:dyDescent="0.45">
      <c r="A19" s="2" t="s">
        <v>76</v>
      </c>
      <c r="B19" s="40" t="s">
        <v>30</v>
      </c>
      <c r="C19" s="40"/>
      <c r="D19" s="40"/>
      <c r="E19" s="1" t="s">
        <v>75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45">
      <c r="A20" s="5"/>
      <c r="B20" s="45"/>
      <c r="C20" s="46"/>
      <c r="D20" s="47"/>
      <c r="E20" s="4"/>
      <c r="F20" s="4"/>
      <c r="G20" s="4"/>
      <c r="H20" s="14"/>
    </row>
    <row r="21" spans="1:10" x14ac:dyDescent="0.45">
      <c r="A21" s="2" t="s">
        <v>77</v>
      </c>
      <c r="B21" s="40" t="s">
        <v>33</v>
      </c>
      <c r="C21" s="40"/>
      <c r="D21" s="40"/>
      <c r="E21" s="9">
        <v>6.125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45">
      <c r="A22" s="5"/>
      <c r="B22" s="36" t="s">
        <v>31</v>
      </c>
      <c r="C22" s="36"/>
      <c r="D22" s="36"/>
      <c r="E22" s="4"/>
      <c r="F22" s="4">
        <v>1</v>
      </c>
      <c r="G22" s="4" t="s">
        <v>47</v>
      </c>
      <c r="H22" s="23" t="str">
        <f>HYPERLINK("#G22",CHAR(128))</f>
        <v>€</v>
      </c>
    </row>
    <row r="23" spans="1:10" x14ac:dyDescent="0.45">
      <c r="A23" s="2"/>
      <c r="B23" s="40" t="s">
        <v>50</v>
      </c>
      <c r="C23" s="40"/>
      <c r="D23" s="40"/>
      <c r="E23" s="1"/>
      <c r="F23" s="16">
        <v>1</v>
      </c>
      <c r="G23" s="4" t="s">
        <v>47</v>
      </c>
      <c r="H23" s="22" t="str">
        <f>HYPERLINK("#G23",CHAR(128))</f>
        <v>€</v>
      </c>
    </row>
    <row r="24" spans="1:10" x14ac:dyDescent="0.45">
      <c r="A24" s="5"/>
      <c r="B24" s="36" t="s">
        <v>32</v>
      </c>
      <c r="C24" s="36"/>
      <c r="D24" s="36"/>
      <c r="E24" s="4"/>
      <c r="F24" s="4">
        <v>1</v>
      </c>
      <c r="G24" s="4" t="s">
        <v>47</v>
      </c>
      <c r="H24" s="22" t="str">
        <f>HYPERLINK("#G24",CHAR(128))</f>
        <v>€</v>
      </c>
    </row>
    <row r="25" spans="1:10" x14ac:dyDescent="0.45">
      <c r="A25" s="2"/>
      <c r="B25" s="40"/>
      <c r="C25" s="40"/>
      <c r="D25" s="40"/>
      <c r="E25" s="1"/>
      <c r="F25" s="16"/>
      <c r="G25" s="4"/>
      <c r="H25" s="14"/>
      <c r="I25" s="12"/>
    </row>
    <row r="26" spans="1:10" x14ac:dyDescent="0.45">
      <c r="A26" s="5"/>
      <c r="B26" s="36" t="s">
        <v>37</v>
      </c>
      <c r="C26" s="36"/>
      <c r="D26" s="36"/>
      <c r="E26" s="4" t="str">
        <f>C2</f>
        <v>Smith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45">
      <c r="J28" s="18"/>
    </row>
    <row r="29" spans="1:10" x14ac:dyDescent="0.45">
      <c r="A29" s="20"/>
      <c r="B29" s="39" t="s">
        <v>52</v>
      </c>
      <c r="C29" s="39"/>
      <c r="D29" s="39"/>
      <c r="E29" s="20" t="s">
        <v>8</v>
      </c>
      <c r="F29" s="20" t="s">
        <v>35</v>
      </c>
      <c r="G29" s="21" t="s">
        <v>36</v>
      </c>
    </row>
    <row r="30" spans="1:10" x14ac:dyDescent="0.45">
      <c r="A30" s="3"/>
      <c r="B30" s="36"/>
      <c r="C30" s="36"/>
      <c r="D30" s="36"/>
      <c r="E30" s="4"/>
      <c r="F30" s="10">
        <v>1</v>
      </c>
      <c r="G30" s="17"/>
      <c r="H30" s="19" t="str">
        <f>HYPERLINK("#G30",CHAR(128))</f>
        <v>€</v>
      </c>
    </row>
    <row r="31" spans="1:10" x14ac:dyDescent="0.45">
      <c r="A31" s="2"/>
      <c r="B31" s="40"/>
      <c r="C31" s="40"/>
      <c r="D31" s="40"/>
      <c r="E31" s="1"/>
      <c r="F31" s="16">
        <v>1</v>
      </c>
      <c r="G31" s="26"/>
      <c r="H31" s="19" t="str">
        <f>HYPERLINK("#G31",CHAR(128))</f>
        <v>€</v>
      </c>
    </row>
    <row r="32" spans="1:10" x14ac:dyDescent="0.45">
      <c r="A32" s="3"/>
      <c r="B32" s="36"/>
      <c r="C32" s="36"/>
      <c r="D32" s="36"/>
      <c r="E32" s="4"/>
      <c r="F32" s="4">
        <v>1</v>
      </c>
      <c r="G32" s="27"/>
      <c r="H32" s="19" t="str">
        <f>HYPERLINK("#G32",CHAR(128))</f>
        <v>€</v>
      </c>
    </row>
    <row r="33" spans="1:8" x14ac:dyDescent="0.45">
      <c r="A33" s="2"/>
      <c r="B33" s="40"/>
      <c r="C33" s="40"/>
      <c r="D33" s="40"/>
      <c r="E33" s="1"/>
      <c r="F33" s="16">
        <v>1</v>
      </c>
      <c r="G33" s="26"/>
      <c r="H33" s="19" t="str">
        <f>HYPERLINK("#G33",CHAR(128))</f>
        <v>€</v>
      </c>
    </row>
    <row r="34" spans="1:8" x14ac:dyDescent="0.45">
      <c r="A34" s="3"/>
      <c r="B34" s="36"/>
      <c r="C34" s="36"/>
      <c r="D34" s="36"/>
      <c r="E34" s="4"/>
      <c r="F34" s="4">
        <v>1</v>
      </c>
      <c r="G34" s="27"/>
      <c r="H34" s="19" t="str">
        <f>HYPERLINK("#G34",CHAR(128))</f>
        <v>€</v>
      </c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26">
    <cfRule type="cellIs" dxfId="15" priority="1" operator="equal">
      <formula>"Returned"</formula>
    </cfRule>
    <cfRule type="cellIs" dxfId="14" priority="4" operator="equal">
      <formula>"Ready To Order"</formula>
    </cfRule>
    <cfRule type="containsText" dxfId="13" priority="5" operator="containsText" text="UNP">
      <formula>NOT(ISERROR(SEARCH("UNP",G6)))</formula>
    </cfRule>
    <cfRule type="containsText" dxfId="12" priority="6" operator="containsText" text="Ordered">
      <formula>NOT(ISERROR(SEARCH("Ordered",G6)))</formula>
    </cfRule>
    <cfRule type="containsText" dxfId="11" priority="7" operator="containsText" text="Pick Up">
      <formula>NOT(ISERROR(SEARCH("Pick Up",G6)))</formula>
    </cfRule>
    <cfRule type="containsText" dxfId="10" priority="8" operator="containsText" text="Complete">
      <formula>NOT(ISERROR(SEARCH("Complete",G6)))</formula>
    </cfRule>
  </conditionalFormatting>
  <conditionalFormatting sqref="G30:G33">
    <cfRule type="containsText" dxfId="9" priority="3" operator="containsText" text="Given">
      <formula>NOT(ISERROR(SEARCH("Given",G30)))</formula>
    </cfRule>
  </conditionalFormatting>
  <conditionalFormatting sqref="G30:G34">
    <cfRule type="containsText" dxfId="8" priority="2" operator="containsText" text="Returned">
      <formula>NOT(ISERROR(SEARCH("Returned",G30)))</formula>
    </cfRule>
  </conditionalFormatting>
  <dataValidations disablePrompts="1" count="3">
    <dataValidation type="list" allowBlank="1" showInputMessage="1" showErrorMessage="1" sqref="G30:G34" xr:uid="{4B6FA9E9-34ED-4E45-9C0B-1D950C934FDF}">
      <formula1>"--,Returned, Given"</formula1>
    </dataValidation>
    <dataValidation type="list" allowBlank="1" showInputMessage="1" showErrorMessage="1" sqref="G6:G26" xr:uid="{4C57E8C5-5091-4E9B-BBDB-64168138A210}">
      <formula1>"UNP, Ready To Order, Ordered, Pick Up, Complete, Returned"</formula1>
    </dataValidation>
    <dataValidation type="decimal" allowBlank="1" showInputMessage="1" showErrorMessage="1" sqref="L2" xr:uid="{76E50FD3-5B9F-4F7F-8EC6-1FE1028305C3}">
      <formula1>19</formula1>
      <formula2>26</formula2>
    </dataValidation>
  </dataValidations>
  <hyperlinks>
    <hyperlink ref="A1:A2" location="Menu!A1" display="Back to Menu" xr:uid="{B65373D3-2D5B-4903-816D-C82730D8872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01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31</xdr:row>
                    <xdr:rowOff>147638</xdr:rowOff>
                  </from>
                  <to>
                    <xdr:col>12</xdr:col>
                    <xdr:colOff>9525</xdr:colOff>
                    <xdr:row>33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2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9525</xdr:colOff>
                    <xdr:row>10</xdr:row>
                    <xdr:rowOff>200025</xdr:rowOff>
                  </from>
                  <to>
                    <xdr:col>12</xdr:col>
                    <xdr:colOff>9525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3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209550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4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33338</xdr:colOff>
                    <xdr:row>21</xdr:row>
                    <xdr:rowOff>157163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N34"/>
  <sheetViews>
    <sheetView zoomScaleNormal="100" workbookViewId="0">
      <selection sqref="A1:L36"/>
    </sheetView>
  </sheetViews>
  <sheetFormatPr defaultRowHeight="14.25" x14ac:dyDescent="0.45"/>
  <cols>
    <col min="1" max="1" width="18.53125" customWidth="1"/>
    <col min="5" max="5" width="14.33203125" customWidth="1"/>
    <col min="7" max="7" width="16.53125" customWidth="1"/>
    <col min="8" max="8" width="2.46484375" customWidth="1"/>
    <col min="11" max="11" width="12.1328125" customWidth="1"/>
    <col min="12" max="12" width="13.1328125" customWidth="1"/>
  </cols>
  <sheetData>
    <row r="1" spans="1:12" ht="17.2" customHeight="1" x14ac:dyDescent="0.45">
      <c r="A1" s="37" t="s">
        <v>42</v>
      </c>
      <c r="B1" s="20" t="s">
        <v>3</v>
      </c>
      <c r="C1" s="39" t="s">
        <v>0</v>
      </c>
      <c r="D1" s="39"/>
      <c r="E1" s="39" t="s">
        <v>2</v>
      </c>
      <c r="F1" s="39"/>
      <c r="G1" s="20" t="s">
        <v>34</v>
      </c>
      <c r="K1" s="20" t="s">
        <v>38</v>
      </c>
      <c r="L1" s="20" t="s">
        <v>10</v>
      </c>
    </row>
    <row r="2" spans="1:12" ht="17.2" customHeight="1" x14ac:dyDescent="0.45">
      <c r="A2" s="38"/>
      <c r="B2" s="2"/>
      <c r="C2" s="40"/>
      <c r="D2" s="40"/>
      <c r="E2" s="40"/>
      <c r="F2" s="40"/>
      <c r="G2" s="1"/>
      <c r="K2" s="4" t="s">
        <v>9</v>
      </c>
      <c r="L2" s="4"/>
    </row>
    <row r="3" spans="1:12" ht="17.2" customHeight="1" x14ac:dyDescent="0.45">
      <c r="A3" s="20" t="s">
        <v>1</v>
      </c>
      <c r="B3" s="41" t="s">
        <v>4</v>
      </c>
      <c r="C3" s="42"/>
      <c r="D3" s="43"/>
      <c r="E3" s="41" t="s">
        <v>51</v>
      </c>
      <c r="F3" s="43"/>
      <c r="G3" s="20" t="s">
        <v>5</v>
      </c>
      <c r="K3" s="1" t="s">
        <v>11</v>
      </c>
      <c r="L3" s="1"/>
    </row>
    <row r="4" spans="1:12" ht="17.2" customHeight="1" x14ac:dyDescent="0.45">
      <c r="A4" s="1" t="s">
        <v>39</v>
      </c>
      <c r="B4" s="44"/>
      <c r="C4" s="44"/>
      <c r="D4" s="44"/>
      <c r="E4" s="40"/>
      <c r="F4" s="40"/>
      <c r="G4" s="1"/>
      <c r="K4" s="4" t="s">
        <v>12</v>
      </c>
      <c r="L4" s="4"/>
    </row>
    <row r="5" spans="1:12" ht="17.2" customHeight="1" x14ac:dyDescent="0.45">
      <c r="A5" s="20" t="s">
        <v>6</v>
      </c>
      <c r="B5" s="39" t="s">
        <v>7</v>
      </c>
      <c r="C5" s="39"/>
      <c r="D5" s="39"/>
      <c r="E5" s="20" t="s">
        <v>8</v>
      </c>
      <c r="F5" s="20" t="s">
        <v>35</v>
      </c>
      <c r="G5" s="20" t="s">
        <v>36</v>
      </c>
      <c r="K5" s="1" t="s">
        <v>13</v>
      </c>
      <c r="L5" s="1"/>
    </row>
    <row r="6" spans="1:12" ht="17.2" customHeight="1" x14ac:dyDescent="0.45">
      <c r="A6" s="3"/>
      <c r="B6" s="36" t="s">
        <v>18</v>
      </c>
      <c r="C6" s="36"/>
      <c r="D6" s="36"/>
      <c r="E6" s="4"/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/>
    </row>
    <row r="7" spans="1:12" ht="17.2" customHeight="1" x14ac:dyDescent="0.45">
      <c r="A7" s="2"/>
      <c r="B7" s="40" t="s">
        <v>21</v>
      </c>
      <c r="C7" s="40"/>
      <c r="D7" s="40"/>
      <c r="E7" s="1"/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/>
    </row>
    <row r="8" spans="1:12" ht="17.2" customHeight="1" x14ac:dyDescent="0.45">
      <c r="A8" s="3"/>
      <c r="B8" s="36" t="s">
        <v>19</v>
      </c>
      <c r="C8" s="36"/>
      <c r="D8" s="36"/>
      <c r="E8" s="4"/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/>
    </row>
    <row r="9" spans="1:12" ht="17.2" customHeight="1" x14ac:dyDescent="0.45">
      <c r="A9" s="2"/>
      <c r="B9" s="40" t="s">
        <v>20</v>
      </c>
      <c r="C9" s="40"/>
      <c r="D9" s="40"/>
      <c r="E9" s="1"/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/>
    </row>
    <row r="10" spans="1:12" ht="17.2" customHeight="1" x14ac:dyDescent="0.45">
      <c r="A10" s="3"/>
      <c r="B10" s="36" t="s">
        <v>24</v>
      </c>
      <c r="C10" s="36"/>
      <c r="D10" s="36"/>
      <c r="E10" s="8"/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/>
    </row>
    <row r="11" spans="1:12" ht="17.2" customHeight="1" x14ac:dyDescent="0.45">
      <c r="A11" s="2"/>
      <c r="B11" s="40" t="s">
        <v>23</v>
      </c>
      <c r="C11" s="40"/>
      <c r="D11" s="40"/>
      <c r="E11" s="1"/>
      <c r="F11" s="16">
        <v>1</v>
      </c>
      <c r="G11" s="4" t="s">
        <v>47</v>
      </c>
      <c r="H11" s="28" t="str">
        <f>HYPERLINK("#G11",CHAR(128))</f>
        <v>€</v>
      </c>
    </row>
    <row r="12" spans="1:12" ht="17.2" customHeight="1" x14ac:dyDescent="0.45">
      <c r="A12" s="5"/>
      <c r="B12" s="36" t="s">
        <v>25</v>
      </c>
      <c r="C12" s="36"/>
      <c r="D12" s="36"/>
      <c r="E12" s="4"/>
      <c r="F12" s="4">
        <v>1</v>
      </c>
      <c r="G12" s="4" t="s">
        <v>47</v>
      </c>
      <c r="H12" s="28" t="str">
        <f>HYPERLINK("#G12",CHAR(128))</f>
        <v>€</v>
      </c>
    </row>
    <row r="13" spans="1:12" ht="17.2" customHeight="1" x14ac:dyDescent="0.45">
      <c r="A13" s="2"/>
      <c r="B13" s="40" t="s">
        <v>26</v>
      </c>
      <c r="C13" s="40"/>
      <c r="D13" s="40"/>
      <c r="E13" s="1"/>
      <c r="F13" s="16">
        <v>1</v>
      </c>
      <c r="G13" s="4" t="s">
        <v>47</v>
      </c>
      <c r="H13" s="28" t="str">
        <f>HYPERLINK("#G13",CHAR(128))</f>
        <v>€</v>
      </c>
    </row>
    <row r="14" spans="1:12" ht="17.2" customHeight="1" x14ac:dyDescent="0.45">
      <c r="A14" s="5"/>
      <c r="B14" s="36" t="s">
        <v>27</v>
      </c>
      <c r="C14" s="36"/>
      <c r="D14" s="36"/>
      <c r="E14" s="4"/>
      <c r="F14" s="4">
        <v>1</v>
      </c>
      <c r="G14" s="4" t="s">
        <v>47</v>
      </c>
      <c r="H14" s="28" t="str">
        <f>HYPERLINK("#G14",CHAR(128))</f>
        <v>€</v>
      </c>
    </row>
    <row r="15" spans="1:12" ht="17.2" customHeight="1" x14ac:dyDescent="0.45">
      <c r="A15" s="2"/>
      <c r="B15" s="48"/>
      <c r="C15" s="48"/>
      <c r="D15" s="48"/>
      <c r="E15" s="1"/>
      <c r="F15" s="16"/>
      <c r="G15" s="4"/>
      <c r="H15" s="14"/>
    </row>
    <row r="16" spans="1:12" ht="17.2" customHeight="1" x14ac:dyDescent="0.45">
      <c r="A16" s="5"/>
      <c r="B16" s="36" t="s">
        <v>28</v>
      </c>
      <c r="C16" s="36"/>
      <c r="D16" s="36"/>
      <c r="E16" s="4"/>
      <c r="F16" s="4">
        <v>1</v>
      </c>
      <c r="G16" s="4" t="s">
        <v>47</v>
      </c>
      <c r="H16" s="23" t="str">
        <f>HYPERLINK("#G16",CHAR(128))</f>
        <v>€</v>
      </c>
    </row>
    <row r="17" spans="1:14" ht="17.2" customHeight="1" x14ac:dyDescent="0.45">
      <c r="A17" s="2"/>
      <c r="B17" s="40" t="s">
        <v>22</v>
      </c>
      <c r="C17" s="40"/>
      <c r="D17" s="40"/>
      <c r="E17" s="1"/>
      <c r="F17" s="16">
        <v>1</v>
      </c>
      <c r="G17" s="4" t="s">
        <v>47</v>
      </c>
      <c r="H17" s="23" t="str">
        <f>HYPERLINK("#G17",CHAR(128))</f>
        <v>€</v>
      </c>
    </row>
    <row r="18" spans="1:14" ht="17.2" customHeight="1" x14ac:dyDescent="0.45">
      <c r="A18" s="5"/>
      <c r="B18" s="36" t="s">
        <v>29</v>
      </c>
      <c r="C18" s="36"/>
      <c r="D18" s="36"/>
      <c r="E18" s="4"/>
      <c r="F18" s="4">
        <v>1</v>
      </c>
      <c r="G18" s="4" t="s">
        <v>47</v>
      </c>
      <c r="H18" s="23" t="str">
        <f>HYPERLINK("#G18",CHAR(128))</f>
        <v>€</v>
      </c>
    </row>
    <row r="19" spans="1:14" ht="17.2" customHeight="1" x14ac:dyDescent="0.45">
      <c r="A19" s="2"/>
      <c r="B19" s="40" t="s">
        <v>30</v>
      </c>
      <c r="C19" s="40"/>
      <c r="D19" s="40"/>
      <c r="E19" s="1"/>
      <c r="F19" s="16">
        <v>1</v>
      </c>
      <c r="G19" s="4" t="s">
        <v>47</v>
      </c>
      <c r="H19" s="23" t="str">
        <f>HYPERLINK("#G19",CHAR(128))</f>
        <v>€</v>
      </c>
    </row>
    <row r="20" spans="1:14" ht="17.2" customHeight="1" x14ac:dyDescent="0.45">
      <c r="A20" s="5"/>
      <c r="B20" s="45"/>
      <c r="C20" s="46"/>
      <c r="D20" s="47"/>
      <c r="E20" s="4"/>
      <c r="F20" s="4"/>
      <c r="G20" s="4"/>
      <c r="H20" s="14"/>
    </row>
    <row r="21" spans="1:14" x14ac:dyDescent="0.45">
      <c r="A21" s="2"/>
      <c r="B21" s="40" t="s">
        <v>33</v>
      </c>
      <c r="C21" s="40"/>
      <c r="D21" s="40"/>
      <c r="E21" s="9"/>
      <c r="F21" s="16">
        <v>1</v>
      </c>
      <c r="G21" s="4" t="s">
        <v>47</v>
      </c>
      <c r="H21" s="23" t="str">
        <f>HYPERLINK("#G21",CHAR(128))</f>
        <v>€</v>
      </c>
    </row>
    <row r="22" spans="1:14" x14ac:dyDescent="0.45">
      <c r="A22" s="5"/>
      <c r="B22" s="36" t="s">
        <v>31</v>
      </c>
      <c r="C22" s="36"/>
      <c r="D22" s="36"/>
      <c r="E22" s="4"/>
      <c r="F22" s="4">
        <v>1</v>
      </c>
      <c r="G22" s="4" t="s">
        <v>47</v>
      </c>
      <c r="H22" s="23" t="str">
        <f>HYPERLINK("#G22",CHAR(128))</f>
        <v>€</v>
      </c>
      <c r="N22" s="2"/>
    </row>
    <row r="23" spans="1:14" x14ac:dyDescent="0.45">
      <c r="A23" s="2"/>
      <c r="B23" s="40" t="s">
        <v>50</v>
      </c>
      <c r="C23" s="40"/>
      <c r="D23" s="40"/>
      <c r="E23" s="1"/>
      <c r="F23" s="16">
        <v>1</v>
      </c>
      <c r="G23" s="4" t="s">
        <v>47</v>
      </c>
      <c r="H23" s="22" t="str">
        <f>HYPERLINK("#G23",CHAR(128))</f>
        <v>€</v>
      </c>
    </row>
    <row r="24" spans="1:14" x14ac:dyDescent="0.45">
      <c r="A24" s="5"/>
      <c r="B24" s="36" t="s">
        <v>32</v>
      </c>
      <c r="C24" s="36"/>
      <c r="D24" s="36"/>
      <c r="E24" s="4"/>
      <c r="F24" s="4">
        <v>1</v>
      </c>
      <c r="G24" s="4" t="s">
        <v>47</v>
      </c>
      <c r="H24" s="22" t="str">
        <f>HYPERLINK("#G24",CHAR(128))</f>
        <v>€</v>
      </c>
    </row>
    <row r="25" spans="1:14" x14ac:dyDescent="0.45">
      <c r="A25" s="2"/>
      <c r="B25" s="40"/>
      <c r="C25" s="40"/>
      <c r="D25" s="40"/>
      <c r="E25" s="1"/>
      <c r="F25" s="16"/>
      <c r="G25" s="4"/>
      <c r="H25" s="14"/>
      <c r="I25" s="12"/>
    </row>
    <row r="26" spans="1:14" x14ac:dyDescent="0.45">
      <c r="A26" s="5"/>
      <c r="B26" s="36" t="s">
        <v>37</v>
      </c>
      <c r="C26" s="36"/>
      <c r="D26" s="36"/>
      <c r="E26" s="4">
        <f>C2</f>
        <v>0</v>
      </c>
      <c r="F26" s="4">
        <v>1</v>
      </c>
      <c r="G26" s="4" t="s">
        <v>47</v>
      </c>
      <c r="H26" s="24" t="str">
        <f>HYPERLINK("#G26",CHAR(128))</f>
        <v>€</v>
      </c>
    </row>
    <row r="28" spans="1:14" x14ac:dyDescent="0.45">
      <c r="J28" s="18"/>
    </row>
    <row r="29" spans="1:14" x14ac:dyDescent="0.45">
      <c r="A29" s="20"/>
      <c r="B29" s="39" t="s">
        <v>52</v>
      </c>
      <c r="C29" s="39"/>
      <c r="D29" s="39"/>
      <c r="E29" s="20" t="s">
        <v>8</v>
      </c>
      <c r="F29" s="20" t="s">
        <v>35</v>
      </c>
      <c r="G29" s="21" t="s">
        <v>36</v>
      </c>
    </row>
    <row r="30" spans="1:14" x14ac:dyDescent="0.45">
      <c r="A30" s="3"/>
      <c r="B30" s="36"/>
      <c r="C30" s="36"/>
      <c r="D30" s="36"/>
      <c r="E30" s="4"/>
      <c r="F30" s="10">
        <v>1</v>
      </c>
      <c r="G30" s="17"/>
      <c r="H30" s="19" t="str">
        <f>HYPERLINK("#G30",CHAR(128))</f>
        <v>€</v>
      </c>
    </row>
    <row r="31" spans="1:14" x14ac:dyDescent="0.45">
      <c r="A31" s="2"/>
      <c r="B31" s="40"/>
      <c r="C31" s="40"/>
      <c r="D31" s="40"/>
      <c r="E31" s="1"/>
      <c r="F31" s="16">
        <v>1</v>
      </c>
      <c r="G31" s="26"/>
      <c r="H31" s="19" t="str">
        <f>HYPERLINK("#G31",CHAR(128))</f>
        <v>€</v>
      </c>
    </row>
    <row r="32" spans="1:14" x14ac:dyDescent="0.45">
      <c r="A32" s="3"/>
      <c r="B32" s="36"/>
      <c r="C32" s="36"/>
      <c r="D32" s="36"/>
      <c r="E32" s="4"/>
      <c r="F32" s="4">
        <v>1</v>
      </c>
      <c r="G32" s="27"/>
      <c r="H32" s="19" t="str">
        <f>HYPERLINK("#G32",CHAR(128))</f>
        <v>€</v>
      </c>
    </row>
    <row r="33" spans="1:8" x14ac:dyDescent="0.45">
      <c r="A33" s="2"/>
      <c r="B33" s="40"/>
      <c r="C33" s="40"/>
      <c r="D33" s="40"/>
      <c r="E33" s="1"/>
      <c r="F33" s="16">
        <v>1</v>
      </c>
      <c r="G33" s="26"/>
      <c r="H33" s="19" t="str">
        <f>HYPERLINK("#G33",CHAR(128))</f>
        <v>€</v>
      </c>
    </row>
    <row r="34" spans="1:8" x14ac:dyDescent="0.45">
      <c r="A34" s="3"/>
      <c r="B34" s="36"/>
      <c r="C34" s="36"/>
      <c r="D34" s="36"/>
      <c r="E34" s="4"/>
      <c r="F34" s="4">
        <v>1</v>
      </c>
      <c r="G34" s="27"/>
      <c r="H34" s="19" t="str">
        <f>HYPERLINK("#G34",CHAR(128))</f>
        <v>€</v>
      </c>
    </row>
  </sheetData>
  <mergeCells count="37">
    <mergeCell ref="B31:D31"/>
    <mergeCell ref="B32:D32"/>
    <mergeCell ref="B33:D33"/>
    <mergeCell ref="B34:D34"/>
    <mergeCell ref="B23:D23"/>
    <mergeCell ref="B24:D24"/>
    <mergeCell ref="B21:D21"/>
    <mergeCell ref="B15:D15"/>
    <mergeCell ref="B30:D30"/>
    <mergeCell ref="B16:D16"/>
    <mergeCell ref="B17:D17"/>
    <mergeCell ref="B18:D18"/>
    <mergeCell ref="B19:D19"/>
    <mergeCell ref="B22:D22"/>
    <mergeCell ref="B29:D29"/>
    <mergeCell ref="B26:D26"/>
    <mergeCell ref="B25:D25"/>
    <mergeCell ref="B20:D20"/>
    <mergeCell ref="A1:A2"/>
    <mergeCell ref="B14:D14"/>
    <mergeCell ref="B10:D10"/>
    <mergeCell ref="B11:D11"/>
    <mergeCell ref="B12:D12"/>
    <mergeCell ref="B13:D13"/>
    <mergeCell ref="B5:D5"/>
    <mergeCell ref="C1:D1"/>
    <mergeCell ref="B6:D6"/>
    <mergeCell ref="B7:D7"/>
    <mergeCell ref="B8:D8"/>
    <mergeCell ref="B9:D9"/>
    <mergeCell ref="E1:F1"/>
    <mergeCell ref="C2:D2"/>
    <mergeCell ref="E2:F2"/>
    <mergeCell ref="B3:D3"/>
    <mergeCell ref="B4:D4"/>
    <mergeCell ref="E3:F3"/>
    <mergeCell ref="E4:F4"/>
  </mergeCells>
  <conditionalFormatting sqref="G6:G26">
    <cfRule type="cellIs" dxfId="7" priority="1" operator="equal">
      <formula>"Returned"</formula>
    </cfRule>
    <cfRule type="cellIs" dxfId="6" priority="11" operator="equal">
      <formula>"Ready To Order"</formula>
    </cfRule>
    <cfRule type="containsText" dxfId="5" priority="12" operator="containsText" text="UNP">
      <formula>NOT(ISERROR(SEARCH("UNP",G6)))</formula>
    </cfRule>
    <cfRule type="containsText" dxfId="4" priority="13" operator="containsText" text="Ordered">
      <formula>NOT(ISERROR(SEARCH("Ordered",G6)))</formula>
    </cfRule>
    <cfRule type="containsText" dxfId="3" priority="14" operator="containsText" text="Pick Up">
      <formula>NOT(ISERROR(SEARCH("Pick Up",G6)))</formula>
    </cfRule>
    <cfRule type="containsText" dxfId="2" priority="15" operator="containsText" text="Complete">
      <formula>NOT(ISERROR(SEARCH("Complete",G6)))</formula>
    </cfRule>
  </conditionalFormatting>
  <conditionalFormatting sqref="G30:G33">
    <cfRule type="containsText" dxfId="1" priority="3" operator="containsText" text="Given">
      <formula>NOT(ISERROR(SEARCH("Given",G30)))</formula>
    </cfRule>
  </conditionalFormatting>
  <conditionalFormatting sqref="G30:G34">
    <cfRule type="containsText" dxfId="0" priority="2" operator="containsText" text="Returned">
      <formula>NOT(ISERROR(SEARCH("Returned",G30)))</formula>
    </cfRule>
  </conditionalFormatting>
  <dataValidations count="3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6:G26" xr:uid="{CFD8070B-3CF9-4334-8473-D077F2C3716E}">
      <formula1>"UNP, Ready To Order, Ordered, Pick Up, Complete, Returned"</formula1>
    </dataValidation>
    <dataValidation type="list" allowBlank="1" showInputMessage="1" showErrorMessage="1" sqref="G30:G34" xr:uid="{01B9C70D-5AF7-4248-9017-6FBE7D1B9D7E}">
      <formula1>"--,Returned, Given"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0" r:id="rId3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31</xdr:row>
                    <xdr:rowOff>147638</xdr:rowOff>
                  </from>
                  <to>
                    <xdr:col>12</xdr:col>
                    <xdr:colOff>9525</xdr:colOff>
                    <xdr:row>33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4" name="Button 5">
              <controlPr defaultSize="0" print="0" autoFill="0" autoPict="0" macro="[0]!Resize">
                <anchor moveWithCells="1" sizeWithCells="1">
                  <from>
                    <xdr:col>10</xdr:col>
                    <xdr:colOff>9525</xdr:colOff>
                    <xdr:row>10</xdr:row>
                    <xdr:rowOff>200025</xdr:rowOff>
                  </from>
                  <to>
                    <xdr:col>12</xdr:col>
                    <xdr:colOff>9525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5" name="Button 6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209550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6" name="Button 8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33338</xdr:colOff>
                    <xdr:row>21</xdr:row>
                    <xdr:rowOff>157163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Menu</vt:lpstr>
      <vt:lpstr>Importing</vt:lpstr>
      <vt:lpstr>Henry_Smith_AB6D98A0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luhan ma</cp:lastModifiedBy>
  <dcterms:created xsi:type="dcterms:W3CDTF">2023-08-20T19:28:09Z</dcterms:created>
  <dcterms:modified xsi:type="dcterms:W3CDTF">2023-12-26T20:21:49Z</dcterms:modified>
</cp:coreProperties>
</file>