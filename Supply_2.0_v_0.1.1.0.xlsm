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ownloads\"/>
    </mc:Choice>
  </mc:AlternateContent>
  <xr:revisionPtr revIDLastSave="0" documentId="13_ncr:1_{D901EA89-860D-4D70-8AAD-A50F1456AC7B}" xr6:coauthVersionLast="47" xr6:coauthVersionMax="47" xr10:uidLastSave="{00000000-0000-0000-0000-000000000000}"/>
  <bookViews>
    <workbookView xWindow="-118" yWindow="-118" windowWidth="33749" windowHeight="18471" tabRatio="856" activeTab="2" xr2:uid="{01218C0E-FF84-42AC-8993-DD76AC11461D}"/>
  </bookViews>
  <sheets>
    <sheet name="Menu" sheetId="48" r:id="rId1"/>
    <sheet name="Importing" sheetId="124" r:id="rId2"/>
    <sheet name="Henry_Smith_AB6D98A0" sheetId="172" r:id="rId3"/>
    <sheet name="Template" sheetId="1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172" l="1"/>
  <c r="H33" i="172"/>
  <c r="H32" i="172"/>
  <c r="H31" i="172"/>
  <c r="H30" i="172"/>
  <c r="H26" i="172"/>
  <c r="E26" i="172"/>
  <c r="H24" i="172"/>
  <c r="H23" i="172"/>
  <c r="H22" i="172"/>
  <c r="H21" i="172"/>
  <c r="H19" i="172"/>
  <c r="H18" i="172"/>
  <c r="H17" i="172"/>
  <c r="H16" i="172"/>
  <c r="H14" i="172"/>
  <c r="H13" i="172"/>
  <c r="H12" i="172"/>
  <c r="H11" i="172"/>
  <c r="H10" i="172"/>
  <c r="H9" i="172"/>
  <c r="H8" i="172"/>
  <c r="H7" i="172"/>
  <c r="H6" i="17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<sst xmlns="http://schemas.openxmlformats.org/spreadsheetml/2006/main" count="321" uniqueCount="174">
  <si>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</si>
  <si>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</si>
  <si>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</si>
  <si>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</si>
  <si>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</si>
  <si>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</si>
  <si>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</si>
  <si>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</si>
  <si>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</si>
  <si>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</si>
  <si>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</si>
  <si>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</si>
  <si>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</si>
  <si>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</si>
  <si>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</si>
  <si>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</si>
  <si>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</si>
  <si>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</si>
  <si>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</si>
  <si>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</si>
  <si>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</si>
  <si>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</si>
  <si>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</si>
  <si>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</si>
  <si>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</si>
  <si>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</si>
  <si>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</si>
  <si>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</si>
  <si>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</si>
  <si>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</si>
  <si>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</si>
  <si>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</si>
  <si>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</si>
  <si>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</si>
  <si>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</si>
  <si>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</si>
  <si>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</si>
  <si>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</si>
  <si>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</si>
  <si>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</si>
  <si>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</si>
  <si>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</si>
  <si>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</si>
  <si>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</si>
  <si>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</si>
  <si>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XS</t>
  </si>
  <si>
    <t>XL/TG</t>
  </si>
  <si>
    <t>UNP</t>
  </si>
  <si>
    <t>Female</t>
  </si>
  <si>
    <t>8405-21-907-9466</t>
  </si>
  <si>
    <t>Hand Length</t>
  </si>
  <si>
    <t>FTU Pants</t>
  </si>
  <si>
    <t>Email</t>
  </si>
  <si>
    <t>Extra Items</t>
  </si>
  <si>
    <t>320/126</t>
  </si>
  <si>
    <t>UNI</t>
  </si>
  <si>
    <t>8440-20-006-6068</t>
  </si>
  <si>
    <t>L (66 inch)</t>
  </si>
  <si>
    <t>8440-21-899-1182</t>
  </si>
  <si>
    <t>Jesus@hotmail.com</t>
  </si>
  <si>
    <t>8430-20-006-2569</t>
  </si>
  <si>
    <t>8405-20-003-5837</t>
  </si>
  <si>
    <t>8405-21-920-7275</t>
  </si>
  <si>
    <t>hanaheric6@gmail.com</t>
  </si>
  <si>
    <t>Heric</t>
  </si>
  <si>
    <t>Hana</t>
  </si>
  <si>
    <t>esther.li.ca@gmail.com</t>
  </si>
  <si>
    <t>Che</t>
  </si>
  <si>
    <t>Isaac</t>
  </si>
  <si>
    <t>nimrodeld@gmail.com</t>
  </si>
  <si>
    <t>Donahue</t>
  </si>
  <si>
    <t>Elliott</t>
  </si>
  <si>
    <t>bill_yin@telus.net</t>
  </si>
  <si>
    <t>Yin</t>
  </si>
  <si>
    <t>Kyle</t>
  </si>
  <si>
    <t>mingzong@gmail.com</t>
  </si>
  <si>
    <t>Zhang</t>
  </si>
  <si>
    <t>Felix</t>
  </si>
  <si>
    <t>spook99@live.com</t>
  </si>
  <si>
    <t>Smith</t>
  </si>
  <si>
    <t>Ethan</t>
  </si>
  <si>
    <t>Asimonelli@shaw.ca</t>
  </si>
  <si>
    <t>Simonelli</t>
  </si>
  <si>
    <t>Matteo</t>
  </si>
  <si>
    <t>reenleung@hotmail.com</t>
  </si>
  <si>
    <t>Ho</t>
  </si>
  <si>
    <t>Nathan</t>
  </si>
  <si>
    <t>lily6302@gmail.com</t>
  </si>
  <si>
    <t>Tam</t>
  </si>
  <si>
    <t>Lawrence</t>
  </si>
  <si>
    <t>selphee@hotmail.com</t>
  </si>
  <si>
    <t>Stephanson</t>
  </si>
  <si>
    <t>Jacob</t>
  </si>
  <si>
    <t>smathie@gmail.com</t>
  </si>
  <si>
    <t>Mathie</t>
  </si>
  <si>
    <t>James</t>
  </si>
  <si>
    <t>ypm_dor@hotmail.com</t>
  </si>
  <si>
    <t>Ka Wai</t>
  </si>
  <si>
    <t>indu2108@yahoo.com</t>
  </si>
  <si>
    <t>SOHANPAL</t>
  </si>
  <si>
    <t>INDERPREET SINGH</t>
  </si>
  <si>
    <t>loannewin@gmail.com</t>
  </si>
  <si>
    <t>nguyen</t>
  </si>
  <si>
    <t>ethan</t>
  </si>
  <si>
    <t>vuong</t>
  </si>
  <si>
    <t>Selena</t>
  </si>
  <si>
    <t>fannyfang121@hotmail.com</t>
  </si>
  <si>
    <t>Deng</t>
  </si>
  <si>
    <t>wongmc@hku.hk</t>
  </si>
  <si>
    <t>Wong</t>
  </si>
  <si>
    <t>Enoch</t>
  </si>
  <si>
    <t>switupatel573@gmail.com</t>
  </si>
  <si>
    <t>Patel</t>
  </si>
  <si>
    <t>Bhakti</t>
  </si>
  <si>
    <t>stephen@mediarts.ca</t>
  </si>
  <si>
    <t>Higgins</t>
  </si>
  <si>
    <t>Kaylen</t>
  </si>
  <si>
    <t>joanmasselin@gmail.com</t>
  </si>
  <si>
    <t>Drake</t>
  </si>
  <si>
    <t>Maximus</t>
  </si>
  <si>
    <t>jingxianatcalgary@gmail.com</t>
  </si>
  <si>
    <t>Xu</t>
  </si>
  <si>
    <t>Denny</t>
  </si>
  <si>
    <t>leizeng@shaw.ca</t>
  </si>
  <si>
    <t>Sun</t>
  </si>
  <si>
    <t>Noah</t>
  </si>
  <si>
    <t>jinxianatcalgar@gmail.com</t>
  </si>
  <si>
    <t>clelia.marenco01@gmail.com</t>
  </si>
  <si>
    <t>Urbina</t>
  </si>
  <si>
    <t>Adrian</t>
  </si>
  <si>
    <t>Allan</t>
  </si>
  <si>
    <t>noveraansar@yahoo.com</t>
  </si>
  <si>
    <t>Ansar</t>
  </si>
  <si>
    <t>Nimra</t>
  </si>
  <si>
    <t>curtisl5145@koinonia.ca</t>
  </si>
  <si>
    <t>Leong</t>
  </si>
  <si>
    <t>Curtis</t>
  </si>
  <si>
    <t>Maham</t>
  </si>
  <si>
    <t>evonhe@hotmail.com</t>
  </si>
  <si>
    <t>Lin</t>
  </si>
  <si>
    <t>Olivia</t>
  </si>
  <si>
    <t>klara.bambus@yahoo.ca</t>
  </si>
  <si>
    <t>Don Goa</t>
  </si>
  <si>
    <t>Vera</t>
  </si>
  <si>
    <t>bunmie01@gmail.com</t>
  </si>
  <si>
    <t>Oludare</t>
  </si>
  <si>
    <t>Oluwaferanmi</t>
  </si>
  <si>
    <t>Suzanleo@hotmail.com</t>
  </si>
  <si>
    <t>Sequeira</t>
  </si>
  <si>
    <t>Shania</t>
  </si>
  <si>
    <t>neninjemanze@gmail.com</t>
  </si>
  <si>
    <t>Njemanze</t>
  </si>
  <si>
    <t>Josh</t>
  </si>
  <si>
    <t>mawaisjany54@gmail.com</t>
  </si>
  <si>
    <t>Jan</t>
  </si>
  <si>
    <t>Muhammad Awais</t>
  </si>
  <si>
    <t>yukaijj2012@gmail.com</t>
  </si>
  <si>
    <t>Yang</t>
  </si>
  <si>
    <t>Jonas</t>
  </si>
  <si>
    <t>Last Name</t>
  </si>
  <si>
    <t>Is Male</t>
  </si>
  <si>
    <t>Hip</t>
  </si>
  <si>
    <t>Foot Len</t>
  </si>
  <si>
    <t>Foot Wid</t>
  </si>
  <si>
    <t>XXL</t>
  </si>
  <si>
    <t>1000-21-215-7658</t>
  </si>
  <si>
    <t>Henry</t>
  </si>
  <si>
    <t>AB6D98A0</t>
  </si>
  <si>
    <t>1000-21-059-8060</t>
  </si>
  <si>
    <t>1000-21-316-2000</t>
  </si>
  <si>
    <t>1000-21-070-7658</t>
  </si>
  <si>
    <t>(L/XL - G/TG)</t>
  </si>
  <si>
    <t>8415-20-006-8917</t>
  </si>
  <si>
    <t>8405-20-013-1465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</si>
</sst>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yyyy/mm/d\ h:m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1" fillId="2" borderId="1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5" fillId="0" borderId="9" xfId="3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0" fontId="13" fillId="0" borderId="13" xfId="0" applyFont="1" applyBorder="1" applyAlignment="1">
      <alignment wrapText="1"/>
    </xf>
    <xf numFmtId="0" fontId="13" fillId="0" borderId="13" xfId="0" applyFont="1" applyBorder="1" applyAlignment="1">
      <alignment horizontal="right" wrapText="1"/>
    </xf>
    <xf numFmtId="0" fontId="2" fillId="0" borderId="8" xfId="3" applyFont="1" applyFill="1" applyBorder="1" applyAlignment="1">
      <alignment horizontal="center" vertical="center"/>
    </xf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8" borderId="0" xfId="0" applyFill="1"/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32"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C39BE1"/>
      <color rgb="FF70AE8C"/>
      <color rgb="FFDAA100"/>
      <color rgb="FF03E4DF"/>
      <color rgb="FF699BFF"/>
      <color rgb="FFFB873F"/>
      <color rgb="FFFF7575"/>
      <color rgb="FFF6F66A"/>
      <color rgb="FFFF9371"/>
      <color rgb="FFCADD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307571</xdr:colOff>
          <xdr:row>0</xdr:row>
          <xdr:rowOff>0</xdr:rowOff>
        </xdr:from>
        <xdr:to>
          <xdr:col>7</xdr:col>
          <xdr:colOff>490451</xdr:colOff>
          <xdr:row>0</xdr:row>
          <xdr:rowOff>482138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349135</xdr:colOff>
          <xdr:row>0</xdr:row>
          <xdr:rowOff>0</xdr:rowOff>
        </xdr:from>
        <xdr:to>
          <xdr:col>12</xdr:col>
          <xdr:colOff>523702</xdr:colOff>
          <xdr:row>0</xdr:row>
          <xdr:rowOff>473825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606829</xdr:colOff>
          <xdr:row>0</xdr:row>
          <xdr:rowOff>0</xdr:rowOff>
        </xdr:from>
        <xdr:to>
          <xdr:col>10</xdr:col>
          <xdr:colOff>174567</xdr:colOff>
          <xdr:row>0</xdr:row>
          <xdr:rowOff>482138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83127</xdr:colOff>
          <xdr:row>0</xdr:row>
          <xdr:rowOff>0</xdr:rowOff>
        </xdr:from>
        <xdr:to>
          <xdr:col>15</xdr:col>
          <xdr:colOff>257695</xdr:colOff>
          <xdr:row>0</xdr:row>
          <xdr:rowOff>482138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399011</xdr:colOff>
          <xdr:row>0</xdr:row>
          <xdr:rowOff>133004</xdr:rowOff>
        </xdr:from>
        <xdr:to>
          <xdr:col>16</xdr:col>
          <xdr:colOff>340822</xdr:colOff>
          <xdr:row>1</xdr:row>
          <xdr:rowOff>24938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FF2B0F96-889F-4932-B329-60C1478D8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11696E2B-A889-4F42-B4A6-077787DA9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E3F86DE5-C08E-4C84-BA42-ECFDA1C70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216130</xdr:rowOff>
        </xdr:from>
        <xdr:to>
          <xdr:col>12</xdr:col>
          <xdr:colOff>33251</xdr:colOff>
          <xdr:row>21</xdr:row>
          <xdr:rowOff>157941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5BF63BDE-3EEF-45C8-8623-E40B9DFA67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5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5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5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216130</xdr:rowOff>
        </xdr:from>
        <xdr:to>
          <xdr:col>12</xdr:col>
          <xdr:colOff>33251</xdr:colOff>
          <xdr:row>21</xdr:row>
          <xdr:rowOff>157941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2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4" totalsRowShown="0" headerRowDxfId="31" dataDxfId="29" headerRowBorderDxfId="30" tableBorderDxfId="28" totalsRowBorderDxfId="27" headerRowCellStyle="60% - Accent5">
  <autoFilter ref="A1:E4" xr:uid="{7E3155DF-3CB2-4063-8346-D3006162EB2E}"/>
  <sortState xmlns:xlrd2="http://schemas.microsoft.com/office/spreadsheetml/2017/richdata2" ref="A2:E4">
    <sortCondition ref="A1:A4"/>
  </sortState>
  <tableColumns count="5">
    <tableColumn id="1" xr3:uid="{4A3C96D4-74F9-46DA-B54B-0CD347E35136}" name="Surname" dataDxfId="26" dataCellStyle="Hyperlink"/>
    <tableColumn id="2" xr3:uid="{2B90B92F-5F96-4EDA-9BBB-0E797162ECC4}" name="First Name" dataDxfId="25" dataCellStyle="Hyperlink"/>
    <tableColumn id="8" xr3:uid="{CFE0A41F-FE26-4CF3-BAA8-F6CEC7B006D4}" name="Status" dataDxfId="24" dataCellStyle="Hyperlink"/>
    <tableColumn id="3" xr3:uid="{EBBDE5FC-4AD9-4996-A6CE-25D9B52D4D03}" name="Date" dataDxfId="23"/>
    <tableColumn id="4" xr3:uid="{854BBB0E-E50E-4F6C-90CC-6180E0CE5D32}" name="ID" dataDxfId="22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4"/>
  <sheetViews>
    <sheetView workbookViewId="0">
      <selection activeCell="A2" sqref="A2:E4"/>
    </sheetView>
  </sheetViews>
  <sheetFormatPr defaultRowHeight="15.05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5" ht="43.85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</row>
    <row r="2" spans="1:5" x14ac:dyDescent="0.3">
      <c r="A2" s="71" t="s">
        <v>79</v>
      </c>
      <c r="B2" s="54" t="s">
        <v>166</v>
      </c>
      <c r="C2" s="70"/>
      <c r="D2" s="75">
        <v>45201.988206018519</v>
      </c>
      <c r="E2" s="76" t="s">
        <v>167</v>
      </c>
    </row>
    <row r="3" spans="1:5" x14ac:dyDescent="0.3">
      <c r="A3" s="74"/>
      <c r="B3" s="54"/>
      <c r="C3" s="70"/>
      <c r="D3" s="75"/>
      <c r="E3" s="76"/>
    </row>
    <row r="4" spans="1:5" x14ac:dyDescent="0.3">
      <c r="A4" s="74"/>
      <c r="B4" s="54"/>
      <c r="C4" s="70"/>
      <c r="D4" s="75"/>
      <c r="E4" s="76"/>
    </row>
  </sheetData>
  <conditionalFormatting sqref="C2:C4">
    <cfRule type="containsText" dxfId="21" priority="1" operator="containsText" text="UNP">
      <formula>NOT(ISERROR(SEARCH("UNP",C2)))</formula>
    </cfRule>
    <cfRule type="containsText" dxfId="20" priority="2" operator="containsText" text="Pick Up">
      <formula>NOT(ISERROR(SEARCH("Pick Up",C2)))</formula>
    </cfRule>
    <cfRule type="cellIs" dxfId="19" priority="7" operator="equal">
      <formula>"Ready To Order"</formula>
    </cfRule>
    <cfRule type="containsText" dxfId="18" priority="8" operator="containsText" text="Ordered">
      <formula>NOT(ISERROR(SEARCH("Ordered",C2)))</formula>
    </cfRule>
    <cfRule type="containsText" dxfId="17" priority="9" operator="containsText" text="Complete">
      <formula>NOT(ISERROR(SEARCH("Complete",C2)))</formula>
    </cfRule>
    <cfRule type="cellIs" dxfId="16" priority="10" operator="equal">
      <formula>"Returned"</formula>
    </cfRule>
  </conditionalFormatting>
  <hyperlinks>
    <hyperlink ref="A2" location="'Henry_Smith_AB6D98A0'!A1" display="Smith" xr:uid="{F0491C2D-9026-45AA-BDE6-9C7BDC7799B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307571</xdr:colOff>
                    <xdr:row>0</xdr:row>
                    <xdr:rowOff>0</xdr:rowOff>
                  </from>
                  <to>
                    <xdr:col>7</xdr:col>
                    <xdr:colOff>490451</xdr:colOff>
                    <xdr:row>0</xdr:row>
                    <xdr:rowOff>482138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349135</xdr:colOff>
                    <xdr:row>0</xdr:row>
                    <xdr:rowOff>0</xdr:rowOff>
                  </from>
                  <to>
                    <xdr:col>12</xdr:col>
                    <xdr:colOff>523702</xdr:colOff>
                    <xdr:row>0</xdr:row>
                    <xdr:rowOff>473825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606829</xdr:colOff>
                    <xdr:row>0</xdr:row>
                    <xdr:rowOff>0</xdr:rowOff>
                  </from>
                  <to>
                    <xdr:col>10</xdr:col>
                    <xdr:colOff>174567</xdr:colOff>
                    <xdr:row>0</xdr:row>
                    <xdr:rowOff>482138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83127</xdr:colOff>
                    <xdr:row>0</xdr:row>
                    <xdr:rowOff>0</xdr:rowOff>
                  </from>
                  <to>
                    <xdr:col>15</xdr:col>
                    <xdr:colOff>257695</xdr:colOff>
                    <xdr:row>0</xdr:row>
                    <xdr:rowOff>482138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37"/>
  <sheetViews>
    <sheetView workbookViewId="0">
      <selection activeCell="M37" sqref="M37"/>
    </sheetView>
  </sheetViews>
  <sheetFormatPr defaultRowHeight="15.05" x14ac:dyDescent="0.3"/>
  <sheetData>
    <row r="1" spans="1:13" ht="38" customHeight="1" thickBot="1" x14ac:dyDescent="0.35">
      <c r="A1" s="77" t="s">
        <v>52</v>
      </c>
      <c r="B1" s="77" t="s">
        <v>159</v>
      </c>
      <c r="C1" s="77" t="s">
        <v>2</v>
      </c>
      <c r="D1" s="77" t="s">
        <v>160</v>
      </c>
      <c r="E1" s="77" t="s">
        <v>9</v>
      </c>
      <c r="F1" s="77" t="s">
        <v>11</v>
      </c>
      <c r="G1" s="77" t="s">
        <v>12</v>
      </c>
      <c r="H1" s="77" t="s">
        <v>13</v>
      </c>
      <c r="I1" s="77" t="s">
        <v>161</v>
      </c>
      <c r="J1" s="77" t="s">
        <v>15</v>
      </c>
      <c r="K1" s="77" t="s">
        <v>162</v>
      </c>
      <c r="L1" s="77" t="s">
        <v>163</v>
      </c>
    </row>
    <row r="2" spans="1:13" ht="39.299999999999997" thickBot="1" x14ac:dyDescent="0.35">
      <c r="A2" s="72" t="s">
        <v>63</v>
      </c>
      <c r="B2" s="72" t="s">
        <v>64</v>
      </c>
      <c r="C2" s="72" t="s">
        <v>65</v>
      </c>
      <c r="D2" s="72" t="s">
        <v>48</v>
      </c>
      <c r="E2" s="73">
        <v>21</v>
      </c>
      <c r="F2" s="73">
        <v>14</v>
      </c>
      <c r="G2" s="73">
        <v>34.5</v>
      </c>
      <c r="H2" s="73">
        <v>30</v>
      </c>
      <c r="I2" s="73">
        <v>39</v>
      </c>
      <c r="J2" s="73">
        <v>62</v>
      </c>
      <c r="K2" s="73">
        <v>240</v>
      </c>
      <c r="L2" s="73">
        <v>95</v>
      </c>
      <c r="M2" s="72"/>
    </row>
    <row r="3" spans="1:13" ht="39.299999999999997" thickBot="1" x14ac:dyDescent="0.35">
      <c r="A3" s="72" t="s">
        <v>66</v>
      </c>
      <c r="B3" s="72" t="s">
        <v>67</v>
      </c>
      <c r="C3" s="72" t="s">
        <v>68</v>
      </c>
      <c r="D3" s="72" t="s">
        <v>44</v>
      </c>
      <c r="E3" s="73">
        <v>22.3</v>
      </c>
      <c r="F3" s="73">
        <v>13.8</v>
      </c>
      <c r="G3" s="73">
        <v>30.3</v>
      </c>
      <c r="H3" s="73">
        <v>27.5</v>
      </c>
      <c r="I3" s="73">
        <v>31</v>
      </c>
      <c r="J3" s="73">
        <v>61</v>
      </c>
      <c r="K3" s="73">
        <v>227</v>
      </c>
      <c r="L3" s="73">
        <v>95</v>
      </c>
      <c r="M3" s="72"/>
    </row>
    <row r="4" spans="1:13" ht="39.299999999999997" thickBot="1" x14ac:dyDescent="0.35">
      <c r="A4" s="72" t="s">
        <v>69</v>
      </c>
      <c r="B4" s="72" t="s">
        <v>70</v>
      </c>
      <c r="C4" s="72" t="s">
        <v>71</v>
      </c>
      <c r="D4" s="72" t="s">
        <v>44</v>
      </c>
      <c r="E4" s="73">
        <v>21</v>
      </c>
      <c r="F4" s="73">
        <v>13</v>
      </c>
      <c r="G4" s="73">
        <v>31</v>
      </c>
      <c r="H4" s="73">
        <v>25</v>
      </c>
      <c r="I4" s="73">
        <v>32</v>
      </c>
      <c r="J4" s="73">
        <v>68</v>
      </c>
      <c r="K4" s="73">
        <v>270</v>
      </c>
      <c r="L4" s="73">
        <v>105</v>
      </c>
      <c r="M4" s="72"/>
    </row>
    <row r="5" spans="1:13" ht="26.85" thickBot="1" x14ac:dyDescent="0.35">
      <c r="A5" s="72" t="s">
        <v>72</v>
      </c>
      <c r="B5" s="72" t="s">
        <v>73</v>
      </c>
      <c r="C5" s="72" t="s">
        <v>74</v>
      </c>
      <c r="D5" s="72" t="s">
        <v>44</v>
      </c>
      <c r="E5" s="73">
        <v>24</v>
      </c>
      <c r="F5" s="73">
        <v>15</v>
      </c>
      <c r="G5" s="73">
        <v>34</v>
      </c>
      <c r="H5" s="73">
        <v>32</v>
      </c>
      <c r="I5" s="73">
        <v>39</v>
      </c>
      <c r="J5" s="73">
        <v>69</v>
      </c>
      <c r="K5" s="73">
        <v>280</v>
      </c>
      <c r="L5" s="73">
        <v>102</v>
      </c>
      <c r="M5" s="72"/>
    </row>
    <row r="6" spans="1:13" ht="39.299999999999997" thickBot="1" x14ac:dyDescent="0.35">
      <c r="A6" s="72" t="s">
        <v>75</v>
      </c>
      <c r="B6" s="72" t="s">
        <v>76</v>
      </c>
      <c r="C6" s="72" t="s">
        <v>77</v>
      </c>
      <c r="D6" s="72" t="s">
        <v>44</v>
      </c>
      <c r="E6" s="73">
        <v>21</v>
      </c>
      <c r="F6" s="73">
        <v>13</v>
      </c>
      <c r="G6" s="73">
        <v>27</v>
      </c>
      <c r="H6" s="73">
        <v>28</v>
      </c>
      <c r="I6" s="73">
        <v>29</v>
      </c>
      <c r="J6" s="73">
        <v>60</v>
      </c>
      <c r="K6" s="73">
        <v>216</v>
      </c>
      <c r="L6" s="73">
        <v>89</v>
      </c>
      <c r="M6" s="72"/>
    </row>
    <row r="7" spans="1:13" ht="26.85" thickBot="1" x14ac:dyDescent="0.35">
      <c r="A7" s="72" t="s">
        <v>78</v>
      </c>
      <c r="B7" s="72" t="s">
        <v>79</v>
      </c>
      <c r="C7" s="72" t="s">
        <v>80</v>
      </c>
      <c r="D7" s="72" t="s">
        <v>44</v>
      </c>
      <c r="E7" s="73">
        <v>21.25</v>
      </c>
      <c r="F7" s="73">
        <v>14.5</v>
      </c>
      <c r="G7" s="73">
        <v>28.5</v>
      </c>
      <c r="H7" s="73">
        <v>24</v>
      </c>
      <c r="I7" s="73">
        <v>28.5</v>
      </c>
      <c r="J7" s="73">
        <v>65.430000000000007</v>
      </c>
      <c r="K7" s="73">
        <v>241.3</v>
      </c>
      <c r="L7" s="73">
        <v>95.25</v>
      </c>
      <c r="M7" s="72"/>
    </row>
    <row r="8" spans="1:13" ht="26.85" thickBot="1" x14ac:dyDescent="0.35">
      <c r="A8" s="72" t="s">
        <v>81</v>
      </c>
      <c r="B8" s="72" t="s">
        <v>82</v>
      </c>
      <c r="C8" s="72" t="s">
        <v>83</v>
      </c>
      <c r="D8" s="72" t="s">
        <v>44</v>
      </c>
      <c r="E8" s="73">
        <v>23</v>
      </c>
      <c r="F8" s="73">
        <v>14.5</v>
      </c>
      <c r="G8" s="73">
        <v>33</v>
      </c>
      <c r="H8" s="73">
        <v>31</v>
      </c>
      <c r="I8" s="73">
        <v>36</v>
      </c>
      <c r="J8" s="73">
        <v>68.5</v>
      </c>
      <c r="K8" s="73">
        <v>280</v>
      </c>
      <c r="L8" s="73">
        <v>100</v>
      </c>
      <c r="M8" s="72"/>
    </row>
    <row r="9" spans="1:13" ht="39.299999999999997" thickBot="1" x14ac:dyDescent="0.35">
      <c r="A9" s="72" t="s">
        <v>84</v>
      </c>
      <c r="B9" s="72" t="s">
        <v>85</v>
      </c>
      <c r="C9" s="72" t="s">
        <v>86</v>
      </c>
      <c r="D9" s="72" t="s">
        <v>44</v>
      </c>
      <c r="E9" s="73">
        <v>22.5</v>
      </c>
      <c r="F9" s="73">
        <v>14.5</v>
      </c>
      <c r="G9" s="73">
        <v>33.5</v>
      </c>
      <c r="H9" s="73">
        <v>27.5</v>
      </c>
      <c r="I9" s="73">
        <v>35</v>
      </c>
      <c r="J9" s="73">
        <v>64</v>
      </c>
      <c r="K9" s="73">
        <v>250</v>
      </c>
      <c r="L9" s="73">
        <v>90</v>
      </c>
      <c r="M9" s="72"/>
    </row>
    <row r="10" spans="1:13" ht="26.85" thickBot="1" x14ac:dyDescent="0.35">
      <c r="A10" s="72" t="s">
        <v>87</v>
      </c>
      <c r="B10" s="72" t="s">
        <v>88</v>
      </c>
      <c r="C10" s="72" t="s">
        <v>89</v>
      </c>
      <c r="D10" s="72" t="s">
        <v>44</v>
      </c>
      <c r="E10" s="73">
        <v>20.5</v>
      </c>
      <c r="F10" s="73">
        <v>15.5</v>
      </c>
      <c r="G10" s="73">
        <v>32</v>
      </c>
      <c r="H10" s="73">
        <v>26.7</v>
      </c>
      <c r="I10" s="73">
        <v>33.5</v>
      </c>
      <c r="J10" s="73">
        <v>64.5</v>
      </c>
      <c r="K10" s="73">
        <v>255</v>
      </c>
      <c r="L10" s="73">
        <v>100</v>
      </c>
      <c r="M10" s="72"/>
    </row>
    <row r="11" spans="1:13" ht="39.299999999999997" thickBot="1" x14ac:dyDescent="0.35">
      <c r="A11" s="72" t="s">
        <v>90</v>
      </c>
      <c r="B11" s="72" t="s">
        <v>91</v>
      </c>
      <c r="C11" s="72" t="s">
        <v>92</v>
      </c>
      <c r="D11" s="72" t="s">
        <v>44</v>
      </c>
      <c r="E11" s="73">
        <v>22</v>
      </c>
      <c r="F11" s="73">
        <v>14.5</v>
      </c>
      <c r="G11" s="73">
        <v>28</v>
      </c>
      <c r="H11" s="73">
        <v>26</v>
      </c>
      <c r="I11" s="73">
        <v>30.5</v>
      </c>
      <c r="J11" s="73">
        <v>63</v>
      </c>
      <c r="K11" s="73">
        <v>250</v>
      </c>
      <c r="L11" s="73">
        <v>96</v>
      </c>
      <c r="M11" s="72"/>
    </row>
    <row r="12" spans="1:13" ht="26.85" thickBot="1" x14ac:dyDescent="0.35">
      <c r="A12" s="72" t="s">
        <v>93</v>
      </c>
      <c r="B12" s="72" t="s">
        <v>94</v>
      </c>
      <c r="C12" s="72" t="s">
        <v>95</v>
      </c>
      <c r="D12" s="72" t="s">
        <v>44</v>
      </c>
      <c r="E12" s="73">
        <v>22</v>
      </c>
      <c r="F12" s="73">
        <v>15</v>
      </c>
      <c r="G12" s="73">
        <v>31.5</v>
      </c>
      <c r="H12" s="73">
        <v>28</v>
      </c>
      <c r="I12" s="73">
        <v>34</v>
      </c>
      <c r="J12" s="73">
        <v>66.5</v>
      </c>
      <c r="K12" s="73">
        <v>270</v>
      </c>
      <c r="L12" s="73">
        <v>110</v>
      </c>
      <c r="M12" s="72"/>
    </row>
    <row r="13" spans="1:13" ht="39.299999999999997" thickBot="1" x14ac:dyDescent="0.35">
      <c r="A13" s="72" t="s">
        <v>96</v>
      </c>
      <c r="B13" s="72" t="s">
        <v>85</v>
      </c>
      <c r="C13" s="72" t="s">
        <v>97</v>
      </c>
      <c r="D13" s="72" t="s">
        <v>44</v>
      </c>
      <c r="E13" s="73">
        <v>21.5</v>
      </c>
      <c r="F13" s="73">
        <v>13.5</v>
      </c>
      <c r="G13" s="73">
        <v>31</v>
      </c>
      <c r="H13" s="73">
        <v>27</v>
      </c>
      <c r="I13" s="73">
        <v>34</v>
      </c>
      <c r="J13" s="73">
        <v>64</v>
      </c>
      <c r="K13" s="73">
        <v>300</v>
      </c>
      <c r="L13" s="73">
        <v>110</v>
      </c>
      <c r="M13" s="72"/>
    </row>
    <row r="14" spans="1:13" ht="39.299999999999997" thickBot="1" x14ac:dyDescent="0.35">
      <c r="A14" s="72" t="s">
        <v>98</v>
      </c>
      <c r="B14" s="72" t="s">
        <v>99</v>
      </c>
      <c r="C14" s="72" t="s">
        <v>100</v>
      </c>
      <c r="D14" s="72" t="s">
        <v>44</v>
      </c>
      <c r="E14" s="73">
        <v>23</v>
      </c>
      <c r="F14" s="73">
        <v>17</v>
      </c>
      <c r="G14" s="73">
        <v>39.5</v>
      </c>
      <c r="H14" s="73">
        <v>36</v>
      </c>
      <c r="I14" s="73">
        <v>40</v>
      </c>
      <c r="J14" s="73">
        <v>70</v>
      </c>
      <c r="K14" s="73">
        <v>275</v>
      </c>
      <c r="L14" s="73">
        <v>103</v>
      </c>
      <c r="M14" s="72"/>
    </row>
    <row r="15" spans="1:13" ht="39.299999999999997" thickBot="1" x14ac:dyDescent="0.35">
      <c r="A15" s="72" t="s">
        <v>101</v>
      </c>
      <c r="B15" s="72" t="s">
        <v>102</v>
      </c>
      <c r="C15" s="72" t="s">
        <v>103</v>
      </c>
      <c r="D15" s="72" t="s">
        <v>44</v>
      </c>
      <c r="E15" s="73">
        <v>22</v>
      </c>
      <c r="F15" s="73">
        <v>14</v>
      </c>
      <c r="G15" s="73">
        <v>29</v>
      </c>
      <c r="H15" s="73">
        <v>25</v>
      </c>
      <c r="I15" s="73">
        <v>31</v>
      </c>
      <c r="J15" s="73">
        <v>56</v>
      </c>
      <c r="K15" s="73">
        <v>240</v>
      </c>
      <c r="L15" s="73">
        <v>100</v>
      </c>
      <c r="M15" s="72"/>
    </row>
    <row r="16" spans="1:13" ht="39.299999999999997" thickBot="1" x14ac:dyDescent="0.35">
      <c r="A16" s="72" t="s">
        <v>101</v>
      </c>
      <c r="B16" s="72" t="s">
        <v>104</v>
      </c>
      <c r="C16" s="72" t="s">
        <v>105</v>
      </c>
      <c r="D16" s="72" t="s">
        <v>48</v>
      </c>
      <c r="E16" s="73">
        <v>22</v>
      </c>
      <c r="F16" s="73">
        <v>15</v>
      </c>
      <c r="G16" s="73">
        <v>32</v>
      </c>
      <c r="H16" s="73">
        <v>27</v>
      </c>
      <c r="I16" s="73">
        <v>36</v>
      </c>
      <c r="J16" s="73">
        <v>60</v>
      </c>
      <c r="K16" s="73">
        <v>240</v>
      </c>
      <c r="L16" s="73">
        <v>110</v>
      </c>
      <c r="M16" s="72"/>
    </row>
    <row r="17" spans="1:13" ht="39.299999999999997" thickBot="1" x14ac:dyDescent="0.35">
      <c r="A17" s="72" t="s">
        <v>106</v>
      </c>
      <c r="B17" s="72" t="s">
        <v>107</v>
      </c>
      <c r="C17" s="72" t="s">
        <v>74</v>
      </c>
      <c r="D17" s="72" t="s">
        <v>44</v>
      </c>
      <c r="E17" s="73">
        <v>22</v>
      </c>
      <c r="F17" s="73">
        <v>12.5</v>
      </c>
      <c r="G17" s="73">
        <v>31</v>
      </c>
      <c r="H17" s="73">
        <v>29</v>
      </c>
      <c r="I17" s="73">
        <v>33</v>
      </c>
      <c r="J17" s="73">
        <v>62</v>
      </c>
      <c r="K17" s="73">
        <v>24.5</v>
      </c>
      <c r="L17" s="73">
        <v>9.5</v>
      </c>
      <c r="M17" s="72"/>
    </row>
    <row r="18" spans="1:13" ht="26.85" thickBot="1" x14ac:dyDescent="0.35">
      <c r="A18" s="72" t="s">
        <v>108</v>
      </c>
      <c r="B18" s="72" t="s">
        <v>109</v>
      </c>
      <c r="C18" s="72" t="s">
        <v>110</v>
      </c>
      <c r="D18" s="72" t="s">
        <v>44</v>
      </c>
      <c r="E18" s="73">
        <v>22.5</v>
      </c>
      <c r="F18" s="73">
        <v>12</v>
      </c>
      <c r="G18" s="73">
        <v>27</v>
      </c>
      <c r="H18" s="73">
        <v>26.5</v>
      </c>
      <c r="I18" s="73">
        <v>31</v>
      </c>
      <c r="J18" s="73">
        <v>60</v>
      </c>
      <c r="K18" s="73">
        <v>255</v>
      </c>
      <c r="L18" s="73">
        <v>90</v>
      </c>
      <c r="M18" s="72"/>
    </row>
    <row r="19" spans="1:13" ht="39.299999999999997" thickBot="1" x14ac:dyDescent="0.35">
      <c r="A19" s="72" t="s">
        <v>111</v>
      </c>
      <c r="B19" s="72" t="s">
        <v>112</v>
      </c>
      <c r="C19" s="72" t="s">
        <v>113</v>
      </c>
      <c r="D19" s="72" t="s">
        <v>48</v>
      </c>
      <c r="E19" s="73">
        <v>23</v>
      </c>
      <c r="F19" s="73">
        <v>14.5</v>
      </c>
      <c r="G19" s="73">
        <v>34</v>
      </c>
      <c r="H19" s="73">
        <v>32.5</v>
      </c>
      <c r="I19" s="73">
        <v>38.5</v>
      </c>
      <c r="J19" s="73">
        <v>63</v>
      </c>
      <c r="K19" s="73">
        <v>232</v>
      </c>
      <c r="L19" s="73">
        <v>100</v>
      </c>
      <c r="M19" s="72"/>
    </row>
    <row r="20" spans="1:13" ht="39.299999999999997" thickBot="1" x14ac:dyDescent="0.35">
      <c r="A20" s="72" t="s">
        <v>114</v>
      </c>
      <c r="B20" s="72" t="s">
        <v>115</v>
      </c>
      <c r="C20" s="72" t="s">
        <v>116</v>
      </c>
      <c r="D20" s="72" t="s">
        <v>44</v>
      </c>
      <c r="E20" s="73">
        <v>21.75</v>
      </c>
      <c r="F20" s="73">
        <v>13.5</v>
      </c>
      <c r="G20" s="73">
        <v>34.25</v>
      </c>
      <c r="H20" s="73">
        <v>36</v>
      </c>
      <c r="I20" s="73">
        <v>33.5</v>
      </c>
      <c r="J20" s="73">
        <v>62</v>
      </c>
      <c r="K20" s="73">
        <v>243</v>
      </c>
      <c r="L20" s="73">
        <v>64</v>
      </c>
      <c r="M20" s="72"/>
    </row>
    <row r="21" spans="1:13" ht="39.299999999999997" thickBot="1" x14ac:dyDescent="0.35">
      <c r="A21" s="72" t="s">
        <v>117</v>
      </c>
      <c r="B21" s="72" t="s">
        <v>118</v>
      </c>
      <c r="C21" s="72" t="s">
        <v>119</v>
      </c>
      <c r="D21" s="72" t="s">
        <v>44</v>
      </c>
      <c r="E21" s="73">
        <v>22.5</v>
      </c>
      <c r="F21" s="73">
        <v>15.75</v>
      </c>
      <c r="G21" s="73">
        <v>38</v>
      </c>
      <c r="H21" s="73">
        <v>33</v>
      </c>
      <c r="I21" s="73">
        <v>38</v>
      </c>
      <c r="J21" s="73">
        <v>65.5</v>
      </c>
      <c r="K21" s="73">
        <v>265</v>
      </c>
      <c r="L21" s="73">
        <v>105</v>
      </c>
      <c r="M21" s="72"/>
    </row>
    <row r="22" spans="1:13" ht="39.299999999999997" thickBot="1" x14ac:dyDescent="0.35">
      <c r="A22" s="72" t="s">
        <v>120</v>
      </c>
      <c r="B22" s="72" t="s">
        <v>121</v>
      </c>
      <c r="C22" s="72" t="s">
        <v>122</v>
      </c>
      <c r="D22" s="72" t="s">
        <v>44</v>
      </c>
      <c r="E22" s="73">
        <v>22</v>
      </c>
      <c r="F22" s="73">
        <v>13.4</v>
      </c>
      <c r="G22" s="73">
        <v>34</v>
      </c>
      <c r="H22" s="73">
        <v>33</v>
      </c>
      <c r="I22" s="73">
        <v>33</v>
      </c>
      <c r="J22" s="73">
        <v>64</v>
      </c>
      <c r="K22" s="73">
        <v>10.5</v>
      </c>
      <c r="L22" s="73">
        <v>9.5</v>
      </c>
      <c r="M22" s="72"/>
    </row>
    <row r="23" spans="1:13" ht="26.85" thickBot="1" x14ac:dyDescent="0.35">
      <c r="A23" s="72" t="s">
        <v>123</v>
      </c>
      <c r="B23" s="72" t="s">
        <v>124</v>
      </c>
      <c r="C23" s="72" t="s">
        <v>125</v>
      </c>
      <c r="D23" s="72" t="s">
        <v>44</v>
      </c>
      <c r="E23" s="73">
        <v>22</v>
      </c>
      <c r="F23" s="73">
        <v>14.5</v>
      </c>
      <c r="G23" s="73">
        <v>35</v>
      </c>
      <c r="H23" s="73">
        <v>32.5</v>
      </c>
      <c r="I23" s="73">
        <v>37</v>
      </c>
      <c r="J23" s="73">
        <v>66</v>
      </c>
      <c r="K23" s="73">
        <v>270</v>
      </c>
      <c r="L23" s="73">
        <v>105</v>
      </c>
      <c r="M23" s="72"/>
    </row>
    <row r="24" spans="1:13" ht="39.299999999999997" thickBot="1" x14ac:dyDescent="0.35">
      <c r="A24" s="72" t="s">
        <v>126</v>
      </c>
      <c r="B24" s="72" t="s">
        <v>121</v>
      </c>
      <c r="C24" s="72" t="s">
        <v>122</v>
      </c>
      <c r="D24" s="72" t="s">
        <v>44</v>
      </c>
      <c r="E24" s="73">
        <v>22</v>
      </c>
      <c r="F24" s="73">
        <v>13.4</v>
      </c>
      <c r="G24" s="73">
        <v>34</v>
      </c>
      <c r="H24" s="73">
        <v>33</v>
      </c>
      <c r="I24" s="73">
        <v>64</v>
      </c>
      <c r="J24" s="73">
        <v>64</v>
      </c>
      <c r="K24" s="73">
        <v>260</v>
      </c>
      <c r="L24" s="73">
        <v>100</v>
      </c>
      <c r="M24" s="72"/>
    </row>
    <row r="25" spans="1:13" ht="39.299999999999997" thickBot="1" x14ac:dyDescent="0.35">
      <c r="A25" s="72" t="s">
        <v>127</v>
      </c>
      <c r="B25" s="72" t="s">
        <v>128</v>
      </c>
      <c r="C25" s="72" t="s">
        <v>129</v>
      </c>
      <c r="D25" s="72" t="s">
        <v>44</v>
      </c>
      <c r="E25" s="73">
        <v>21.5</v>
      </c>
      <c r="F25" s="73">
        <v>14</v>
      </c>
      <c r="G25" s="73">
        <v>28.5</v>
      </c>
      <c r="H25" s="73">
        <v>26</v>
      </c>
      <c r="I25" s="73">
        <v>32.5</v>
      </c>
      <c r="J25" s="73">
        <v>56</v>
      </c>
      <c r="K25" s="73">
        <v>250</v>
      </c>
      <c r="L25" s="73">
        <v>100</v>
      </c>
      <c r="M25" s="72"/>
    </row>
    <row r="26" spans="1:13" ht="39.299999999999997" thickBot="1" x14ac:dyDescent="0.35">
      <c r="A26" s="72" t="s">
        <v>127</v>
      </c>
      <c r="B26" s="72" t="s">
        <v>128</v>
      </c>
      <c r="C26" s="72" t="s">
        <v>130</v>
      </c>
      <c r="D26" s="72" t="s">
        <v>44</v>
      </c>
      <c r="E26" s="73">
        <v>24</v>
      </c>
      <c r="F26" s="73">
        <v>17</v>
      </c>
      <c r="G26" s="73">
        <v>38</v>
      </c>
      <c r="H26" s="73">
        <v>32</v>
      </c>
      <c r="I26" s="73">
        <v>39</v>
      </c>
      <c r="J26" s="73">
        <v>66</v>
      </c>
      <c r="K26" s="73">
        <v>270</v>
      </c>
      <c r="L26" s="73">
        <v>120</v>
      </c>
      <c r="M26" s="72"/>
    </row>
    <row r="27" spans="1:13" ht="39.299999999999997" thickBot="1" x14ac:dyDescent="0.35">
      <c r="A27" s="72" t="s">
        <v>131</v>
      </c>
      <c r="B27" s="72" t="s">
        <v>132</v>
      </c>
      <c r="C27" s="72" t="s">
        <v>133</v>
      </c>
      <c r="D27" s="72" t="s">
        <v>48</v>
      </c>
      <c r="E27" s="73">
        <v>22</v>
      </c>
      <c r="F27" s="73">
        <v>13.5</v>
      </c>
      <c r="G27" s="73">
        <v>34</v>
      </c>
      <c r="H27" s="73">
        <v>33</v>
      </c>
      <c r="I27" s="73">
        <v>36</v>
      </c>
      <c r="J27" s="73">
        <v>59</v>
      </c>
      <c r="K27" s="73">
        <v>255</v>
      </c>
      <c r="L27" s="73">
        <v>94</v>
      </c>
      <c r="M27" s="72"/>
    </row>
    <row r="28" spans="1:13" ht="39.299999999999997" thickBot="1" x14ac:dyDescent="0.35">
      <c r="A28" s="72" t="s">
        <v>134</v>
      </c>
      <c r="B28" s="72" t="s">
        <v>135</v>
      </c>
      <c r="C28" s="72" t="s">
        <v>136</v>
      </c>
      <c r="D28" s="72" t="s">
        <v>44</v>
      </c>
      <c r="E28" s="73">
        <v>22.5</v>
      </c>
      <c r="F28" s="73">
        <v>15</v>
      </c>
      <c r="G28" s="73">
        <v>33</v>
      </c>
      <c r="H28" s="73">
        <v>31</v>
      </c>
      <c r="I28" s="73">
        <v>37.5</v>
      </c>
      <c r="J28" s="73">
        <v>662</v>
      </c>
      <c r="K28" s="73">
        <v>262</v>
      </c>
      <c r="L28" s="73">
        <v>108</v>
      </c>
      <c r="M28" s="72"/>
    </row>
    <row r="29" spans="1:13" ht="39.299999999999997" thickBot="1" x14ac:dyDescent="0.35">
      <c r="A29" s="72" t="s">
        <v>131</v>
      </c>
      <c r="B29" s="72" t="s">
        <v>132</v>
      </c>
      <c r="C29" s="72" t="s">
        <v>137</v>
      </c>
      <c r="D29" s="72" t="s">
        <v>48</v>
      </c>
      <c r="E29" s="73">
        <v>22.5</v>
      </c>
      <c r="F29" s="73">
        <v>14.5</v>
      </c>
      <c r="G29" s="73">
        <v>30.5</v>
      </c>
      <c r="H29" s="73">
        <v>25.5</v>
      </c>
      <c r="I29" s="73">
        <v>36</v>
      </c>
      <c r="J29" s="73">
        <v>63</v>
      </c>
      <c r="K29" s="73">
        <v>225</v>
      </c>
      <c r="L29" s="73">
        <v>94</v>
      </c>
      <c r="M29" s="72"/>
    </row>
    <row r="30" spans="1:13" ht="26.85" thickBot="1" x14ac:dyDescent="0.35">
      <c r="A30" s="72" t="s">
        <v>138</v>
      </c>
      <c r="B30" s="72" t="s">
        <v>139</v>
      </c>
      <c r="C30" s="72" t="s">
        <v>140</v>
      </c>
      <c r="D30" s="72" t="s">
        <v>48</v>
      </c>
      <c r="E30" s="73">
        <v>22.5</v>
      </c>
      <c r="F30" s="73">
        <v>13</v>
      </c>
      <c r="G30" s="73">
        <v>31</v>
      </c>
      <c r="H30" s="73">
        <v>28</v>
      </c>
      <c r="I30" s="73">
        <v>33</v>
      </c>
      <c r="J30" s="73">
        <v>61</v>
      </c>
      <c r="K30" s="73">
        <v>230</v>
      </c>
      <c r="L30" s="73">
        <v>110</v>
      </c>
      <c r="M30" s="72"/>
    </row>
    <row r="31" spans="1:13" ht="39.299999999999997" thickBot="1" x14ac:dyDescent="0.35">
      <c r="A31" s="72" t="s">
        <v>141</v>
      </c>
      <c r="B31" s="72" t="s">
        <v>142</v>
      </c>
      <c r="C31" s="72" t="s">
        <v>143</v>
      </c>
      <c r="D31" s="72" t="s">
        <v>48</v>
      </c>
      <c r="E31" s="73">
        <v>24</v>
      </c>
      <c r="F31" s="73">
        <v>12</v>
      </c>
      <c r="G31" s="73">
        <v>31</v>
      </c>
      <c r="H31" s="73">
        <v>26</v>
      </c>
      <c r="I31" s="73">
        <v>36</v>
      </c>
      <c r="J31" s="73">
        <v>66</v>
      </c>
      <c r="K31" s="73">
        <v>248</v>
      </c>
      <c r="L31" s="73">
        <v>89</v>
      </c>
      <c r="M31" s="72"/>
    </row>
    <row r="32" spans="1:13" ht="39.299999999999997" thickBot="1" x14ac:dyDescent="0.35">
      <c r="A32" s="72" t="s">
        <v>144</v>
      </c>
      <c r="B32" s="72" t="s">
        <v>145</v>
      </c>
      <c r="C32" s="72" t="s">
        <v>146</v>
      </c>
      <c r="D32" s="72" t="s">
        <v>44</v>
      </c>
      <c r="E32" s="73">
        <v>22</v>
      </c>
      <c r="F32" s="73">
        <v>15</v>
      </c>
      <c r="G32" s="73">
        <v>37</v>
      </c>
      <c r="H32" s="73">
        <v>34</v>
      </c>
      <c r="I32" s="73">
        <v>39</v>
      </c>
      <c r="J32" s="73">
        <v>66</v>
      </c>
      <c r="K32" s="73">
        <v>250</v>
      </c>
      <c r="L32" s="73">
        <v>90</v>
      </c>
      <c r="M32" s="72"/>
    </row>
    <row r="33" spans="1:13" ht="39.299999999999997" thickBot="1" x14ac:dyDescent="0.35">
      <c r="A33" s="72" t="s">
        <v>144</v>
      </c>
      <c r="B33" s="72" t="s">
        <v>145</v>
      </c>
      <c r="C33" s="72" t="s">
        <v>146</v>
      </c>
      <c r="D33" s="72" t="s">
        <v>44</v>
      </c>
      <c r="E33" s="73">
        <v>22</v>
      </c>
      <c r="F33" s="73">
        <v>15</v>
      </c>
      <c r="G33" s="73">
        <v>37</v>
      </c>
      <c r="H33" s="73">
        <v>34</v>
      </c>
      <c r="I33" s="73">
        <v>39</v>
      </c>
      <c r="J33" s="73">
        <v>66</v>
      </c>
      <c r="K33" s="73">
        <v>250</v>
      </c>
      <c r="L33" s="73">
        <v>90</v>
      </c>
      <c r="M33" s="72"/>
    </row>
    <row r="34" spans="1:13" ht="39.299999999999997" thickBot="1" x14ac:dyDescent="0.35">
      <c r="A34" s="72" t="s">
        <v>147</v>
      </c>
      <c r="B34" s="72" t="s">
        <v>148</v>
      </c>
      <c r="C34" s="72" t="s">
        <v>149</v>
      </c>
      <c r="D34" s="72" t="s">
        <v>48</v>
      </c>
      <c r="E34" s="73">
        <v>40</v>
      </c>
      <c r="F34" s="73">
        <v>14.5</v>
      </c>
      <c r="G34" s="73">
        <v>36</v>
      </c>
      <c r="H34" s="73">
        <v>30.5</v>
      </c>
      <c r="I34" s="73">
        <v>37</v>
      </c>
      <c r="J34" s="73">
        <v>60</v>
      </c>
      <c r="K34" s="73">
        <v>241.5</v>
      </c>
      <c r="L34" s="73">
        <v>114.5</v>
      </c>
      <c r="M34" s="72"/>
    </row>
    <row r="35" spans="1:13" ht="39.299999999999997" thickBot="1" x14ac:dyDescent="0.35">
      <c r="A35" s="72" t="s">
        <v>150</v>
      </c>
      <c r="B35" s="72" t="s">
        <v>151</v>
      </c>
      <c r="C35" s="72" t="s">
        <v>152</v>
      </c>
      <c r="D35" s="72" t="s">
        <v>44</v>
      </c>
      <c r="E35" s="73">
        <v>20.5</v>
      </c>
      <c r="F35" s="73">
        <v>14.5</v>
      </c>
      <c r="G35" s="73">
        <v>31.5</v>
      </c>
      <c r="H35" s="73">
        <v>30.5</v>
      </c>
      <c r="I35" s="73">
        <v>35.5</v>
      </c>
      <c r="J35" s="73">
        <v>60</v>
      </c>
      <c r="K35" s="73">
        <v>241.3</v>
      </c>
      <c r="L35" s="73">
        <v>88.9</v>
      </c>
      <c r="M35" s="72"/>
    </row>
    <row r="36" spans="1:13" ht="39.299999999999997" thickBot="1" x14ac:dyDescent="0.35">
      <c r="A36" s="72" t="s">
        <v>153</v>
      </c>
      <c r="B36" s="72" t="s">
        <v>154</v>
      </c>
      <c r="C36" s="72" t="s">
        <v>155</v>
      </c>
      <c r="D36" s="72" t="s">
        <v>44</v>
      </c>
      <c r="E36" s="73">
        <v>22.5</v>
      </c>
      <c r="F36" s="73">
        <v>15.5</v>
      </c>
      <c r="G36" s="73">
        <v>36</v>
      </c>
      <c r="H36" s="73">
        <v>32</v>
      </c>
      <c r="I36" s="73">
        <v>39</v>
      </c>
      <c r="J36" s="73">
        <v>69</v>
      </c>
      <c r="K36" s="73">
        <v>270</v>
      </c>
      <c r="L36" s="73">
        <v>105</v>
      </c>
      <c r="M36" s="72"/>
    </row>
    <row r="37" spans="1:13" ht="39.299999999999997" thickBot="1" x14ac:dyDescent="0.35">
      <c r="A37" s="72" t="s">
        <v>156</v>
      </c>
      <c r="B37" s="72" t="s">
        <v>157</v>
      </c>
      <c r="C37" s="72" t="s">
        <v>158</v>
      </c>
      <c r="D37" s="72" t="s">
        <v>44</v>
      </c>
      <c r="E37" s="73">
        <v>23</v>
      </c>
      <c r="F37" s="73">
        <v>15</v>
      </c>
      <c r="G37" s="73">
        <v>34</v>
      </c>
      <c r="H37" s="73">
        <v>30.5</v>
      </c>
      <c r="I37" s="73">
        <v>36</v>
      </c>
      <c r="J37" s="73">
        <v>66</v>
      </c>
      <c r="K37" s="73">
        <v>240</v>
      </c>
      <c r="L37" s="73">
        <v>90</v>
      </c>
      <c r="M37" s="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399011</xdr:colOff>
                    <xdr:row>0</xdr:row>
                    <xdr:rowOff>133004</xdr:rowOff>
                  </from>
                  <to>
                    <xdr:col>16</xdr:col>
                    <xdr:colOff>340822</xdr:colOff>
                    <xdr:row>1</xdr:row>
                    <xdr:rowOff>24938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00C4-525A-4B6F-B684-05266ED0D55D}">
  <sheetPr codeName="Sheet51"/>
  <dimension ref="A1:L36"/>
  <sheetViews>
    <sheetView tabSelected="1" workbookViewId="0">
      <selection activeCell="A8" sqref="A8"/>
    </sheetView>
  </sheetViews>
  <sheetFormatPr defaultRowHeight="15.05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1" t="s">
        <v>42</v>
      </c>
      <c r="B1" s="61" t="s">
        <v>3</v>
      </c>
      <c r="C1" s="33" t="s">
        <v>0</v>
      </c>
      <c r="D1" s="33"/>
      <c r="E1" s="33" t="s">
        <v>2</v>
      </c>
      <c r="F1" s="33"/>
      <c r="G1" s="61" t="s">
        <v>34</v>
      </c>
      <c r="H1" s="43"/>
      <c r="I1" s="43"/>
      <c r="J1" s="43"/>
      <c r="K1" s="61" t="s">
        <v>38</v>
      </c>
      <c r="L1" s="61" t="s">
        <v>10</v>
      </c>
    </row>
    <row r="2" spans="1:12" x14ac:dyDescent="0.3">
      <c r="A2" s="32"/>
      <c r="B2" s="45" t="s">
        <v>43</v>
      </c>
      <c r="C2" s="34" t="s">
        <v>79</v>
      </c>
      <c r="D2" s="34"/>
      <c r="E2" s="34" t="s">
        <v>166</v>
      </c>
      <c r="F2" s="34"/>
      <c r="G2" s="44" t="s">
        <v>167</v>
      </c>
      <c r="H2" s="43"/>
      <c r="I2" s="43"/>
      <c r="J2" s="43"/>
      <c r="K2" s="47" t="s">
        <v>9</v>
      </c>
      <c r="L2" s="47">
        <v>19.3</v>
      </c>
    </row>
    <row r="3" spans="1:12" x14ac:dyDescent="0.3">
      <c r="A3" s="61" t="s">
        <v>1</v>
      </c>
      <c r="B3" s="35" t="s">
        <v>4</v>
      </c>
      <c r="C3" s="36"/>
      <c r="D3" s="37"/>
      <c r="E3" s="35" t="s">
        <v>52</v>
      </c>
      <c r="F3" s="37"/>
      <c r="G3" s="61" t="s">
        <v>5</v>
      </c>
      <c r="H3" s="43"/>
      <c r="I3" s="43"/>
      <c r="J3" s="43"/>
      <c r="K3" s="44" t="s">
        <v>11</v>
      </c>
      <c r="L3" s="44">
        <v>13.3</v>
      </c>
    </row>
    <row r="4" spans="1:12" x14ac:dyDescent="0.3">
      <c r="A4" s="44" t="s">
        <v>39</v>
      </c>
      <c r="B4" s="38">
        <v>3727638738</v>
      </c>
      <c r="C4" s="38"/>
      <c r="D4" s="38"/>
      <c r="E4" s="34" t="s">
        <v>59</v>
      </c>
      <c r="F4" s="34"/>
      <c r="G4" s="44" t="s">
        <v>44</v>
      </c>
      <c r="H4" s="43"/>
      <c r="I4" s="43"/>
      <c r="J4" s="43"/>
      <c r="K4" s="47" t="s">
        <v>12</v>
      </c>
      <c r="L4" s="47">
        <v>61.4</v>
      </c>
    </row>
    <row r="5" spans="1:12" x14ac:dyDescent="0.3">
      <c r="A5" s="61" t="s">
        <v>6</v>
      </c>
      <c r="B5" s="33" t="s">
        <v>7</v>
      </c>
      <c r="C5" s="33"/>
      <c r="D5" s="33"/>
      <c r="E5" s="61" t="s">
        <v>8</v>
      </c>
      <c r="F5" s="61" t="s">
        <v>35</v>
      </c>
      <c r="G5" s="61" t="s">
        <v>36</v>
      </c>
      <c r="H5" s="43"/>
      <c r="I5" s="43"/>
      <c r="J5" s="43"/>
      <c r="K5" s="44" t="s">
        <v>13</v>
      </c>
      <c r="L5" s="44">
        <v>48.3</v>
      </c>
    </row>
    <row r="6" spans="1:12" x14ac:dyDescent="0.3">
      <c r="A6" s="46" t="s">
        <v>168</v>
      </c>
      <c r="B6" s="30" t="s">
        <v>18</v>
      </c>
      <c r="C6" s="30"/>
      <c r="D6" s="30"/>
      <c r="E6" s="47">
        <v>8060</v>
      </c>
      <c r="F6" s="47">
        <v>1</v>
      </c>
      <c r="G6" s="66" t="s">
        <v>47</v>
      </c>
      <c r="H6" s="69" t="str">
        <f>HYPERLINK("#G6",CHAR(128))</f>
        <v>€</v>
      </c>
      <c r="I6" s="43"/>
      <c r="J6" s="43"/>
      <c r="K6" s="47" t="s">
        <v>14</v>
      </c>
      <c r="L6" s="47">
        <v>63.7</v>
      </c>
    </row>
    <row r="7" spans="1:12" x14ac:dyDescent="0.3">
      <c r="A7" s="45" t="s">
        <v>169</v>
      </c>
      <c r="B7" s="34" t="s">
        <v>21</v>
      </c>
      <c r="C7" s="34"/>
      <c r="D7" s="34"/>
      <c r="E7" s="44">
        <v>20</v>
      </c>
      <c r="F7" s="57">
        <v>1</v>
      </c>
      <c r="G7" s="47" t="s">
        <v>47</v>
      </c>
      <c r="H7" s="69" t="str">
        <f>HYPERLINK("#G7",CHAR(128))</f>
        <v>€</v>
      </c>
      <c r="I7" s="43"/>
      <c r="J7" s="43"/>
      <c r="K7" s="44" t="s">
        <v>15</v>
      </c>
      <c r="L7" s="44">
        <v>70.2</v>
      </c>
    </row>
    <row r="8" spans="1:12" x14ac:dyDescent="0.3">
      <c r="A8" s="46"/>
      <c r="B8" s="30" t="s">
        <v>19</v>
      </c>
      <c r="C8" s="30"/>
      <c r="D8" s="30"/>
      <c r="E8" s="47"/>
      <c r="F8" s="47">
        <v>1</v>
      </c>
      <c r="G8" s="47" t="s">
        <v>47</v>
      </c>
      <c r="H8" s="69" t="str">
        <f>HYPERLINK("#G8",CHAR(128))</f>
        <v>€</v>
      </c>
      <c r="I8" s="43"/>
      <c r="J8" s="43"/>
      <c r="K8" s="47" t="s">
        <v>16</v>
      </c>
      <c r="L8" s="47">
        <v>276.89999999999998</v>
      </c>
    </row>
    <row r="9" spans="1:12" x14ac:dyDescent="0.3">
      <c r="A9" s="45" t="s">
        <v>170</v>
      </c>
      <c r="B9" s="34" t="s">
        <v>20</v>
      </c>
      <c r="C9" s="34"/>
      <c r="D9" s="34"/>
      <c r="E9" s="44">
        <v>7658</v>
      </c>
      <c r="F9" s="57">
        <v>1</v>
      </c>
      <c r="G9" s="47" t="s">
        <v>47</v>
      </c>
      <c r="H9" s="69" t="str">
        <f>HYPERLINK("#G9",CHAR(128))</f>
        <v>€</v>
      </c>
      <c r="I9" s="52"/>
      <c r="J9" s="43"/>
      <c r="K9" s="44" t="s">
        <v>17</v>
      </c>
      <c r="L9" s="44">
        <v>124.3</v>
      </c>
    </row>
    <row r="10" spans="1:12" x14ac:dyDescent="0.3">
      <c r="A10" s="46" t="s">
        <v>61</v>
      </c>
      <c r="B10" s="30" t="s">
        <v>24</v>
      </c>
      <c r="C10" s="30"/>
      <c r="D10" s="30"/>
      <c r="E10" s="49">
        <v>6.375</v>
      </c>
      <c r="F10" s="47">
        <v>1</v>
      </c>
      <c r="G10" s="47" t="s">
        <v>47</v>
      </c>
      <c r="H10" s="69" t="str">
        <f>HYPERLINK("#G10",CHAR(128))</f>
        <v>€</v>
      </c>
      <c r="I10" s="43"/>
      <c r="J10" s="43"/>
      <c r="K10" s="56" t="s">
        <v>50</v>
      </c>
      <c r="L10" s="56">
        <v>9.9</v>
      </c>
    </row>
    <row r="11" spans="1:12" x14ac:dyDescent="0.3">
      <c r="A11" s="45" t="s">
        <v>58</v>
      </c>
      <c r="B11" s="34" t="s">
        <v>23</v>
      </c>
      <c r="C11" s="34"/>
      <c r="D11" s="34"/>
      <c r="E11" s="44" t="s">
        <v>57</v>
      </c>
      <c r="F11" s="57">
        <v>1</v>
      </c>
      <c r="G11" s="47" t="s">
        <v>47</v>
      </c>
      <c r="H11" s="69" t="str">
        <f>HYPERLINK("#G11",CHAR(128))</f>
        <v>€</v>
      </c>
      <c r="I11" s="43"/>
      <c r="J11" s="43"/>
      <c r="K11" s="43"/>
      <c r="L11" s="43"/>
    </row>
    <row r="12" spans="1:12" x14ac:dyDescent="0.3">
      <c r="A12" s="48" t="s">
        <v>165</v>
      </c>
      <c r="B12" s="30" t="s">
        <v>25</v>
      </c>
      <c r="C12" s="30"/>
      <c r="D12" s="30"/>
      <c r="E12" s="47" t="s">
        <v>164</v>
      </c>
      <c r="F12" s="47">
        <v>1</v>
      </c>
      <c r="G12" s="47" t="s">
        <v>47</v>
      </c>
      <c r="H12" s="69" t="str">
        <f>HYPERLINK("#G12",CHAR(128))</f>
        <v>€</v>
      </c>
      <c r="I12" s="43"/>
      <c r="J12" s="43"/>
      <c r="K12" s="43"/>
      <c r="L12" s="43"/>
    </row>
    <row r="13" spans="1:12" x14ac:dyDescent="0.3">
      <c r="A13" s="45" t="s">
        <v>56</v>
      </c>
      <c r="B13" s="34" t="s">
        <v>26</v>
      </c>
      <c r="C13" s="34"/>
      <c r="D13" s="34"/>
      <c r="E13" s="44" t="s">
        <v>46</v>
      </c>
      <c r="F13" s="57">
        <v>1</v>
      </c>
      <c r="G13" s="47" t="s">
        <v>47</v>
      </c>
      <c r="H13" s="69" t="str">
        <f>HYPERLINK("#G13",CHAR(128))</f>
        <v>€</v>
      </c>
      <c r="I13" s="43"/>
      <c r="J13" s="43"/>
      <c r="K13" s="43"/>
      <c r="L13" s="43"/>
    </row>
    <row r="14" spans="1:12" x14ac:dyDescent="0.3">
      <c r="A14" s="48" t="s">
        <v>60</v>
      </c>
      <c r="B14" s="30" t="s">
        <v>27</v>
      </c>
      <c r="C14" s="30"/>
      <c r="D14" s="30"/>
      <c r="E14" s="47" t="s">
        <v>54</v>
      </c>
      <c r="F14" s="47">
        <v>1</v>
      </c>
      <c r="G14" s="47" t="s">
        <v>47</v>
      </c>
      <c r="H14" s="69" t="str">
        <f>HYPERLINK("#G14",CHAR(128))</f>
        <v>€</v>
      </c>
      <c r="I14" s="43"/>
      <c r="J14" s="43"/>
      <c r="K14" s="43"/>
      <c r="L14" s="43"/>
    </row>
    <row r="15" spans="1:12" x14ac:dyDescent="0.3">
      <c r="A15" s="45"/>
      <c r="B15" s="42"/>
      <c r="C15" s="42"/>
      <c r="D15" s="42"/>
      <c r="E15" s="44"/>
      <c r="F15" s="57"/>
      <c r="G15" s="47"/>
      <c r="H15" s="55"/>
      <c r="I15" s="43"/>
      <c r="J15" s="43"/>
      <c r="K15" s="43"/>
      <c r="L15" s="43"/>
    </row>
    <row r="16" spans="1:12" x14ac:dyDescent="0.3">
      <c r="A16" s="48" t="s">
        <v>49</v>
      </c>
      <c r="B16" s="30" t="s">
        <v>28</v>
      </c>
      <c r="C16" s="30"/>
      <c r="D16" s="30"/>
      <c r="E16" s="47" t="s">
        <v>55</v>
      </c>
      <c r="F16" s="47">
        <v>1</v>
      </c>
      <c r="G16" s="47" t="s">
        <v>47</v>
      </c>
      <c r="H16" s="64" t="str">
        <f>HYPERLINK("#G16",CHAR(128))</f>
        <v>€</v>
      </c>
      <c r="I16" s="43"/>
      <c r="J16" s="43"/>
      <c r="K16" s="43"/>
      <c r="L16" s="43"/>
    </row>
    <row r="17" spans="1:12" x14ac:dyDescent="0.3">
      <c r="A17" s="45" t="s">
        <v>62</v>
      </c>
      <c r="B17" s="34" t="s">
        <v>22</v>
      </c>
      <c r="C17" s="34"/>
      <c r="D17" s="34"/>
      <c r="E17" s="44" t="s">
        <v>45</v>
      </c>
      <c r="F17" s="57">
        <v>1</v>
      </c>
      <c r="G17" s="47" t="s">
        <v>47</v>
      </c>
      <c r="H17" s="64" t="str">
        <f>HYPERLINK("#G17",CHAR(128))</f>
        <v>€</v>
      </c>
      <c r="I17" s="43"/>
      <c r="J17" s="43"/>
      <c r="K17" s="43"/>
      <c r="L17" s="43"/>
    </row>
    <row r="18" spans="1:12" x14ac:dyDescent="0.3">
      <c r="A18" s="48"/>
      <c r="B18" s="30" t="s">
        <v>29</v>
      </c>
      <c r="C18" s="30"/>
      <c r="D18" s="30"/>
      <c r="E18" s="47"/>
      <c r="F18" s="47">
        <v>1</v>
      </c>
      <c r="G18" s="47" t="s">
        <v>47</v>
      </c>
      <c r="H18" s="64" t="str">
        <f>HYPERLINK("#G18",CHAR(128))</f>
        <v>€</v>
      </c>
      <c r="I18" s="43"/>
      <c r="J18" s="43"/>
      <c r="K18" s="43"/>
      <c r="L18" s="43"/>
    </row>
    <row r="19" spans="1:12" x14ac:dyDescent="0.3">
      <c r="A19" s="45" t="s">
        <v>172</v>
      </c>
      <c r="B19" s="34" t="s">
        <v>30</v>
      </c>
      <c r="C19" s="34"/>
      <c r="D19" s="34"/>
      <c r="E19" s="44" t="s">
        <v>171</v>
      </c>
      <c r="F19" s="57">
        <v>1</v>
      </c>
      <c r="G19" s="47" t="s">
        <v>47</v>
      </c>
      <c r="H19" s="64" t="str">
        <f>HYPERLINK("#G19",CHAR(128))</f>
        <v>€</v>
      </c>
      <c r="I19" s="43"/>
      <c r="J19" s="43"/>
      <c r="K19" s="43"/>
      <c r="L19" s="43"/>
    </row>
    <row r="20" spans="1:12" x14ac:dyDescent="0.3">
      <c r="A20" s="48"/>
      <c r="B20" s="39"/>
      <c r="C20" s="40"/>
      <c r="D20" s="41"/>
      <c r="E20" s="47"/>
      <c r="F20" s="47"/>
      <c r="G20" s="47"/>
      <c r="H20" s="55"/>
      <c r="I20" s="43"/>
      <c r="J20" s="43"/>
      <c r="K20" s="43"/>
      <c r="L20" s="43"/>
    </row>
    <row r="21" spans="1:12" x14ac:dyDescent="0.3">
      <c r="A21" s="45" t="s">
        <v>173</v>
      </c>
      <c r="B21" s="34" t="s">
        <v>33</v>
      </c>
      <c r="C21" s="34"/>
      <c r="D21" s="34"/>
      <c r="E21" s="50">
        <v>6.125</v>
      </c>
      <c r="F21" s="57">
        <v>1</v>
      </c>
      <c r="G21" s="47" t="s">
        <v>47</v>
      </c>
      <c r="H21" s="64" t="str">
        <f>HYPERLINK("#G21",CHAR(128))</f>
        <v>€</v>
      </c>
      <c r="I21" s="43"/>
      <c r="J21" s="43"/>
      <c r="K21" s="43"/>
      <c r="L21" s="43"/>
    </row>
    <row r="22" spans="1:12" x14ac:dyDescent="0.3">
      <c r="A22" s="48"/>
      <c r="B22" s="30" t="s">
        <v>31</v>
      </c>
      <c r="C22" s="30"/>
      <c r="D22" s="30"/>
      <c r="E22" s="47"/>
      <c r="F22" s="47">
        <v>1</v>
      </c>
      <c r="G22" s="47" t="s">
        <v>47</v>
      </c>
      <c r="H22" s="64" t="str">
        <f>HYPERLINK("#G22",CHAR(128))</f>
        <v>€</v>
      </c>
      <c r="I22" s="43"/>
      <c r="J22" s="43"/>
      <c r="K22" s="43"/>
      <c r="L22" s="43"/>
    </row>
    <row r="23" spans="1:12" x14ac:dyDescent="0.3">
      <c r="A23" s="45"/>
      <c r="B23" s="34" t="s">
        <v>51</v>
      </c>
      <c r="C23" s="34"/>
      <c r="D23" s="34"/>
      <c r="E23" s="44"/>
      <c r="F23" s="57">
        <v>1</v>
      </c>
      <c r="G23" s="47" t="s">
        <v>47</v>
      </c>
      <c r="H23" s="63" t="str">
        <f>HYPERLINK("#G23",CHAR(128))</f>
        <v>€</v>
      </c>
      <c r="I23" s="43"/>
      <c r="J23" s="43"/>
      <c r="K23" s="43"/>
      <c r="L23" s="43"/>
    </row>
    <row r="24" spans="1:12" x14ac:dyDescent="0.3">
      <c r="A24" s="48"/>
      <c r="B24" s="30" t="s">
        <v>32</v>
      </c>
      <c r="C24" s="30"/>
      <c r="D24" s="30"/>
      <c r="E24" s="47"/>
      <c r="F24" s="47">
        <v>1</v>
      </c>
      <c r="G24" s="47" t="s">
        <v>47</v>
      </c>
      <c r="H24" s="63" t="str">
        <f>HYPERLINK("#G24",CHAR(128))</f>
        <v>€</v>
      </c>
      <c r="I24" s="43"/>
      <c r="J24" s="43"/>
      <c r="K24" s="43"/>
      <c r="L24" s="43"/>
    </row>
    <row r="25" spans="1:12" x14ac:dyDescent="0.3">
      <c r="A25" s="45"/>
      <c r="B25" s="34"/>
      <c r="C25" s="34"/>
      <c r="D25" s="34"/>
      <c r="E25" s="44"/>
      <c r="F25" s="57"/>
      <c r="G25" s="47"/>
      <c r="H25" s="55"/>
      <c r="I25" s="53"/>
      <c r="J25" s="43"/>
      <c r="K25" s="43"/>
      <c r="L25" s="43"/>
    </row>
    <row r="26" spans="1:12" x14ac:dyDescent="0.3">
      <c r="A26" s="48"/>
      <c r="B26" s="30" t="s">
        <v>37</v>
      </c>
      <c r="C26" s="30"/>
      <c r="D26" s="30"/>
      <c r="E26" s="47" t="str">
        <f>C2</f>
        <v>Smith</v>
      </c>
      <c r="F26" s="47">
        <v>1</v>
      </c>
      <c r="G26" s="47" t="s">
        <v>47</v>
      </c>
      <c r="H26" s="65" t="str">
        <f>HYPERLINK("#G26",CHAR(128))</f>
        <v>€</v>
      </c>
      <c r="I26" s="43"/>
      <c r="J26" s="43"/>
      <c r="K26" s="43"/>
      <c r="L26" s="43"/>
    </row>
    <row r="27" spans="1:12" x14ac:dyDescent="0.3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</row>
    <row r="28" spans="1:12" x14ac:dyDescent="0.3">
      <c r="A28" s="43"/>
      <c r="B28" s="43"/>
      <c r="C28" s="43"/>
      <c r="D28" s="43"/>
      <c r="E28" s="43"/>
      <c r="F28" s="43"/>
      <c r="G28" s="43"/>
      <c r="H28" s="43"/>
      <c r="I28" s="43"/>
      <c r="J28" s="59"/>
      <c r="K28" s="43"/>
      <c r="L28" s="43"/>
    </row>
    <row r="29" spans="1:12" x14ac:dyDescent="0.3">
      <c r="A29" s="61"/>
      <c r="B29" s="33" t="s">
        <v>53</v>
      </c>
      <c r="C29" s="33"/>
      <c r="D29" s="33"/>
      <c r="E29" s="61" t="s">
        <v>8</v>
      </c>
      <c r="F29" s="61" t="s">
        <v>35</v>
      </c>
      <c r="G29" s="62" t="s">
        <v>36</v>
      </c>
      <c r="H29" s="43"/>
      <c r="I29" s="43"/>
      <c r="J29" s="43"/>
      <c r="K29" s="43"/>
      <c r="L29" s="43"/>
    </row>
    <row r="30" spans="1:12" x14ac:dyDescent="0.3">
      <c r="A30" s="46"/>
      <c r="B30" s="30"/>
      <c r="C30" s="30"/>
      <c r="D30" s="30"/>
      <c r="E30" s="47"/>
      <c r="F30" s="51">
        <v>1</v>
      </c>
      <c r="G30" s="58"/>
      <c r="H30" s="60" t="str">
        <f>HYPERLINK("#G30",CHAR(128))</f>
        <v>€</v>
      </c>
      <c r="I30" s="43"/>
      <c r="J30" s="43"/>
      <c r="K30" s="43"/>
      <c r="L30" s="43"/>
    </row>
    <row r="31" spans="1:12" x14ac:dyDescent="0.3">
      <c r="A31" s="45"/>
      <c r="B31" s="34"/>
      <c r="C31" s="34"/>
      <c r="D31" s="34"/>
      <c r="E31" s="44"/>
      <c r="F31" s="57">
        <v>1</v>
      </c>
      <c r="G31" s="67"/>
      <c r="H31" s="60" t="str">
        <f>HYPERLINK("#G31",CHAR(128))</f>
        <v>€</v>
      </c>
      <c r="I31" s="43"/>
      <c r="J31" s="43"/>
      <c r="K31" s="43"/>
      <c r="L31" s="43"/>
    </row>
    <row r="32" spans="1:12" x14ac:dyDescent="0.3">
      <c r="A32" s="46"/>
      <c r="B32" s="30"/>
      <c r="C32" s="30"/>
      <c r="D32" s="30"/>
      <c r="E32" s="47"/>
      <c r="F32" s="47">
        <v>1</v>
      </c>
      <c r="G32" s="68"/>
      <c r="H32" s="60" t="str">
        <f>HYPERLINK("#G32",CHAR(128))</f>
        <v>€</v>
      </c>
      <c r="I32" s="43"/>
      <c r="J32" s="43"/>
      <c r="K32" s="43"/>
      <c r="L32" s="43"/>
    </row>
    <row r="33" spans="1:12" x14ac:dyDescent="0.3">
      <c r="A33" s="45"/>
      <c r="B33" s="34"/>
      <c r="C33" s="34"/>
      <c r="D33" s="34"/>
      <c r="E33" s="44"/>
      <c r="F33" s="57">
        <v>1</v>
      </c>
      <c r="G33" s="67"/>
      <c r="H33" s="60" t="str">
        <f>HYPERLINK("#G33",CHAR(128))</f>
        <v>€</v>
      </c>
      <c r="I33" s="43"/>
      <c r="J33" s="43"/>
      <c r="K33" s="43"/>
      <c r="L33" s="43"/>
    </row>
    <row r="34" spans="1:12" x14ac:dyDescent="0.3">
      <c r="A34" s="46"/>
      <c r="B34" s="30"/>
      <c r="C34" s="30"/>
      <c r="D34" s="30"/>
      <c r="E34" s="47"/>
      <c r="F34" s="47">
        <v>1</v>
      </c>
      <c r="G34" s="68"/>
      <c r="H34" s="60" t="str">
        <f>HYPERLINK("#G34",CHAR(128))</f>
        <v>€</v>
      </c>
      <c r="I34" s="43"/>
      <c r="J34" s="43"/>
      <c r="K34" s="43"/>
      <c r="L34" s="43"/>
    </row>
    <row r="35" spans="1:12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</row>
    <row r="36" spans="1:12" x14ac:dyDescent="0.3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7" priority="1" operator="equal">
      <formula>"Returned"</formula>
    </cfRule>
    <cfRule type="cellIs" dxfId="6" priority="4" operator="equal">
      <formula>"Ready To Order"</formula>
    </cfRule>
    <cfRule type="containsText" dxfId="5" priority="5" operator="containsText" text="UNP">
      <formula>NOT(ISERROR(SEARCH("UNP",G6)))</formula>
    </cfRule>
    <cfRule type="containsText" dxfId="4" priority="6" operator="containsText" text="Ordered">
      <formula>NOT(ISERROR(SEARCH("Ordered",G6)))</formula>
    </cfRule>
    <cfRule type="containsText" dxfId="3" priority="7" operator="containsText" text="Pick Up">
      <formula>NOT(ISERROR(SEARCH("Pick Up",G6)))</formula>
    </cfRule>
    <cfRule type="containsText" dxfId="2" priority="8" operator="containsText" text="Complete">
      <formula>NOT(ISERROR(SEARCH("Complete",G6)))</formula>
    </cfRule>
  </conditionalFormatting>
  <conditionalFormatting sqref="G30:G33">
    <cfRule type="containsText" dxfId="1" priority="3" operator="containsText" text="Given">
      <formula>NOT(ISERROR(SEARCH("Given",G30)))</formula>
    </cfRule>
  </conditionalFormatting>
  <conditionalFormatting sqref="G30:G34">
    <cfRule type="containsText" dxfId="0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4B6FA9E9-34ED-4E45-9C0B-1D950C934FDF}">
      <formula1>"--,Returned, Given"</formula1>
    </dataValidation>
    <dataValidation type="list" allowBlank="1" showInputMessage="1" showErrorMessage="1" sqref="G6:G26" xr:uid="{4C57E8C5-5091-4E9B-BBDB-64168138A210}">
      <formula1>"UNP, Ready To Order, Ordered, Pick Up, Complete, Returned"</formula1>
    </dataValidation>
    <dataValidation type="decimal" allowBlank="1" showInputMessage="1" showErrorMessage="1" sqref="L2" xr:uid="{76E50FD3-5B9F-4F7F-8EC6-1FE1028305C3}">
      <formula1>19</formula1>
      <formula2>26</formula2>
    </dataValidation>
  </dataValidations>
  <hyperlinks>
    <hyperlink ref="A1:A2" location="Menu!A1" display="Back to Menu" xr:uid="{B65373D3-2D5B-4903-816D-C82730D8872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4"/>
  <sheetViews>
    <sheetView zoomScaleNormal="100" workbookViewId="0">
      <selection sqref="A1:L36"/>
    </sheetView>
  </sheetViews>
  <sheetFormatPr defaultRowHeight="15.05" x14ac:dyDescent="0.3"/>
  <cols>
    <col min="1" max="1" width="18.554687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" customHeight="1" x14ac:dyDescent="0.3">
      <c r="A1" s="31" t="s">
        <v>42</v>
      </c>
      <c r="B1" s="20" t="s">
        <v>3</v>
      </c>
      <c r="C1" s="33" t="s">
        <v>0</v>
      </c>
      <c r="D1" s="33"/>
      <c r="E1" s="33" t="s">
        <v>2</v>
      </c>
      <c r="F1" s="33"/>
      <c r="G1" s="20" t="s">
        <v>34</v>
      </c>
      <c r="K1" s="20" t="s">
        <v>38</v>
      </c>
      <c r="L1" s="20" t="s">
        <v>10</v>
      </c>
    </row>
    <row r="2" spans="1:12" ht="17.2" customHeight="1" x14ac:dyDescent="0.3">
      <c r="A2" s="32"/>
      <c r="B2" s="2"/>
      <c r="C2" s="34"/>
      <c r="D2" s="34"/>
      <c r="E2" s="34"/>
      <c r="F2" s="34"/>
      <c r="G2" s="1"/>
      <c r="K2" s="4" t="s">
        <v>9</v>
      </c>
      <c r="L2" s="4"/>
    </row>
    <row r="3" spans="1:12" ht="17.2" customHeight="1" x14ac:dyDescent="0.3">
      <c r="A3" s="20" t="s">
        <v>1</v>
      </c>
      <c r="B3" s="35" t="s">
        <v>4</v>
      </c>
      <c r="C3" s="36"/>
      <c r="D3" s="37"/>
      <c r="E3" s="35" t="s">
        <v>52</v>
      </c>
      <c r="F3" s="37"/>
      <c r="G3" s="20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38"/>
      <c r="C4" s="38"/>
      <c r="D4" s="38"/>
      <c r="E4" s="34"/>
      <c r="F4" s="34"/>
      <c r="G4" s="1"/>
      <c r="K4" s="4" t="s">
        <v>12</v>
      </c>
      <c r="L4" s="4"/>
    </row>
    <row r="5" spans="1:12" ht="17.2" customHeight="1" x14ac:dyDescent="0.3">
      <c r="A5" s="20" t="s">
        <v>6</v>
      </c>
      <c r="B5" s="33" t="s">
        <v>7</v>
      </c>
      <c r="C5" s="33"/>
      <c r="D5" s="33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" customHeight="1" x14ac:dyDescent="0.3">
      <c r="A6" s="3"/>
      <c r="B6" s="30" t="s">
        <v>18</v>
      </c>
      <c r="C6" s="30"/>
      <c r="D6" s="30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ht="17.2" customHeight="1" x14ac:dyDescent="0.3">
      <c r="A7" s="2"/>
      <c r="B7" s="34" t="s">
        <v>21</v>
      </c>
      <c r="C7" s="34"/>
      <c r="D7" s="34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/>
    </row>
    <row r="8" spans="1:12" ht="17.2" customHeight="1" x14ac:dyDescent="0.3">
      <c r="A8" s="3"/>
      <c r="B8" s="30" t="s">
        <v>19</v>
      </c>
      <c r="C8" s="30"/>
      <c r="D8" s="30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/>
    </row>
    <row r="9" spans="1:12" ht="17.2" customHeight="1" x14ac:dyDescent="0.3">
      <c r="A9" s="2"/>
      <c r="B9" s="34" t="s">
        <v>20</v>
      </c>
      <c r="C9" s="34"/>
      <c r="D9" s="34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ht="17.2" customHeight="1" x14ac:dyDescent="0.3">
      <c r="A10" s="3"/>
      <c r="B10" s="30" t="s">
        <v>24</v>
      </c>
      <c r="C10" s="30"/>
      <c r="D10" s="30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50</v>
      </c>
      <c r="L10" s="15"/>
    </row>
    <row r="11" spans="1:12" ht="17.2" customHeight="1" x14ac:dyDescent="0.3">
      <c r="A11" s="2"/>
      <c r="B11" s="34" t="s">
        <v>23</v>
      </c>
      <c r="C11" s="34"/>
      <c r="D11" s="34"/>
      <c r="E11" s="1"/>
      <c r="F11" s="16">
        <v>1</v>
      </c>
      <c r="G11" s="4" t="s">
        <v>47</v>
      </c>
      <c r="H11" s="28" t="str">
        <f>HYPERLINK("#G11",CHAR(128))</f>
        <v>€</v>
      </c>
    </row>
    <row r="12" spans="1:12" ht="17.2" customHeight="1" x14ac:dyDescent="0.3">
      <c r="A12" s="5"/>
      <c r="B12" s="30" t="s">
        <v>25</v>
      </c>
      <c r="C12" s="30"/>
      <c r="D12" s="30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ht="17.2" customHeight="1" x14ac:dyDescent="0.3">
      <c r="A13" s="2"/>
      <c r="B13" s="34" t="s">
        <v>26</v>
      </c>
      <c r="C13" s="34"/>
      <c r="D13" s="34"/>
      <c r="E13" s="1"/>
      <c r="F13" s="16">
        <v>1</v>
      </c>
      <c r="G13" s="4" t="s">
        <v>47</v>
      </c>
      <c r="H13" s="28" t="str">
        <f>HYPERLINK("#G13",CHAR(128))</f>
        <v>€</v>
      </c>
    </row>
    <row r="14" spans="1:12" ht="17.2" customHeight="1" x14ac:dyDescent="0.3">
      <c r="A14" s="5"/>
      <c r="B14" s="30" t="s">
        <v>27</v>
      </c>
      <c r="C14" s="30"/>
      <c r="D14" s="30"/>
      <c r="E14" s="4"/>
      <c r="F14" s="4">
        <v>1</v>
      </c>
      <c r="G14" s="4" t="s">
        <v>47</v>
      </c>
      <c r="H14" s="28" t="str">
        <f>HYPERLINK("#G14",CHAR(128))</f>
        <v>€</v>
      </c>
    </row>
    <row r="15" spans="1:12" ht="17.2" customHeight="1" x14ac:dyDescent="0.3">
      <c r="A15" s="2"/>
      <c r="B15" s="42"/>
      <c r="C15" s="42"/>
      <c r="D15" s="42"/>
      <c r="E15" s="1"/>
      <c r="F15" s="16"/>
      <c r="G15" s="4"/>
      <c r="H15" s="14"/>
    </row>
    <row r="16" spans="1:12" ht="17.2" customHeight="1" x14ac:dyDescent="0.3">
      <c r="A16" s="5"/>
      <c r="B16" s="30" t="s">
        <v>28</v>
      </c>
      <c r="C16" s="30"/>
      <c r="D16" s="30"/>
      <c r="E16" s="4"/>
      <c r="F16" s="4">
        <v>1</v>
      </c>
      <c r="G16" s="4" t="s">
        <v>47</v>
      </c>
      <c r="H16" s="23" t="str">
        <f>HYPERLINK("#G16",CHAR(128))</f>
        <v>€</v>
      </c>
    </row>
    <row r="17" spans="1:14" ht="17.2" customHeight="1" x14ac:dyDescent="0.3">
      <c r="A17" s="2"/>
      <c r="B17" s="34" t="s">
        <v>22</v>
      </c>
      <c r="C17" s="34"/>
      <c r="D17" s="34"/>
      <c r="E17" s="1"/>
      <c r="F17" s="16">
        <v>1</v>
      </c>
      <c r="G17" s="4" t="s">
        <v>47</v>
      </c>
      <c r="H17" s="23" t="str">
        <f>HYPERLINK("#G17",CHAR(128))</f>
        <v>€</v>
      </c>
    </row>
    <row r="18" spans="1:14" ht="17.2" customHeight="1" x14ac:dyDescent="0.3">
      <c r="A18" s="5"/>
      <c r="B18" s="30" t="s">
        <v>29</v>
      </c>
      <c r="C18" s="30"/>
      <c r="D18" s="30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4" ht="17.2" customHeight="1" x14ac:dyDescent="0.3">
      <c r="A19" s="2"/>
      <c r="B19" s="34" t="s">
        <v>30</v>
      </c>
      <c r="C19" s="34"/>
      <c r="D19" s="34"/>
      <c r="E19" s="1"/>
      <c r="F19" s="16">
        <v>1</v>
      </c>
      <c r="G19" s="4" t="s">
        <v>47</v>
      </c>
      <c r="H19" s="23" t="str">
        <f>HYPERLINK("#G19",CHAR(128))</f>
        <v>€</v>
      </c>
    </row>
    <row r="20" spans="1:14" ht="17.2" customHeight="1" x14ac:dyDescent="0.3">
      <c r="A20" s="5"/>
      <c r="B20" s="39"/>
      <c r="C20" s="40"/>
      <c r="D20" s="41"/>
      <c r="E20" s="4"/>
      <c r="F20" s="4"/>
      <c r="G20" s="4"/>
      <c r="H20" s="14"/>
    </row>
    <row r="21" spans="1:14" ht="14.4" x14ac:dyDescent="0.3">
      <c r="A21" s="2"/>
      <c r="B21" s="34" t="s">
        <v>33</v>
      </c>
      <c r="C21" s="34"/>
      <c r="D21" s="34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4" ht="14.4" x14ac:dyDescent="0.3">
      <c r="A22" s="5"/>
      <c r="B22" s="30" t="s">
        <v>31</v>
      </c>
      <c r="C22" s="30"/>
      <c r="D22" s="30"/>
      <c r="E22" s="4"/>
      <c r="F22" s="4">
        <v>1</v>
      </c>
      <c r="G22" s="4" t="s">
        <v>47</v>
      </c>
      <c r="H22" s="23" t="str">
        <f>HYPERLINK("#G22",CHAR(128))</f>
        <v>€</v>
      </c>
      <c r="N22" s="2"/>
    </row>
    <row r="23" spans="1:14" ht="14.4" x14ac:dyDescent="0.3">
      <c r="A23" s="2"/>
      <c r="B23" s="34" t="s">
        <v>51</v>
      </c>
      <c r="C23" s="34"/>
      <c r="D23" s="34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4" ht="14.4" x14ac:dyDescent="0.3">
      <c r="A24" s="5"/>
      <c r="B24" s="30" t="s">
        <v>32</v>
      </c>
      <c r="C24" s="30"/>
      <c r="D24" s="30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4" ht="14.4" x14ac:dyDescent="0.3">
      <c r="A25" s="2"/>
      <c r="B25" s="34"/>
      <c r="C25" s="34"/>
      <c r="D25" s="34"/>
      <c r="E25" s="1"/>
      <c r="F25" s="16"/>
      <c r="G25" s="4"/>
      <c r="H25" s="14"/>
      <c r="I25" s="12"/>
    </row>
    <row r="26" spans="1:14" ht="14.4" x14ac:dyDescent="0.3">
      <c r="A26" s="5"/>
      <c r="B26" s="30" t="s">
        <v>37</v>
      </c>
      <c r="C26" s="30"/>
      <c r="D26" s="30"/>
      <c r="E26" s="4">
        <f>C2</f>
        <v>0</v>
      </c>
      <c r="F26" s="4">
        <v>1</v>
      </c>
      <c r="G26" s="4" t="s">
        <v>47</v>
      </c>
      <c r="H26" s="24" t="str">
        <f>HYPERLINK("#G26",CHAR(128))</f>
        <v>€</v>
      </c>
    </row>
    <row r="28" spans="1:14" ht="14.4" x14ac:dyDescent="0.3">
      <c r="J28" s="18"/>
    </row>
    <row r="29" spans="1:14" ht="14.4" x14ac:dyDescent="0.3">
      <c r="A29" s="20"/>
      <c r="B29" s="33" t="s">
        <v>53</v>
      </c>
      <c r="C29" s="33"/>
      <c r="D29" s="33"/>
      <c r="E29" s="20" t="s">
        <v>8</v>
      </c>
      <c r="F29" s="20" t="s">
        <v>35</v>
      </c>
      <c r="G29" s="21" t="s">
        <v>36</v>
      </c>
    </row>
    <row r="30" spans="1:14" ht="14.4" x14ac:dyDescent="0.3">
      <c r="A30" s="3"/>
      <c r="B30" s="30"/>
      <c r="C30" s="30"/>
      <c r="D30" s="30"/>
      <c r="E30" s="4"/>
      <c r="F30" s="10">
        <v>1</v>
      </c>
      <c r="G30" s="17"/>
      <c r="H30" s="19" t="str">
        <f>HYPERLINK("#G30",CHAR(128))</f>
        <v>€</v>
      </c>
    </row>
    <row r="31" spans="1:14" ht="14.4" x14ac:dyDescent="0.3">
      <c r="A31" s="2"/>
      <c r="B31" s="34"/>
      <c r="C31" s="34"/>
      <c r="D31" s="34"/>
      <c r="E31" s="1"/>
      <c r="F31" s="16">
        <v>1</v>
      </c>
      <c r="G31" s="26"/>
      <c r="H31" s="19" t="str">
        <f>HYPERLINK("#G31",CHAR(128))</f>
        <v>€</v>
      </c>
    </row>
    <row r="32" spans="1:14" ht="14.4" x14ac:dyDescent="0.3">
      <c r="A32" s="3"/>
      <c r="B32" s="30"/>
      <c r="C32" s="30"/>
      <c r="D32" s="30"/>
      <c r="E32" s="4"/>
      <c r="F32" s="4">
        <v>1</v>
      </c>
      <c r="G32" s="27"/>
      <c r="H32" s="19" t="str">
        <f>HYPERLINK("#G32",CHAR(128))</f>
        <v>€</v>
      </c>
    </row>
    <row r="33" spans="1:8" ht="14.4" x14ac:dyDescent="0.3">
      <c r="A33" s="2"/>
      <c r="B33" s="34"/>
      <c r="C33" s="34"/>
      <c r="D33" s="34"/>
      <c r="E33" s="1"/>
      <c r="F33" s="16">
        <v>1</v>
      </c>
      <c r="G33" s="26"/>
      <c r="H33" s="19" t="str">
        <f>HYPERLINK("#G33",CHAR(128))</f>
        <v>€</v>
      </c>
    </row>
    <row r="34" spans="1:8" ht="14.4" x14ac:dyDescent="0.3">
      <c r="A34" s="3"/>
      <c r="B34" s="30"/>
      <c r="C34" s="30"/>
      <c r="D34" s="30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26">
    <cfRule type="cellIs" dxfId="15" priority="1" operator="equal">
      <formula>"Returned"</formula>
    </cfRule>
    <cfRule type="cellIs" dxfId="14" priority="11" operator="equal">
      <formula>"Ready To Order"</formula>
    </cfRule>
    <cfRule type="containsText" dxfId="13" priority="12" operator="containsText" text="UNP">
      <formula>NOT(ISERROR(SEARCH("UNP",G6)))</formula>
    </cfRule>
    <cfRule type="containsText" dxfId="12" priority="13" operator="containsText" text="Ordered">
      <formula>NOT(ISERROR(SEARCH("Ordered",G6)))</formula>
    </cfRule>
    <cfRule type="containsText" dxfId="11" priority="14" operator="containsText" text="Pick Up">
      <formula>NOT(ISERROR(SEARCH("Pick Up",G6)))</formula>
    </cfRule>
    <cfRule type="containsText" dxfId="10" priority="15" operator="containsText" text="Complete">
      <formula>NOT(ISERROR(SEARCH("Complete",G6)))</formula>
    </cfRule>
  </conditionalFormatting>
  <conditionalFormatting sqref="G30:G33">
    <cfRule type="containsText" dxfId="9" priority="3" operator="containsText" text="Given">
      <formula>NOT(ISERROR(SEARCH("Given",G30)))</formula>
    </cfRule>
  </conditionalFormatting>
  <conditionalFormatting sqref="G30:G34">
    <cfRule type="containsText" dxfId="8" priority="2" operator="containsText" text="Returned">
      <formula>NOT(ISERROR(SEARCH("Returned",G30)))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6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Menu</vt:lpstr>
      <vt:lpstr>Importing</vt:lpstr>
      <vt:lpstr>Henry_Smith_AB6D98A0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dcterms:created xsi:type="dcterms:W3CDTF">2023-08-20T19:28:09Z</dcterms:created>
  <dcterms:modified xsi:type="dcterms:W3CDTF">2023-10-03T05:55:57Z</dcterms:modified>
</cp:coreProperties>
</file>