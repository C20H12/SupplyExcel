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1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B4D1A8B6-86B4-42AD-B920-9E3CE2476BAC}" xr6:coauthVersionLast="47" xr6:coauthVersionMax="47" xr10:uidLastSave="{00000000-0000-0000-0000-000000000000}"/>
  <bookViews>
    <workbookView xWindow="-98" yWindow="-98" windowWidth="21795" windowHeight="13875" tabRatio="856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Rachel_Jackson_5A48B180" sheetId="182" r:id="rId8"/>
    <sheet name="Xavier_Garcia_4E4690B1" sheetId="183" r:id="rId9"/>
    <sheet name="Taylor_Thomas_1D7B208C" sheetId="184" r:id="rId10"/>
    <sheet name="Template" sheetId="1" r:id="rId11"/>
  </sheets>
  <functionGroups builtInGroupCount="19"/>
  <externalReferences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4" l="1"/>
  <c r="H33" i="184"/>
  <c r="H32" i="184"/>
  <c r="H31" i="184"/>
  <c r="H30" i="184"/>
  <c r="H26" i="184"/>
  <c r="E26" i="184"/>
  <c r="H24" i="184"/>
  <c r="H23" i="184"/>
  <c r="H22" i="184"/>
  <c r="H21" i="184"/>
  <c r="H19" i="184"/>
  <c r="H18" i="184"/>
  <c r="H17" i="184"/>
  <c r="H16" i="184"/>
  <c r="H14" i="184"/>
  <c r="H13" i="184"/>
  <c r="H12" i="184"/>
  <c r="H11" i="184"/>
  <c r="H10" i="184"/>
  <c r="H9" i="184"/>
  <c r="H8" i="184"/>
  <c r="H7" i="184"/>
  <c r="H6" i="184"/>
  <c r="H34" i="183"/>
  <c r="H33" i="183"/>
  <c r="H32" i="183"/>
  <c r="H31" i="183"/>
  <c r="H30" i="183"/>
  <c r="H26" i="183"/>
  <c r="E26" i="183"/>
  <c r="H24" i="183"/>
  <c r="H23" i="183"/>
  <c r="H22" i="183"/>
  <c r="H21" i="183"/>
  <c r="H19" i="183"/>
  <c r="H18" i="183"/>
  <c r="H17" i="183"/>
  <c r="H16" i="183"/>
  <c r="H14" i="183"/>
  <c r="H13" i="183"/>
  <c r="H12" i="183"/>
  <c r="H11" i="183"/>
  <c r="H10" i="183"/>
  <c r="H9" i="183"/>
  <c r="H8" i="183"/>
  <c r="H7" i="183"/>
  <c r="H6" i="183"/>
  <c r="H34" i="182"/>
  <c r="H33" i="182"/>
  <c r="H32" i="182"/>
  <c r="H31" i="182"/>
  <c r="H30" i="182"/>
  <c r="H26" i="182"/>
  <c r="E26" i="182"/>
  <c r="H24" i="182"/>
  <c r="H23" i="182"/>
  <c r="H22" i="182"/>
  <c r="H21" i="182"/>
  <c r="H19" i="182"/>
  <c r="H18" i="182"/>
  <c r="H17" i="182"/>
  <c r="H16" i="182"/>
  <c r="H14" i="182"/>
  <c r="H13" i="182"/>
  <c r="H12" i="182"/>
  <c r="H11" i="182"/>
  <c r="H10" i="182"/>
  <c r="H9" i="182"/>
  <c r="H8" i="182"/>
  <c r="H7" i="182"/>
  <c r="H6" i="182"/>
  <c r="H34" i="180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<sst xmlns="http://schemas.openxmlformats.org/spreadsheetml/2006/main" count="813" uniqueCount="194">
  <si>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</si>
  <si>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</si>
  <si>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</si>
  <si>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</si>
  <si>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</si>
  <si>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</si>
  <si>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</si>
  <si>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</si>
  <si>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</si>
  <si>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</si>
  <si>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</si>
  <si>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</si>
  <si>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</si>
  <si>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</si>
  <si>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</si>
  <si>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</si>
  <si>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</si>
  <si>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</si>
  <si>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</si>
  <si>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</si>
  <si>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</si>
  <si>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</si>
  <si>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</si>
  <si>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</si>
  <si>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</si>
  <si>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</si>
  <si>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</si>
  <si>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</si>
  <si>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</si>
  <si>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</si>
  <si>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</si>
  <si>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</si>
  <si>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</si>
  <si>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</si>
  <si>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</si>
  <si>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</si>
  <si>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</si>
  <si>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</si>
  <si>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</si>
  <si>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</si>
  <si>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</si>
  <si>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</si>
  <si>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</si>
  <si>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</si>
  <si>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</si>
  <si>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</si>
  <si>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</si>
  <si>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</si>
  <si>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</si>
  <si>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</si>
  <si>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</si>
  <si>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</si>
  <si>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</si>
  <si>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</si>
  <si>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</si>
  <si>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</si>
  <si>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</si>
  <si>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</si>
  <si>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</si>
  <si>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</si>
  <si>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</si>
  <si>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</si>
  <si>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</si>
  <si>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</si>
  <si>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</si>
  <si>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</si>
  <si>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</si>
  <si>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</si>
  <si>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</si>
  <si>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</si>
  <si>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</si>
  <si>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</si>
  <si>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</si>
  <si>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</si>
  <si>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</si>
  <si>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</si>
  <si>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</si>
  <si>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</si>
  <si>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</si>
  <si>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</si>
  <si>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</si>
  <si>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</si>
  <si>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</si>
  <si>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</si>
  <si>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</si>
  <si>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</si>
  <si>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</si>
  <si>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</si>
  <si>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</si>
  <si>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</si>
  <si>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</si>
  <si>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</si>
  <si>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</si>
  <si>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</si>
  <si>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</si>
  <si>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</si>
  <si>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</si>
  <si>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</si>
  <si>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</si>
  <si>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</si>
  <si>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</si>
  <si>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</si>
  <si>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</si>
  <si>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</si>
  <si>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</si>
  <si>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</si>
  <si>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</si>
  <si>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</si>
  <si>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</si>
  <si>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</si>
  <si>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</si>
  <si>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</si>
  <si>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</si>
  <si>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</si>
  <si>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</si>
  <si>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</si>
  <si>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</si>
  <si>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</si>
  <si>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</si>
  <si>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</si>
  <si>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</si>
  <si>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</si>
  <si>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</si>
  <si>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</si>
  <si>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</si>
  <si>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</si>
  <si>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</si>
  <si>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</si>
  <si>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</si>
  <si>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</si>
  <si>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</si>
  <si>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</si>
  <si>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</si>
  <si>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</si>
  <si>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</si>
  <si>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</si>
  <si>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</si>
  <si>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</si>
  <si>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</si>
  <si>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</si>
  <si>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</si>
  <si>
    <t>Name</t>
  </si>
  <si>
    <t>Complete</t>
  </si>
  <si>
    <t>In Stock</t>
  </si>
  <si>
    <t>8405-21-920-7277</t>
  </si>
  <si>
    <t xml:space="preserve"> </t>
  </si>
  <si>
    <t>Jackson</t>
  </si>
  <si>
    <t>Rachel</t>
  </si>
  <si>
    <t>5A48B180</t>
  </si>
  <si>
    <t>8405-21-910-8156</t>
  </si>
  <si>
    <t>8420-20-001-0734</t>
  </si>
  <si>
    <t>7356 (H66-1/2)</t>
  </si>
  <si>
    <t>1000-21-198-7356</t>
  </si>
  <si>
    <t>8405-20-003-5842</t>
  </si>
  <si>
    <t>L (56 inch)</t>
  </si>
  <si>
    <t>305/116</t>
  </si>
  <si>
    <t>8430-20-006-2567</t>
  </si>
  <si>
    <t>8405-21-920-7279</t>
  </si>
  <si>
    <t>(S/M - P/M)</t>
  </si>
  <si>
    <t>8415-20-006-8916</t>
  </si>
  <si>
    <t>8405-20-013-1472</t>
  </si>
  <si>
    <t>8405-20-004-7493</t>
  </si>
  <si>
    <t>Old Size</t>
  </si>
  <si>
    <t xml:space="preserve">New Size </t>
  </si>
  <si>
    <t>`</t>
  </si>
  <si>
    <t>Garcia</t>
  </si>
  <si>
    <t>Xavier</t>
  </si>
  <si>
    <t>4E4690B1</t>
  </si>
  <si>
    <t>1000-21-059-7056</t>
  </si>
  <si>
    <t>1000-21-316-1900</t>
  </si>
  <si>
    <t>1000-21-070-6458</t>
  </si>
  <si>
    <t>8405-20-003-5841</t>
  </si>
  <si>
    <t>XL</t>
  </si>
  <si>
    <t>1000-21-215-7652</t>
  </si>
  <si>
    <t>285/104</t>
  </si>
  <si>
    <t>8430-20-006-2554</t>
  </si>
  <si>
    <t>(XS / TP)</t>
  </si>
  <si>
    <t>1001-21-154-2000</t>
  </si>
  <si>
    <t>8405-20-013-1471</t>
  </si>
  <si>
    <t>8405-20-004-7512</t>
  </si>
  <si>
    <t>11.5D</t>
  </si>
  <si>
    <t>8430-20-A0X-9208</t>
  </si>
  <si>
    <t>Thomas</t>
  </si>
  <si>
    <t>1D7B208C</t>
  </si>
  <si>
    <t>1000-21-059-8058</t>
  </si>
  <si>
    <t>1000-21-070-8062</t>
  </si>
  <si>
    <t>8405-20-003-5848</t>
  </si>
  <si>
    <t>S/P</t>
  </si>
  <si>
    <t>8440-20-006-6071</t>
  </si>
  <si>
    <t>310/122</t>
  </si>
  <si>
    <t>8430-20-006-2568</t>
  </si>
  <si>
    <t>8405-20-013-1478</t>
  </si>
  <si>
    <t>8405-20-004-7521</t>
  </si>
  <si>
    <t>S.O.S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</si>
</sst>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12" fillId="10" borderId="13" xfId="0" applyFont="1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/>
    </xf>
    <xf numFmtId="14" fontId="0" fillId="11" borderId="4" xfId="0" applyNumberForma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1" fontId="0" fillId="0" borderId="9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91"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7575"/>
        </patternFill>
      </fill>
    </dxf>
    <dxf>
      <fill>
        <patternFill>
          <bgColor rgb="FF92D050"/>
        </patternFill>
      </fill>
    </dxf>
    <dxf>
      <fill>
        <patternFill>
          <bgColor rgb="FFF6F66A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6FF9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6FF99"/>
      <color rgb="FFC39BE1"/>
      <color rgb="FF70AE8C"/>
      <color rgb="FFDAA100"/>
      <color rgb="FF03E4DF"/>
      <color rgb="FF699BFF"/>
      <color rgb="FFFB873F"/>
      <color rgb="FFFF7575"/>
      <color rgb="FFF6F66A"/>
      <color rgb="FFFF93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485775</xdr:colOff>
          <xdr:row>0</xdr:row>
          <xdr:rowOff>481013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0</xdr:rowOff>
        </xdr:from>
        <xdr:to>
          <xdr:col>12</xdr:col>
          <xdr:colOff>523875</xdr:colOff>
          <xdr:row>0</xdr:row>
          <xdr:rowOff>471488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176213</xdr:colOff>
          <xdr:row>0</xdr:row>
          <xdr:rowOff>481013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0</xdr:row>
          <xdr:rowOff>0</xdr:rowOff>
        </xdr:from>
        <xdr:to>
          <xdr:col>15</xdr:col>
          <xdr:colOff>257175</xdr:colOff>
          <xdr:row>0</xdr:row>
          <xdr:rowOff>481013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395288</xdr:colOff>
          <xdr:row>0</xdr:row>
          <xdr:rowOff>128588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71438</xdr:rowOff>
        </xdr:from>
        <xdr:to>
          <xdr:col>22</xdr:col>
          <xdr:colOff>500063</xdr:colOff>
          <xdr:row>0</xdr:row>
          <xdr:rowOff>442913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152400</xdr:rowOff>
        </xdr:from>
        <xdr:to>
          <xdr:col>12</xdr:col>
          <xdr:colOff>9525</xdr:colOff>
          <xdr:row>33</xdr:row>
          <xdr:rowOff>152400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07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07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9987" name="Button 3" hidden="1">
              <a:extLst>
                <a:ext uri="{63B3BB69-23CF-44E3-9099-C40C66FF867C}">
                  <a14:compatExt spid="_x0000_s169987"/>
                </a:ext>
                <a:ext uri="{FF2B5EF4-FFF2-40B4-BE49-F238E27FC236}">
                  <a16:creationId xmlns:a16="http://schemas.microsoft.com/office/drawing/2014/main" id="{00000000-0008-0000-0700-000003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69988" name="Button 4" hidden="1">
              <a:extLst>
                <a:ext uri="{63B3BB69-23CF-44E3-9099-C40C66FF867C}">
                  <a14:compatExt spid="_x0000_s169988"/>
                </a:ext>
                <a:ext uri="{FF2B5EF4-FFF2-40B4-BE49-F238E27FC236}">
                  <a16:creationId xmlns:a16="http://schemas.microsoft.com/office/drawing/2014/main" id="{00000000-0008-0000-0700-000004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3112D725-CFDD-42CC-B94A-4E8091EA7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507CF368-CD71-4451-B25E-DF4ED5839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72035" name="Button 3" hidden="1">
              <a:extLst>
                <a:ext uri="{63B3BB69-23CF-44E3-9099-C40C66FF867C}">
                  <a14:compatExt spid="_x0000_s172035"/>
                </a:ext>
                <a:ext uri="{FF2B5EF4-FFF2-40B4-BE49-F238E27FC236}">
                  <a16:creationId xmlns:a16="http://schemas.microsoft.com/office/drawing/2014/main" id="{85C839EE-3C95-4454-B291-09437C8C9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172036" name="Button 4" hidden="1">
              <a:extLst>
                <a:ext uri="{63B3BB69-23CF-44E3-9099-C40C66FF867C}">
                  <a14:compatExt spid="_x0000_s172036"/>
                </a:ext>
                <a:ext uri="{FF2B5EF4-FFF2-40B4-BE49-F238E27FC236}">
                  <a16:creationId xmlns:a16="http://schemas.microsoft.com/office/drawing/2014/main" id="{EF434FDB-B7C8-49B9-BF2E-D618EF090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72037" name="Button 5" hidden="1">
              <a:extLst>
                <a:ext uri="{63B3BB69-23CF-44E3-9099-C40C66FF867C}">
                  <a14:compatExt spid="_x0000_s172037"/>
                </a:ext>
                <a:ext uri="{FF2B5EF4-FFF2-40B4-BE49-F238E27FC236}">
                  <a16:creationId xmlns:a16="http://schemas.microsoft.com/office/drawing/2014/main" id="{3F72E9B1-29CA-4E01-B066-42FBF6BAB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46DD57D-3B79-4B1A-9C3E-D8E1C04E3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EC7F22B-8204-4A18-A3A4-F4604122B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9D8F94FA-952D-4675-969F-DE2E516D0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68240B17-29CD-4CAE-8DC1-2A19AE23D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CCBE5AA9-773D-4F26-B7D9-7D434E86A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8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204788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8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8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8F9D75FF-6157-4622-806B-8666B6E48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5346FE39-3833-4207-98E8-519615C02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rvi\Desktop\projects\SupplyExcel\Supply_2.0_v_0.1.2.3.xlsm%20(1).xlsm" TargetMode="External"/><Relationship Id="rId1" Type="http://schemas.openxmlformats.org/officeDocument/2006/relationships/externalLinkPath" Target="Supply_2.0_v_0.1.2.3.xlsm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Importing"/>
      <sheetName val="Pickup"/>
      <sheetName val="Henry_Smith_AB6D98A0"/>
      <sheetName val="Alice_Robinson_AB7A73BD"/>
      <sheetName val="Liam_Robinson_FD0E829E"/>
      <sheetName val="Taylor_White_0556E08D"/>
      <sheetName val="Frank_Smith_31E069A4"/>
      <sheetName val="john_ignoroff_906C05B3"/>
      <sheetName val="john_ignoroff_1BEDFCB3"/>
      <sheetName val="Template"/>
    </sheetNames>
    <definedNames>
      <definedName name="MarkAsSOS"/>
      <definedName name="terminat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0" totalsRowShown="0" headerRowDxfId="90" dataDxfId="88" headerRowBorderDxfId="89" tableBorderDxfId="87" totalsRowBorderDxfId="86" headerRowCellStyle="60% - Accent5">
  <autoFilter ref="A1:E10" xr:uid="{7E3155DF-3CB2-4063-8346-D3006162EB2E}"/>
  <sortState xmlns:xlrd2="http://schemas.microsoft.com/office/spreadsheetml/2017/richdata2" ref="A2:E10">
    <sortCondition ref="A1:A10"/>
  </sortState>
  <tableColumns count="5">
    <tableColumn id="1" xr3:uid="{4A3C96D4-74F9-46DA-B54B-0CD347E35136}" name="Surname" dataDxfId="85" dataCellStyle="Hyperlink"/>
    <tableColumn id="2" xr3:uid="{2B90B92F-5F96-4EDA-9BBB-0E797162ECC4}" name="First Name" dataDxfId="84" dataCellStyle="Hyperlink"/>
    <tableColumn id="8" xr3:uid="{CFE0A41F-FE26-4CF3-BAA8-F6CEC7B006D4}" name="Status" dataDxfId="83" dataCellStyle="Hyperlink"/>
    <tableColumn id="3" xr3:uid="{EBBDE5FC-4AD9-4996-A6CE-25D9B52D4D03}" name="Date" dataDxfId="82"/>
    <tableColumn id="4" xr3:uid="{854BBB0E-E50E-4F6C-90CC-6180E0CE5D32}" name="ID" dataDxfId="8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0"/>
  <sheetViews>
    <sheetView tabSelected="1" workbookViewId="0">
      <selection activeCell="F10" sqref="F10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15" ht="43.8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145</v>
      </c>
    </row>
    <row r="2" spans="1:15" x14ac:dyDescent="0.45">
      <c r="A2" s="32" t="s">
        <v>165</v>
      </c>
      <c r="B2" s="30" t="s">
        <v>166</v>
      </c>
      <c r="C2" s="31" t="s">
        <v>47</v>
      </c>
      <c r="D2" s="56">
        <v>45287.606099537035</v>
      </c>
      <c r="E2" s="58" t="s">
        <v>167</v>
      </c>
    </row>
    <row r="3" spans="1:15" x14ac:dyDescent="0.45">
      <c r="A3" s="32" t="s">
        <v>146</v>
      </c>
      <c r="B3" s="30" t="s">
        <v>147</v>
      </c>
      <c r="C3" s="31" t="s">
        <v>47</v>
      </c>
      <c r="D3" s="33">
        <v>45286.70579861111</v>
      </c>
      <c r="E3" s="34" t="s">
        <v>148</v>
      </c>
    </row>
    <row r="4" spans="1:15" x14ac:dyDescent="0.45">
      <c r="A4" s="32" t="s">
        <v>86</v>
      </c>
      <c r="B4" s="30" t="s">
        <v>87</v>
      </c>
      <c r="C4" s="31" t="s">
        <v>47</v>
      </c>
      <c r="D4" s="33">
        <v>45263.695231481484</v>
      </c>
      <c r="E4" s="34" t="s">
        <v>88</v>
      </c>
    </row>
    <row r="5" spans="1:15" x14ac:dyDescent="0.45">
      <c r="A5" s="32" t="s">
        <v>86</v>
      </c>
      <c r="B5" s="30" t="s">
        <v>102</v>
      </c>
      <c r="C5" s="31" t="s">
        <v>47</v>
      </c>
      <c r="D5" s="33">
        <v>45263.695451388892</v>
      </c>
      <c r="E5" s="34" t="s">
        <v>103</v>
      </c>
    </row>
    <row r="6" spans="1:15" x14ac:dyDescent="0.45">
      <c r="A6" s="32" t="s">
        <v>62</v>
      </c>
      <c r="B6" s="30" t="s">
        <v>70</v>
      </c>
      <c r="C6" s="31" t="s">
        <v>47</v>
      </c>
      <c r="D6" s="33">
        <v>45201.988206018519</v>
      </c>
      <c r="E6" s="34" t="s">
        <v>71</v>
      </c>
    </row>
    <row r="7" spans="1:15" x14ac:dyDescent="0.45">
      <c r="A7" s="32" t="s">
        <v>182</v>
      </c>
      <c r="B7" s="30" t="s">
        <v>123</v>
      </c>
      <c r="C7" s="31" t="s">
        <v>193</v>
      </c>
      <c r="D7" s="56">
        <v>45287.609224537038</v>
      </c>
      <c r="E7" s="57" t="s">
        <v>183</v>
      </c>
    </row>
    <row r="8" spans="1:15" x14ac:dyDescent="0.45">
      <c r="A8" s="32" t="s">
        <v>122</v>
      </c>
      <c r="B8" s="30" t="s">
        <v>123</v>
      </c>
      <c r="C8" s="31" t="s">
        <v>47</v>
      </c>
      <c r="D8" s="33">
        <v>45263.701226851852</v>
      </c>
      <c r="E8" s="34" t="s">
        <v>124</v>
      </c>
    </row>
    <row r="9" spans="1:15" x14ac:dyDescent="0.45">
      <c r="A9" s="32"/>
      <c r="B9" s="30"/>
      <c r="C9" s="31"/>
      <c r="D9" s="33"/>
      <c r="E9" s="34"/>
    </row>
    <row r="10" spans="1:15" x14ac:dyDescent="0.45">
      <c r="A10" s="32"/>
      <c r="B10" s="30"/>
      <c r="C10" s="31"/>
      <c r="D10" s="33"/>
      <c r="E10" s="34"/>
    </row>
  </sheetData>
  <conditionalFormatting sqref="C2:C10">
    <cfRule type="containsText" dxfId="7" priority="2" operator="containsText" text="UNP">
      <formula>NOT(ISERROR(SEARCH("UNP",C2)))</formula>
    </cfRule>
    <cfRule type="containsText" dxfId="8" priority="3" operator="containsText" text="Pick Up">
      <formula>NOT(ISERROR(SEARCH("Pick Up",C2)))</formula>
    </cfRule>
    <cfRule type="cellIs" dxfId="9" priority="8" operator="equal">
      <formula>"Ready To Order"</formula>
    </cfRule>
    <cfRule type="containsText" dxfId="10" priority="9" operator="containsText" text="Ordered">
      <formula>NOT(ISERROR(SEARCH("Ordered",C2)))</formula>
    </cfRule>
    <cfRule type="containsText" dxfId="11" priority="10" operator="containsText" text="Complete">
      <formula>NOT(ISERROR(SEARCH("Complete",C2)))</formula>
    </cfRule>
    <cfRule type="cellIs" dxfId="12" priority="11" operator="equal">
      <formula>"Returned"</formula>
    </cfRule>
    <cfRule type="cellIs" dxfId="6" priority="1" operator="equal">
      <formula>"S.O.S"</formula>
    </cfRule>
  </conditionalFormatting>
  <hyperlinks>
    <hyperlink ref="A6" location="'Henry_Smith_AB6D98A0'!A1" display="Smith" xr:uid="{F0491C2D-9026-45AA-BDE6-9C7BDC7799B0}"/>
    <hyperlink ref="A4" location="'Alice_Robinson_AB7A73BD'!A1" display="Robinson" xr:uid="{1BF412B7-D95B-4B05-BB50-2AF2D53F7E87}"/>
    <hyperlink ref="A5" location="'Liam_Robinson_FD0E829E'!A1" display="Robinson" xr:uid="{59E2DE7E-42B1-4A2F-8807-32153C3DB157}"/>
    <hyperlink ref="A8" location="'Taylor_White_0556E08D'!A1" display="White" xr:uid="{8036E8A5-CB76-4F77-9574-3F69FE4BE62B}"/>
    <hyperlink ref="A3" location="'Rachel_Jackson_5A48B180'!A1" display="Jackson" xr:uid="{DBA4279C-D058-4B3C-AC6D-8730F6D96255}"/>
    <hyperlink ref="A2" location="'Xavier_Garcia_4E4690B1'!A1" display="Garcia" xr:uid="{B77625B2-0591-4F1D-B628-C3DE4C0AD17C}"/>
    <hyperlink ref="A7" location="'Taylor_Thomas_1D7B208C'!A1" display="Thomas" xr:uid="{1F5CF6FA-9DBF-44EA-BE29-FA487C97392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485775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352425</xdr:colOff>
                    <xdr:row>0</xdr:row>
                    <xdr:rowOff>0</xdr:rowOff>
                  </from>
                  <to>
                    <xdr:col>12</xdr:col>
                    <xdr:colOff>523875</xdr:colOff>
                    <xdr:row>0</xdr:row>
                    <xdr:rowOff>471488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176213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85725</xdr:colOff>
                    <xdr:row>0</xdr:row>
                    <xdr:rowOff>0</xdr:rowOff>
                  </from>
                  <to>
                    <xdr:col>15</xdr:col>
                    <xdr:colOff>257175</xdr:colOff>
                    <xdr:row>0</xdr:row>
                    <xdr:rowOff>481013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25" x14ac:dyDescent="0.45"/>
  <sheetData>
    <row r="1" spans="1:13" ht="38" customHeight="1" x14ac:dyDescent="0.45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395288</xdr:colOff>
                    <xdr:row>0</xdr:row>
                    <xdr:rowOff>128588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1"/>
  <sheetViews>
    <sheetView workbookViewId="0">
      <selection activeCell="D13" sqref="D13"/>
    </sheetView>
  </sheetViews>
  <sheetFormatPr defaultRowHeight="14.25" x14ac:dyDescent="0.45"/>
  <cols>
    <col min="1" max="1" width="30.6640625" customWidth="1"/>
    <col min="3" max="3" width="10.86328125" customWidth="1"/>
    <col min="4" max="4" width="12.19921875" customWidth="1"/>
    <col min="5" max="5" width="13.86328125" customWidth="1"/>
    <col min="7" max="7" width="12.46484375" customWidth="1"/>
    <col min="10" max="10" width="12" customWidth="1"/>
    <col min="14" max="14" width="11.796875" customWidth="1"/>
    <col min="15" max="15" width="14.1328125" customWidth="1"/>
  </cols>
  <sheetData>
    <row r="1" spans="1:24" ht="41.65" customHeight="1" x14ac:dyDescent="0.45">
      <c r="A1" s="36" t="s">
        <v>141</v>
      </c>
      <c r="B1" s="36" t="s">
        <v>18</v>
      </c>
      <c r="C1" s="36" t="s">
        <v>21</v>
      </c>
      <c r="D1" s="36" t="s">
        <v>19</v>
      </c>
      <c r="E1" s="36" t="s">
        <v>20</v>
      </c>
      <c r="F1" s="36" t="s">
        <v>24</v>
      </c>
      <c r="G1" s="36" t="s">
        <v>23</v>
      </c>
      <c r="H1" s="36" t="s">
        <v>25</v>
      </c>
      <c r="I1" s="36" t="s">
        <v>26</v>
      </c>
      <c r="J1" s="36" t="s">
        <v>27</v>
      </c>
      <c r="K1" s="36"/>
      <c r="L1" s="36" t="s">
        <v>28</v>
      </c>
      <c r="M1" s="36" t="s">
        <v>22</v>
      </c>
      <c r="N1" s="36" t="s">
        <v>29</v>
      </c>
      <c r="O1" s="36" t="s">
        <v>30</v>
      </c>
      <c r="P1" s="36"/>
      <c r="Q1" s="36" t="s">
        <v>33</v>
      </c>
      <c r="R1" s="36" t="s">
        <v>31</v>
      </c>
      <c r="S1" s="36" t="s">
        <v>50</v>
      </c>
      <c r="T1" s="36" t="s">
        <v>32</v>
      </c>
      <c r="U1" s="36"/>
      <c r="V1" s="36"/>
      <c r="W1" s="36"/>
      <c r="X1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3" name="Button 33">
              <controlPr defaultSize="0" print="0" autoFill="0" autoPict="0" macro="[0]!pickup">
                <anchor moveWithCells="1" sizeWithCells="1">
                  <from>
                    <xdr:col>20</xdr:col>
                    <xdr:colOff>66675</xdr:colOff>
                    <xdr:row>0</xdr:row>
                    <xdr:rowOff>71438</xdr:rowOff>
                  </from>
                  <to>
                    <xdr:col>22</xdr:col>
                    <xdr:colOff>500063</xdr:colOff>
                    <xdr:row>0</xdr:row>
                    <xdr:rowOff>442913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O34"/>
  <sheetViews>
    <sheetView workbookViewId="0">
      <selection activeCell="G12" sqref="G12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5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  <c r="N1">
        <v>222221</v>
      </c>
    </row>
    <row r="2" spans="1:15" x14ac:dyDescent="0.45">
      <c r="A2" s="39"/>
      <c r="B2" s="2" t="s">
        <v>43</v>
      </c>
      <c r="C2" s="41" t="s">
        <v>62</v>
      </c>
      <c r="D2" s="41"/>
      <c r="E2" s="41" t="s">
        <v>70</v>
      </c>
      <c r="F2" s="41"/>
      <c r="G2" s="1" t="s">
        <v>71</v>
      </c>
      <c r="K2" s="4" t="s">
        <v>9</v>
      </c>
      <c r="L2" s="4">
        <v>19.3</v>
      </c>
      <c r="O2">
        <v>222</v>
      </c>
    </row>
    <row r="3" spans="1:15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>
        <v>13.3</v>
      </c>
    </row>
    <row r="4" spans="1:15" x14ac:dyDescent="0.45">
      <c r="A4" s="1" t="s">
        <v>39</v>
      </c>
      <c r="B4" s="45">
        <v>3727638738</v>
      </c>
      <c r="C4" s="45"/>
      <c r="D4" s="45"/>
      <c r="E4" s="41" t="s">
        <v>58</v>
      </c>
      <c r="F4" s="41"/>
      <c r="G4" s="1" t="s">
        <v>44</v>
      </c>
      <c r="K4" s="4" t="s">
        <v>12</v>
      </c>
      <c r="L4" s="4">
        <v>61.4</v>
      </c>
    </row>
    <row r="5" spans="1:15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5" x14ac:dyDescent="0.45">
      <c r="A6" s="3" t="s">
        <v>72</v>
      </c>
      <c r="B6" s="37" t="s">
        <v>18</v>
      </c>
      <c r="C6" s="37"/>
      <c r="D6" s="37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5" x14ac:dyDescent="0.45">
      <c r="A7" s="2" t="s">
        <v>73</v>
      </c>
      <c r="B7" s="41" t="s">
        <v>21</v>
      </c>
      <c r="C7" s="41"/>
      <c r="D7" s="41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5" x14ac:dyDescent="0.45">
      <c r="A8" s="3" t="s">
        <v>81</v>
      </c>
      <c r="B8" s="37" t="s">
        <v>19</v>
      </c>
      <c r="C8" s="37"/>
      <c r="D8" s="37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5" x14ac:dyDescent="0.45">
      <c r="A9" s="2" t="s">
        <v>74</v>
      </c>
      <c r="B9" s="41" t="s">
        <v>20</v>
      </c>
      <c r="C9" s="41"/>
      <c r="D9" s="41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5" x14ac:dyDescent="0.45">
      <c r="A10" s="3" t="s">
        <v>60</v>
      </c>
      <c r="B10" s="37" t="s">
        <v>24</v>
      </c>
      <c r="C10" s="37"/>
      <c r="D10" s="37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5" x14ac:dyDescent="0.45">
      <c r="A11" s="2" t="s">
        <v>57</v>
      </c>
      <c r="B11" s="41" t="s">
        <v>23</v>
      </c>
      <c r="C11" s="41"/>
      <c r="D11" s="41"/>
      <c r="E11" s="1" t="s">
        <v>56</v>
      </c>
      <c r="F11" s="16">
        <v>1</v>
      </c>
      <c r="G11" s="4" t="s">
        <v>142</v>
      </c>
      <c r="H11" s="28" t="str">
        <f>HYPERLINK("#G11",CHAR(128))</f>
        <v>€</v>
      </c>
    </row>
    <row r="12" spans="1:15" x14ac:dyDescent="0.45">
      <c r="A12" s="5" t="s">
        <v>69</v>
      </c>
      <c r="B12" s="37" t="s">
        <v>25</v>
      </c>
      <c r="C12" s="37"/>
      <c r="D12" s="37"/>
      <c r="E12" s="4" t="s">
        <v>68</v>
      </c>
      <c r="F12" s="4">
        <v>1</v>
      </c>
      <c r="G12" s="4" t="s">
        <v>142</v>
      </c>
      <c r="H12" s="28" t="str">
        <f>HYPERLINK("#G12",CHAR(128))</f>
        <v>€</v>
      </c>
    </row>
    <row r="13" spans="1:15" x14ac:dyDescent="0.45">
      <c r="A13" s="2" t="s">
        <v>55</v>
      </c>
      <c r="B13" s="41" t="s">
        <v>26</v>
      </c>
      <c r="C13" s="41"/>
      <c r="D13" s="4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5" x14ac:dyDescent="0.45">
      <c r="A14" s="5" t="s">
        <v>59</v>
      </c>
      <c r="B14" s="37" t="s">
        <v>27</v>
      </c>
      <c r="C14" s="37"/>
      <c r="D14" s="37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5" x14ac:dyDescent="0.45">
      <c r="A15" s="2"/>
      <c r="B15" s="49"/>
      <c r="C15" s="49"/>
      <c r="D15" s="49"/>
      <c r="E15" s="1"/>
      <c r="F15" s="16"/>
      <c r="G15" s="4"/>
      <c r="H15" s="14"/>
    </row>
    <row r="16" spans="1:15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41" t="s">
        <v>22</v>
      </c>
      <c r="C17" s="41"/>
      <c r="D17" s="41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79</v>
      </c>
      <c r="B18" s="37" t="s">
        <v>29</v>
      </c>
      <c r="C18" s="37"/>
      <c r="D18" s="37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41" t="s">
        <v>30</v>
      </c>
      <c r="C19" s="41"/>
      <c r="D19" s="41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6"/>
      <c r="C20" s="47"/>
      <c r="D20" s="48"/>
      <c r="E20" s="4"/>
      <c r="F20" s="4"/>
      <c r="G20" s="4"/>
      <c r="H20" s="14"/>
    </row>
    <row r="21" spans="1:10" x14ac:dyDescent="0.45">
      <c r="A21" s="2" t="s">
        <v>77</v>
      </c>
      <c r="B21" s="41" t="s">
        <v>33</v>
      </c>
      <c r="C21" s="41"/>
      <c r="D21" s="41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78</v>
      </c>
      <c r="B22" s="37" t="s">
        <v>31</v>
      </c>
      <c r="C22" s="37"/>
      <c r="D22" s="37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82</v>
      </c>
      <c r="B23" s="41" t="s">
        <v>50</v>
      </c>
      <c r="C23" s="41"/>
      <c r="D23" s="41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84</v>
      </c>
      <c r="B24" s="37" t="s">
        <v>32</v>
      </c>
      <c r="C24" s="37"/>
      <c r="D24" s="37"/>
      <c r="E24" s="4" t="s">
        <v>83</v>
      </c>
      <c r="F24" s="4">
        <v>1</v>
      </c>
      <c r="G24" s="4" t="s">
        <v>142</v>
      </c>
      <c r="H24" s="22" t="str">
        <f>HYPERLINK("#G24",CHAR(128))</f>
        <v>€</v>
      </c>
    </row>
    <row r="25" spans="1:10" x14ac:dyDescent="0.45">
      <c r="A25" s="2"/>
      <c r="B25" s="41"/>
      <c r="C25" s="41"/>
      <c r="D25" s="41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80" priority="1" operator="equal">
      <formula>"Returned"</formula>
    </cfRule>
    <cfRule type="cellIs" dxfId="79" priority="4" operator="equal">
      <formula>"Ready To Order"</formula>
    </cfRule>
    <cfRule type="containsText" dxfId="78" priority="5" operator="containsText" text="UNP">
      <formula>NOT(ISERROR(SEARCH("UNP",G6)))</formula>
    </cfRule>
    <cfRule type="containsText" dxfId="77" priority="6" operator="containsText" text="Ordered">
      <formula>NOT(ISERROR(SEARCH("Ordered",G6)))</formula>
    </cfRule>
    <cfRule type="containsText" dxfId="76" priority="7" operator="containsText" text="Pick Up">
      <formula>NOT(ISERROR(SEARCH("Pick Up",G6)))</formula>
    </cfRule>
    <cfRule type="containsText" dxfId="75" priority="8" operator="containsText" text="Complete">
      <formula>NOT(ISERROR(SEARCH("Complete",G6)))</formula>
    </cfRule>
  </conditionalFormatting>
  <conditionalFormatting sqref="G30:G33">
    <cfRule type="containsText" dxfId="74" priority="3" operator="containsText" text="Given">
      <formula>NOT(ISERROR(SEARCH("Given",G30)))</formula>
    </cfRule>
  </conditionalFormatting>
  <conditionalFormatting sqref="G30:G34">
    <cfRule type="containsText" dxfId="73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topLeftCell="A22" workbookViewId="0">
      <selection activeCell="E24" sqref="E24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</row>
    <row r="2" spans="1:12" x14ac:dyDescent="0.45">
      <c r="A2" s="39"/>
      <c r="B2" s="2" t="s">
        <v>43</v>
      </c>
      <c r="C2" s="41" t="s">
        <v>86</v>
      </c>
      <c r="D2" s="41"/>
      <c r="E2" s="41" t="s">
        <v>87</v>
      </c>
      <c r="F2" s="41"/>
      <c r="G2" s="1" t="s">
        <v>88</v>
      </c>
      <c r="K2" s="4" t="s">
        <v>9</v>
      </c>
      <c r="L2" s="4">
        <v>23.8</v>
      </c>
    </row>
    <row r="3" spans="1:12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>
        <v>17.399999999999999</v>
      </c>
    </row>
    <row r="4" spans="1:12" x14ac:dyDescent="0.45">
      <c r="A4" s="1" t="s">
        <v>39</v>
      </c>
      <c r="B4" s="45">
        <v>5796352250</v>
      </c>
      <c r="C4" s="45"/>
      <c r="D4" s="45"/>
      <c r="E4" s="41" t="s">
        <v>58</v>
      </c>
      <c r="F4" s="41"/>
      <c r="G4" s="1" t="s">
        <v>89</v>
      </c>
      <c r="K4" s="4" t="s">
        <v>12</v>
      </c>
      <c r="L4" s="4">
        <v>33.799999999999997</v>
      </c>
    </row>
    <row r="5" spans="1:12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45">
      <c r="A6" s="3" t="s">
        <v>90</v>
      </c>
      <c r="B6" s="37" t="s">
        <v>18</v>
      </c>
      <c r="C6" s="37"/>
      <c r="D6" s="37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45">
      <c r="A7" s="2" t="s">
        <v>92</v>
      </c>
      <c r="B7" s="41" t="s">
        <v>21</v>
      </c>
      <c r="C7" s="41"/>
      <c r="D7" s="41"/>
      <c r="E7" s="1" t="s">
        <v>91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45">
      <c r="A8" s="3" t="s">
        <v>81</v>
      </c>
      <c r="B8" s="37" t="s">
        <v>19</v>
      </c>
      <c r="C8" s="37"/>
      <c r="D8" s="37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45">
      <c r="A9" s="2"/>
      <c r="B9" s="41" t="s">
        <v>20</v>
      </c>
      <c r="C9" s="41"/>
      <c r="D9" s="41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45">
      <c r="A10" s="3" t="s">
        <v>93</v>
      </c>
      <c r="B10" s="37" t="s">
        <v>24</v>
      </c>
      <c r="C10" s="37"/>
      <c r="D10" s="37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45">
      <c r="A11" s="2" t="s">
        <v>95</v>
      </c>
      <c r="B11" s="41" t="s">
        <v>23</v>
      </c>
      <c r="C11" s="41"/>
      <c r="D11" s="41"/>
      <c r="E11" s="1" t="s">
        <v>94</v>
      </c>
      <c r="F11" s="16">
        <v>1</v>
      </c>
      <c r="G11" s="4" t="s">
        <v>142</v>
      </c>
      <c r="H11" s="28" t="str">
        <f>HYPERLINK("#G11",CHAR(128))</f>
        <v>€</v>
      </c>
    </row>
    <row r="12" spans="1:12" x14ac:dyDescent="0.45">
      <c r="A12" s="5"/>
      <c r="B12" s="37" t="s">
        <v>25</v>
      </c>
      <c r="C12" s="37"/>
      <c r="D12" s="37"/>
      <c r="E12" s="4"/>
      <c r="F12" s="4">
        <v>1</v>
      </c>
      <c r="G12" s="4" t="s">
        <v>142</v>
      </c>
      <c r="H12" s="28" t="str">
        <f>HYPERLINK("#G12",CHAR(128))</f>
        <v>€</v>
      </c>
    </row>
    <row r="13" spans="1:12" x14ac:dyDescent="0.45">
      <c r="A13" s="2" t="s">
        <v>55</v>
      </c>
      <c r="B13" s="41" t="s">
        <v>26</v>
      </c>
      <c r="C13" s="41"/>
      <c r="D13" s="4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59</v>
      </c>
      <c r="B14" s="37" t="s">
        <v>27</v>
      </c>
      <c r="C14" s="37"/>
      <c r="D14" s="37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9"/>
      <c r="C15" s="49"/>
      <c r="D15" s="49"/>
      <c r="E15" s="1"/>
      <c r="F15" s="16"/>
      <c r="G15" s="4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96</v>
      </c>
      <c r="B17" s="41" t="s">
        <v>22</v>
      </c>
      <c r="C17" s="41"/>
      <c r="D17" s="41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97</v>
      </c>
      <c r="B18" s="37" t="s">
        <v>29</v>
      </c>
      <c r="C18" s="37"/>
      <c r="D18" s="37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99</v>
      </c>
      <c r="B19" s="41" t="s">
        <v>30</v>
      </c>
      <c r="C19" s="41"/>
      <c r="D19" s="41"/>
      <c r="E19" s="1" t="s">
        <v>98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6"/>
      <c r="C20" s="47"/>
      <c r="D20" s="48"/>
      <c r="E20" s="4"/>
      <c r="F20" s="4"/>
      <c r="G20" s="4"/>
      <c r="H20" s="14"/>
    </row>
    <row r="21" spans="1:10" x14ac:dyDescent="0.45">
      <c r="A21" s="2" t="s">
        <v>100</v>
      </c>
      <c r="B21" s="41" t="s">
        <v>33</v>
      </c>
      <c r="C21" s="41"/>
      <c r="D21" s="41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101</v>
      </c>
      <c r="B22" s="37" t="s">
        <v>31</v>
      </c>
      <c r="C22" s="37"/>
      <c r="D22" s="37"/>
      <c r="E22" s="4">
        <v>6436</v>
      </c>
      <c r="F22" s="4">
        <v>1</v>
      </c>
      <c r="G22" s="4" t="s">
        <v>142</v>
      </c>
      <c r="H22" s="23" t="str">
        <f>HYPERLINK("#G22",CHAR(128))</f>
        <v>€</v>
      </c>
    </row>
    <row r="23" spans="1:10" x14ac:dyDescent="0.45">
      <c r="A23" s="2" t="s">
        <v>82</v>
      </c>
      <c r="B23" s="41" t="s">
        <v>50</v>
      </c>
      <c r="C23" s="41"/>
      <c r="D23" s="41"/>
      <c r="E23" s="1">
        <v>6426</v>
      </c>
      <c r="F23" s="16">
        <v>1</v>
      </c>
      <c r="G23" s="4" t="s">
        <v>142</v>
      </c>
      <c r="H23" s="22" t="str">
        <f>HYPERLINK("#G23",CHAR(128))</f>
        <v>€</v>
      </c>
    </row>
    <row r="24" spans="1:10" x14ac:dyDescent="0.45">
      <c r="A24" s="5"/>
      <c r="B24" s="37" t="s">
        <v>32</v>
      </c>
      <c r="C24" s="37"/>
      <c r="D24" s="37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41"/>
      <c r="C25" s="41"/>
      <c r="D25" s="41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72" priority="1" operator="equal">
      <formula>"Returned"</formula>
    </cfRule>
    <cfRule type="cellIs" dxfId="71" priority="4" operator="equal">
      <formula>"Ready To Order"</formula>
    </cfRule>
    <cfRule type="containsText" dxfId="70" priority="5" operator="containsText" text="UNP">
      <formula>NOT(ISERROR(SEARCH("UNP",G6)))</formula>
    </cfRule>
    <cfRule type="containsText" dxfId="69" priority="6" operator="containsText" text="Ordered">
      <formula>NOT(ISERROR(SEARCH("Ordered",G6)))</formula>
    </cfRule>
    <cfRule type="containsText" dxfId="68" priority="7" operator="containsText" text="Pick Up">
      <formula>NOT(ISERROR(SEARCH("Pick Up",G6)))</formula>
    </cfRule>
    <cfRule type="containsText" dxfId="67" priority="8" operator="containsText" text="Complete">
      <formula>NOT(ISERROR(SEARCH("Complete",G6)))</formula>
    </cfRule>
  </conditionalFormatting>
  <conditionalFormatting sqref="G30:G33">
    <cfRule type="containsText" dxfId="66" priority="3" operator="containsText" text="Given">
      <formula>NOT(ISERROR(SEARCH("Given",G30)))</formula>
    </cfRule>
  </conditionalFormatting>
  <conditionalFormatting sqref="G30:G34">
    <cfRule type="containsText" dxfId="65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workbookViewId="0">
      <selection activeCell="E18" sqref="E18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</row>
    <row r="2" spans="1:12" x14ac:dyDescent="0.45">
      <c r="A2" s="39"/>
      <c r="B2" s="2" t="s">
        <v>43</v>
      </c>
      <c r="C2" s="41" t="s">
        <v>86</v>
      </c>
      <c r="D2" s="41"/>
      <c r="E2" s="41" t="s">
        <v>102</v>
      </c>
      <c r="F2" s="41"/>
      <c r="G2" s="1" t="s">
        <v>103</v>
      </c>
      <c r="K2" s="4" t="s">
        <v>9</v>
      </c>
      <c r="L2" s="4">
        <v>20.2</v>
      </c>
    </row>
    <row r="3" spans="1:12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>
        <v>12.8</v>
      </c>
    </row>
    <row r="4" spans="1:12" x14ac:dyDescent="0.45">
      <c r="A4" s="1" t="s">
        <v>39</v>
      </c>
      <c r="B4" s="45">
        <v>4465777595</v>
      </c>
      <c r="C4" s="45"/>
      <c r="D4" s="45"/>
      <c r="E4" s="41" t="s">
        <v>58</v>
      </c>
      <c r="F4" s="41"/>
      <c r="G4" s="1" t="s">
        <v>89</v>
      </c>
      <c r="K4" s="4" t="s">
        <v>12</v>
      </c>
      <c r="L4" s="4">
        <v>40.700000000000003</v>
      </c>
    </row>
    <row r="5" spans="1:12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45">
      <c r="A6" s="3" t="s">
        <v>104</v>
      </c>
      <c r="B6" s="37" t="s">
        <v>18</v>
      </c>
      <c r="C6" s="37"/>
      <c r="D6" s="37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45">
      <c r="A7" s="2" t="s">
        <v>106</v>
      </c>
      <c r="B7" s="41" t="s">
        <v>21</v>
      </c>
      <c r="C7" s="41"/>
      <c r="D7" s="41"/>
      <c r="E7" s="1" t="s">
        <v>105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45">
      <c r="A8" s="3" t="s">
        <v>108</v>
      </c>
      <c r="B8" s="37" t="s">
        <v>19</v>
      </c>
      <c r="C8" s="37"/>
      <c r="D8" s="37"/>
      <c r="E8" s="4" t="s">
        <v>107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45">
      <c r="A9" s="2" t="s">
        <v>110</v>
      </c>
      <c r="B9" s="41" t="s">
        <v>20</v>
      </c>
      <c r="C9" s="41"/>
      <c r="D9" s="41"/>
      <c r="E9" s="1" t="s">
        <v>109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45">
      <c r="A10" s="3" t="s">
        <v>111</v>
      </c>
      <c r="B10" s="37" t="s">
        <v>24</v>
      </c>
      <c r="C10" s="37"/>
      <c r="D10" s="37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45">
      <c r="A11" s="2" t="s">
        <v>95</v>
      </c>
      <c r="B11" s="41" t="s">
        <v>23</v>
      </c>
      <c r="C11" s="41"/>
      <c r="D11" s="41"/>
      <c r="E11" s="1" t="s">
        <v>94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113</v>
      </c>
      <c r="B12" s="37" t="s">
        <v>25</v>
      </c>
      <c r="C12" s="37"/>
      <c r="D12" s="37"/>
      <c r="E12" s="4" t="s">
        <v>112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55</v>
      </c>
      <c r="B13" s="41" t="s">
        <v>26</v>
      </c>
      <c r="C13" s="41"/>
      <c r="D13" s="41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115</v>
      </c>
      <c r="B14" s="37" t="s">
        <v>27</v>
      </c>
      <c r="C14" s="37"/>
      <c r="D14" s="37"/>
      <c r="E14" s="4" t="s">
        <v>114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9"/>
      <c r="C15" s="49"/>
      <c r="D15" s="49"/>
      <c r="E15" s="1"/>
      <c r="F15" s="16"/>
      <c r="G15" s="4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144</v>
      </c>
      <c r="B17" s="41" t="s">
        <v>22</v>
      </c>
      <c r="C17" s="41"/>
      <c r="D17" s="41"/>
      <c r="E17" s="1" t="s">
        <v>80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116</v>
      </c>
      <c r="B18" s="37" t="s">
        <v>29</v>
      </c>
      <c r="C18" s="37"/>
      <c r="D18" s="37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41" t="s">
        <v>30</v>
      </c>
      <c r="C19" s="41"/>
      <c r="D19" s="41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6"/>
      <c r="C20" s="47"/>
      <c r="D20" s="48"/>
      <c r="E20" s="4"/>
      <c r="F20" s="4"/>
      <c r="G20" s="4"/>
      <c r="H20" s="14"/>
    </row>
    <row r="21" spans="1:10" x14ac:dyDescent="0.45">
      <c r="A21" s="2" t="s">
        <v>117</v>
      </c>
      <c r="B21" s="41" t="s">
        <v>33</v>
      </c>
      <c r="C21" s="41"/>
      <c r="D21" s="41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118</v>
      </c>
      <c r="B22" s="37" t="s">
        <v>31</v>
      </c>
      <c r="C22" s="37"/>
      <c r="D22" s="37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119</v>
      </c>
      <c r="B23" s="41" t="s">
        <v>50</v>
      </c>
      <c r="C23" s="41"/>
      <c r="D23" s="41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121</v>
      </c>
      <c r="B24" s="37" t="s">
        <v>32</v>
      </c>
      <c r="C24" s="37"/>
      <c r="D24" s="37"/>
      <c r="E24" s="4" t="s">
        <v>120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41"/>
      <c r="C25" s="41"/>
      <c r="D25" s="41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64" priority="1" operator="equal">
      <formula>"Returned"</formula>
    </cfRule>
    <cfRule type="cellIs" dxfId="63" priority="4" operator="equal">
      <formula>"Ready To Order"</formula>
    </cfRule>
    <cfRule type="containsText" dxfId="62" priority="5" operator="containsText" text="UNP">
      <formula>NOT(ISERROR(SEARCH("UNP",G6)))</formula>
    </cfRule>
    <cfRule type="containsText" dxfId="61" priority="6" operator="containsText" text="Ordered">
      <formula>NOT(ISERROR(SEARCH("Ordered",G6)))</formula>
    </cfRule>
    <cfRule type="containsText" dxfId="60" priority="7" operator="containsText" text="Pick Up">
      <formula>NOT(ISERROR(SEARCH("Pick Up",G6)))</formula>
    </cfRule>
    <cfRule type="containsText" dxfId="59" priority="8" operator="containsText" text="Complete">
      <formula>NOT(ISERROR(SEARCH("Complete",G6)))</formula>
    </cfRule>
  </conditionalFormatting>
  <conditionalFormatting sqref="G30:G33">
    <cfRule type="containsText" dxfId="58" priority="3" operator="containsText" text="Given">
      <formula>NOT(ISERROR(SEARCH("Given",G30)))</formula>
    </cfRule>
  </conditionalFormatting>
  <conditionalFormatting sqref="G30:G34">
    <cfRule type="containsText" dxfId="57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E27" sqref="E27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</row>
    <row r="2" spans="1:12" x14ac:dyDescent="0.45">
      <c r="A2" s="39"/>
      <c r="B2" s="2" t="s">
        <v>43</v>
      </c>
      <c r="C2" s="41" t="s">
        <v>122</v>
      </c>
      <c r="D2" s="41"/>
      <c r="E2" s="41" t="s">
        <v>123</v>
      </c>
      <c r="F2" s="41"/>
      <c r="G2" s="1" t="s">
        <v>124</v>
      </c>
      <c r="K2" s="4" t="s">
        <v>9</v>
      </c>
      <c r="L2" s="4">
        <v>19.5</v>
      </c>
    </row>
    <row r="3" spans="1:12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>
        <v>15.7</v>
      </c>
    </row>
    <row r="4" spans="1:12" x14ac:dyDescent="0.45">
      <c r="A4" s="1" t="s">
        <v>39</v>
      </c>
      <c r="B4" s="45">
        <v>7345806215</v>
      </c>
      <c r="C4" s="45"/>
      <c r="D4" s="45"/>
      <c r="E4" s="41" t="s">
        <v>58</v>
      </c>
      <c r="F4" s="41"/>
      <c r="G4" s="1" t="s">
        <v>44</v>
      </c>
      <c r="K4" s="4" t="s">
        <v>12</v>
      </c>
      <c r="L4" s="4">
        <v>33.299999999999997</v>
      </c>
    </row>
    <row r="5" spans="1:12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45">
      <c r="A6" s="3" t="s">
        <v>125</v>
      </c>
      <c r="B6" s="37" t="s">
        <v>18</v>
      </c>
      <c r="C6" s="37"/>
      <c r="D6" s="37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45">
      <c r="A7" s="2" t="s">
        <v>126</v>
      </c>
      <c r="B7" s="41" t="s">
        <v>21</v>
      </c>
      <c r="C7" s="41"/>
      <c r="D7" s="41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45">
      <c r="A8" s="3" t="s">
        <v>81</v>
      </c>
      <c r="B8" s="37" t="s">
        <v>19</v>
      </c>
      <c r="C8" s="37"/>
      <c r="D8" s="37"/>
      <c r="E8" s="4" t="s">
        <v>80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45">
      <c r="A9" s="2" t="s">
        <v>127</v>
      </c>
      <c r="B9" s="41" t="s">
        <v>20</v>
      </c>
      <c r="C9" s="41"/>
      <c r="D9" s="41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45">
      <c r="A10" s="3" t="s">
        <v>60</v>
      </c>
      <c r="B10" s="37" t="s">
        <v>24</v>
      </c>
      <c r="C10" s="37"/>
      <c r="D10" s="37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45">
      <c r="A11" s="2" t="s">
        <v>129</v>
      </c>
      <c r="B11" s="41" t="s">
        <v>23</v>
      </c>
      <c r="C11" s="41"/>
      <c r="D11" s="41"/>
      <c r="E11" s="1" t="s">
        <v>128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113</v>
      </c>
      <c r="B12" s="37" t="s">
        <v>25</v>
      </c>
      <c r="C12" s="37"/>
      <c r="D12" s="37"/>
      <c r="E12" s="4" t="s">
        <v>112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131</v>
      </c>
      <c r="B13" s="41" t="s">
        <v>26</v>
      </c>
      <c r="C13" s="41"/>
      <c r="D13" s="41"/>
      <c r="E13" s="1" t="s">
        <v>130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133</v>
      </c>
      <c r="B14" s="37" t="s">
        <v>27</v>
      </c>
      <c r="C14" s="37"/>
      <c r="D14" s="37"/>
      <c r="E14" s="4" t="s">
        <v>132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49"/>
      <c r="C15" s="49"/>
      <c r="D15" s="49"/>
      <c r="E15" s="1"/>
      <c r="F15" s="16"/>
      <c r="G15" s="4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41" t="s">
        <v>22</v>
      </c>
      <c r="C17" s="41"/>
      <c r="D17" s="41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 t="s">
        <v>116</v>
      </c>
      <c r="B18" s="37" t="s">
        <v>29</v>
      </c>
      <c r="C18" s="37"/>
      <c r="D18" s="37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138</v>
      </c>
      <c r="B19" s="41" t="s">
        <v>30</v>
      </c>
      <c r="C19" s="41"/>
      <c r="D19" s="41"/>
      <c r="E19" s="1" t="s">
        <v>137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6"/>
      <c r="C20" s="47"/>
      <c r="D20" s="48"/>
      <c r="E20" s="4"/>
      <c r="F20" s="4"/>
      <c r="G20" s="4"/>
      <c r="H20" s="14"/>
    </row>
    <row r="21" spans="1:10" x14ac:dyDescent="0.45">
      <c r="A21" s="2" t="s">
        <v>134</v>
      </c>
      <c r="B21" s="41" t="s">
        <v>33</v>
      </c>
      <c r="C21" s="41"/>
      <c r="D21" s="41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 t="s">
        <v>135</v>
      </c>
      <c r="B22" s="37" t="s">
        <v>31</v>
      </c>
      <c r="C22" s="37"/>
      <c r="D22" s="37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 t="s">
        <v>136</v>
      </c>
      <c r="B23" s="41" t="s">
        <v>50</v>
      </c>
      <c r="C23" s="41"/>
      <c r="D23" s="41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 t="s">
        <v>140</v>
      </c>
      <c r="B24" s="37" t="s">
        <v>32</v>
      </c>
      <c r="C24" s="37"/>
      <c r="D24" s="37"/>
      <c r="E24" s="4" t="s">
        <v>139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41"/>
      <c r="C25" s="41"/>
      <c r="D25" s="41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White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56" priority="1" operator="equal">
      <formula>"Returned"</formula>
    </cfRule>
    <cfRule type="cellIs" dxfId="55" priority="4" operator="equal">
      <formula>"Ready To Order"</formula>
    </cfRule>
    <cfRule type="containsText" dxfId="54" priority="5" operator="containsText" text="UNP">
      <formula>NOT(ISERROR(SEARCH("UNP",G6)))</formula>
    </cfRule>
    <cfRule type="containsText" dxfId="53" priority="6" operator="containsText" text="Ordered">
      <formula>NOT(ISERROR(SEARCH("Ordered",G6)))</formula>
    </cfRule>
    <cfRule type="containsText" dxfId="52" priority="7" operator="containsText" text="Pick Up">
      <formula>NOT(ISERROR(SEARCH("Pick Up",G6)))</formula>
    </cfRule>
    <cfRule type="containsText" dxfId="51" priority="8" operator="containsText" text="Complete">
      <formula>NOT(ISERROR(SEARCH("Complete",G6)))</formula>
    </cfRule>
  </conditionalFormatting>
  <conditionalFormatting sqref="G30:G33">
    <cfRule type="containsText" dxfId="50" priority="3" operator="containsText" text="Given">
      <formula>NOT(ISERROR(SEARCH("Given",G30)))</formula>
    </cfRule>
  </conditionalFormatting>
  <conditionalFormatting sqref="G30:G34">
    <cfRule type="containsText" dxfId="49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7B819-4535-49F8-A0CF-FA46E59701D9}">
  <sheetPr codeName="Sheet4"/>
  <dimension ref="A1:L34"/>
  <sheetViews>
    <sheetView workbookViewId="0">
      <selection activeCell="J16" sqref="J16"/>
    </sheetView>
  </sheetViews>
  <sheetFormatPr defaultRowHeight="14.25" x14ac:dyDescent="0.45"/>
  <cols>
    <col min="1" max="1" width="18.46484375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</row>
    <row r="2" spans="1:12" x14ac:dyDescent="0.45">
      <c r="A2" s="39"/>
      <c r="B2" s="2" t="s">
        <v>43</v>
      </c>
      <c r="C2" s="41" t="s">
        <v>146</v>
      </c>
      <c r="D2" s="41"/>
      <c r="E2" s="41" t="s">
        <v>147</v>
      </c>
      <c r="F2" s="41"/>
      <c r="G2" s="1" t="s">
        <v>148</v>
      </c>
      <c r="K2" s="4" t="s">
        <v>9</v>
      </c>
      <c r="L2" s="4">
        <v>22</v>
      </c>
    </row>
    <row r="3" spans="1:12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>
        <v>14.1</v>
      </c>
    </row>
    <row r="4" spans="1:12" x14ac:dyDescent="0.45">
      <c r="A4" s="1" t="s">
        <v>39</v>
      </c>
      <c r="B4" s="45">
        <v>7345806215</v>
      </c>
      <c r="C4" s="45"/>
      <c r="D4" s="45"/>
      <c r="E4" s="41" t="s">
        <v>58</v>
      </c>
      <c r="F4" s="41"/>
      <c r="G4" s="1" t="s">
        <v>89</v>
      </c>
      <c r="K4" s="4" t="s">
        <v>12</v>
      </c>
      <c r="L4" s="4">
        <v>46.8</v>
      </c>
    </row>
    <row r="5" spans="1:12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>
        <v>48.7</v>
      </c>
    </row>
    <row r="6" spans="1:12" x14ac:dyDescent="0.45">
      <c r="A6" s="3" t="s">
        <v>149</v>
      </c>
      <c r="B6" s="37" t="s">
        <v>18</v>
      </c>
      <c r="C6" s="37"/>
      <c r="D6" s="37"/>
      <c r="E6" s="4">
        <v>7048</v>
      </c>
      <c r="F6" s="4">
        <v>1</v>
      </c>
      <c r="G6" s="25" t="s">
        <v>143</v>
      </c>
      <c r="H6" s="28" t="str">
        <f>HYPERLINK("#G6",CHAR(128))</f>
        <v>€</v>
      </c>
      <c r="K6" s="4" t="s">
        <v>14</v>
      </c>
      <c r="L6" s="4">
        <v>63.8</v>
      </c>
    </row>
    <row r="7" spans="1:12" x14ac:dyDescent="0.45">
      <c r="A7" s="2" t="s">
        <v>92</v>
      </c>
      <c r="B7" s="41" t="s">
        <v>21</v>
      </c>
      <c r="C7" s="41"/>
      <c r="D7" s="41"/>
      <c r="E7" s="1" t="s">
        <v>91</v>
      </c>
      <c r="F7" s="16">
        <v>1</v>
      </c>
      <c r="G7" s="25" t="s">
        <v>47</v>
      </c>
      <c r="H7" s="28" t="str">
        <f>HYPERLINK("#G7",CHAR(128))</f>
        <v>€</v>
      </c>
      <c r="K7" s="1" t="s">
        <v>15</v>
      </c>
      <c r="L7" s="1">
        <v>69</v>
      </c>
    </row>
    <row r="8" spans="1:12" x14ac:dyDescent="0.45">
      <c r="A8" s="3" t="s">
        <v>150</v>
      </c>
      <c r="B8" s="37" t="s">
        <v>19</v>
      </c>
      <c r="C8" s="37"/>
      <c r="D8" s="37"/>
      <c r="E8" s="4" t="s">
        <v>68</v>
      </c>
      <c r="F8" s="4">
        <v>1</v>
      </c>
      <c r="G8" s="25" t="s">
        <v>143</v>
      </c>
      <c r="H8" s="28" t="str">
        <f>HYPERLINK("#G8",CHAR(128))</f>
        <v>€</v>
      </c>
      <c r="K8" s="4" t="s">
        <v>16</v>
      </c>
      <c r="L8" s="4">
        <v>302.3</v>
      </c>
    </row>
    <row r="9" spans="1:12" x14ac:dyDescent="0.45">
      <c r="A9" s="2" t="s">
        <v>152</v>
      </c>
      <c r="B9" s="41" t="s">
        <v>20</v>
      </c>
      <c r="C9" s="41"/>
      <c r="D9" s="41"/>
      <c r="E9" s="1" t="s">
        <v>151</v>
      </c>
      <c r="F9" s="16">
        <v>1</v>
      </c>
      <c r="G9" s="25" t="s">
        <v>47</v>
      </c>
      <c r="H9" s="28" t="str">
        <f>HYPERLINK("#G9",CHAR(128))</f>
        <v>€</v>
      </c>
      <c r="I9" s="11"/>
      <c r="K9" s="1" t="s">
        <v>17</v>
      </c>
      <c r="L9" s="1">
        <v>115.7</v>
      </c>
    </row>
    <row r="10" spans="1:12" x14ac:dyDescent="0.45">
      <c r="A10" s="3" t="s">
        <v>153</v>
      </c>
      <c r="B10" s="37" t="s">
        <v>24</v>
      </c>
      <c r="C10" s="37"/>
      <c r="D10" s="37"/>
      <c r="E10" s="8">
        <v>7</v>
      </c>
      <c r="F10" s="4">
        <v>1</v>
      </c>
      <c r="G10" s="25" t="s">
        <v>143</v>
      </c>
      <c r="H10" s="28" t="str">
        <f>HYPERLINK("#G10",CHAR(128))</f>
        <v>€</v>
      </c>
      <c r="K10" s="15" t="s">
        <v>49</v>
      </c>
      <c r="L10" s="15">
        <v>8.1999999999999993</v>
      </c>
    </row>
    <row r="11" spans="1:12" x14ac:dyDescent="0.45">
      <c r="A11" s="2" t="s">
        <v>57</v>
      </c>
      <c r="B11" s="41" t="s">
        <v>23</v>
      </c>
      <c r="C11" s="41"/>
      <c r="D11" s="41"/>
      <c r="E11" s="1" t="s">
        <v>154</v>
      </c>
      <c r="F11" s="16">
        <v>1</v>
      </c>
      <c r="G11" s="25" t="s">
        <v>47</v>
      </c>
      <c r="H11" s="28" t="str">
        <f>HYPERLINK("#G11",CHAR(128))</f>
        <v>€</v>
      </c>
    </row>
    <row r="12" spans="1:12" x14ac:dyDescent="0.45">
      <c r="A12" s="5" t="s">
        <v>69</v>
      </c>
      <c r="B12" s="37" t="s">
        <v>25</v>
      </c>
      <c r="C12" s="37"/>
      <c r="D12" s="37"/>
      <c r="E12" s="4" t="s">
        <v>68</v>
      </c>
      <c r="F12" s="4">
        <v>1</v>
      </c>
      <c r="G12" s="25" t="s">
        <v>47</v>
      </c>
      <c r="H12" s="28" t="str">
        <f>HYPERLINK("#G12",CHAR(128))</f>
        <v>€</v>
      </c>
    </row>
    <row r="13" spans="1:12" x14ac:dyDescent="0.45">
      <c r="A13" s="2" t="s">
        <v>55</v>
      </c>
      <c r="B13" s="41" t="s">
        <v>26</v>
      </c>
      <c r="C13" s="41"/>
      <c r="D13" s="41"/>
      <c r="E13" s="1" t="s">
        <v>46</v>
      </c>
      <c r="F13" s="16">
        <v>1</v>
      </c>
      <c r="G13" s="25" t="s">
        <v>47</v>
      </c>
      <c r="H13" s="28" t="str">
        <f>HYPERLINK("#G13",CHAR(128))</f>
        <v>€</v>
      </c>
    </row>
    <row r="14" spans="1:12" x14ac:dyDescent="0.45">
      <c r="A14" s="5" t="s">
        <v>156</v>
      </c>
      <c r="B14" s="37" t="s">
        <v>27</v>
      </c>
      <c r="C14" s="37"/>
      <c r="D14" s="37"/>
      <c r="E14" s="4" t="s">
        <v>155</v>
      </c>
      <c r="F14" s="4">
        <v>1</v>
      </c>
      <c r="G14" s="25" t="s">
        <v>47</v>
      </c>
      <c r="H14" s="28" t="str">
        <f>HYPERLINK("#G14",CHAR(128))</f>
        <v>€</v>
      </c>
    </row>
    <row r="15" spans="1:12" x14ac:dyDescent="0.45">
      <c r="A15" s="2"/>
      <c r="B15" s="49"/>
      <c r="C15" s="49"/>
      <c r="D15" s="49"/>
      <c r="E15" s="1"/>
      <c r="F15" s="16"/>
      <c r="G15" s="16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25" t="s">
        <v>47</v>
      </c>
      <c r="H16" s="23" t="str">
        <f>HYPERLINK("#G16",CHAR(128))</f>
        <v>€</v>
      </c>
    </row>
    <row r="17" spans="1:10" x14ac:dyDescent="0.45">
      <c r="A17" s="2" t="s">
        <v>157</v>
      </c>
      <c r="B17" s="41" t="s">
        <v>22</v>
      </c>
      <c r="C17" s="41"/>
      <c r="D17" s="41"/>
      <c r="E17" s="1" t="s">
        <v>107</v>
      </c>
      <c r="F17" s="16">
        <v>1</v>
      </c>
      <c r="G17" s="25" t="s">
        <v>47</v>
      </c>
      <c r="H17" s="23" t="str">
        <f>HYPERLINK("#G17",CHAR(128))</f>
        <v>€</v>
      </c>
    </row>
    <row r="18" spans="1:10" x14ac:dyDescent="0.45">
      <c r="A18" s="5"/>
      <c r="B18" s="37" t="s">
        <v>29</v>
      </c>
      <c r="C18" s="37"/>
      <c r="D18" s="37"/>
      <c r="E18" s="4"/>
      <c r="F18" s="4">
        <v>1</v>
      </c>
      <c r="G18" s="25" t="s">
        <v>143</v>
      </c>
      <c r="H18" s="23" t="str">
        <f>HYPERLINK("#G18",CHAR(128))</f>
        <v>€</v>
      </c>
    </row>
    <row r="19" spans="1:10" x14ac:dyDescent="0.45">
      <c r="A19" s="2" t="s">
        <v>159</v>
      </c>
      <c r="B19" s="41" t="s">
        <v>30</v>
      </c>
      <c r="C19" s="41"/>
      <c r="D19" s="41"/>
      <c r="E19" s="1" t="s">
        <v>158</v>
      </c>
      <c r="F19" s="16">
        <v>1</v>
      </c>
      <c r="G19" s="25" t="s">
        <v>47</v>
      </c>
      <c r="H19" s="23" t="str">
        <f>HYPERLINK("#G19",CHAR(128))</f>
        <v>€</v>
      </c>
    </row>
    <row r="20" spans="1:10" x14ac:dyDescent="0.45">
      <c r="A20" s="5"/>
      <c r="B20" s="46"/>
      <c r="C20" s="47"/>
      <c r="D20" s="48"/>
      <c r="E20" s="4"/>
      <c r="F20" s="4"/>
      <c r="G20" s="4"/>
      <c r="H20" s="14"/>
    </row>
    <row r="21" spans="1:10" x14ac:dyDescent="0.45">
      <c r="A21" s="2" t="s">
        <v>160</v>
      </c>
      <c r="B21" s="41" t="s">
        <v>33</v>
      </c>
      <c r="C21" s="41"/>
      <c r="D21" s="41"/>
      <c r="E21" s="9">
        <v>7</v>
      </c>
      <c r="F21" s="16">
        <v>1</v>
      </c>
      <c r="G21" s="25" t="s">
        <v>47</v>
      </c>
      <c r="H21" s="23" t="str">
        <f>HYPERLINK("#G21",CHAR(128))</f>
        <v>€</v>
      </c>
    </row>
    <row r="22" spans="1:10" x14ac:dyDescent="0.45">
      <c r="A22" s="5" t="s">
        <v>161</v>
      </c>
      <c r="B22" s="37" t="s">
        <v>31</v>
      </c>
      <c r="C22" s="37"/>
      <c r="D22" s="37"/>
      <c r="E22" s="4">
        <v>7048</v>
      </c>
      <c r="F22" s="4">
        <v>1</v>
      </c>
      <c r="G22" s="25" t="s">
        <v>47</v>
      </c>
      <c r="H22" s="23" t="str">
        <f>HYPERLINK("#G22",CHAR(128))</f>
        <v>€</v>
      </c>
    </row>
    <row r="23" spans="1:10" x14ac:dyDescent="0.45">
      <c r="A23" s="2"/>
      <c r="B23" s="41" t="s">
        <v>50</v>
      </c>
      <c r="C23" s="41"/>
      <c r="D23" s="41"/>
      <c r="E23" s="1"/>
      <c r="F23" s="16">
        <v>1</v>
      </c>
      <c r="G23" s="25" t="s">
        <v>47</v>
      </c>
      <c r="H23" s="22" t="str">
        <f>HYPERLINK("#G23",CHAR(128))</f>
        <v>€</v>
      </c>
    </row>
    <row r="24" spans="1:10" x14ac:dyDescent="0.45">
      <c r="A24" s="5"/>
      <c r="B24" s="37" t="s">
        <v>32</v>
      </c>
      <c r="C24" s="37"/>
      <c r="D24" s="37"/>
      <c r="E24" s="4"/>
      <c r="F24" s="4">
        <v>1</v>
      </c>
      <c r="G24" s="25" t="s">
        <v>47</v>
      </c>
      <c r="H24" s="22" t="str">
        <f>HYPERLINK("#G24",CHAR(128))</f>
        <v>€</v>
      </c>
    </row>
    <row r="25" spans="1:10" x14ac:dyDescent="0.45">
      <c r="A25" s="2"/>
      <c r="B25" s="41"/>
      <c r="C25" s="41"/>
      <c r="D25" s="41"/>
      <c r="E25" s="1"/>
      <c r="F25" s="16"/>
      <c r="G25" s="16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Jackson</v>
      </c>
      <c r="F26" s="4">
        <v>1</v>
      </c>
      <c r="G26" s="25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48" priority="2" operator="equal">
      <formula>"Returned"</formula>
    </cfRule>
    <cfRule type="cellIs" dxfId="47" priority="5" operator="equal">
      <formula>"Ready To Order"</formula>
    </cfRule>
    <cfRule type="cellIs" dxfId="46" priority="6" operator="equal">
      <formula>"UNP"</formula>
    </cfRule>
    <cfRule type="containsText" dxfId="45" priority="7" operator="containsText" text="Ordered">
      <formula>NOT(ISERROR(SEARCH("Ordered",G6)))</formula>
    </cfRule>
    <cfRule type="containsText" dxfId="44" priority="8" operator="containsText" text="Pick Up">
      <formula>NOT(ISERROR(SEARCH("Pick Up",G6)))</formula>
    </cfRule>
    <cfRule type="containsText" dxfId="43" priority="9" operator="containsText" text="Complete">
      <formula>NOT(ISERROR(SEARCH("Complete",G6)))</formula>
    </cfRule>
  </conditionalFormatting>
  <conditionalFormatting sqref="G30:G33">
    <cfRule type="containsText" dxfId="42" priority="4" operator="containsText" text="Given">
      <formula>NOT(ISERROR(SEARCH("Given",G30)))</formula>
    </cfRule>
  </conditionalFormatting>
  <conditionalFormatting sqref="G30:G34">
    <cfRule type="containsText" dxfId="41" priority="3" operator="containsText" text="Returned">
      <formula>NOT(ISERROR(SEARCH("Returned",G30)))</formula>
    </cfRule>
  </conditionalFormatting>
  <conditionalFormatting sqref="G6:G14 G21:G26 G16:G19">
    <cfRule type="cellIs" dxfId="40" priority="1" operator="equal">
      <formula>"In Stock"</formula>
    </cfRule>
  </conditionalFormatting>
  <dataValidations count="3">
    <dataValidation type="list" allowBlank="1" showInputMessage="1" showErrorMessage="1" sqref="G30:G34" xr:uid="{F09F0505-2F09-4441-B271-80ACADF783E9}">
      <formula1>"--,Returned, Given"</formula1>
    </dataValidation>
    <dataValidation type="list" allowBlank="1" showInputMessage="1" showErrorMessage="1" sqref="G16:G19 G21:G24 G26 G6:G14" xr:uid="{34AFE85F-DF4C-4396-9F5B-E45FA153FC86}">
      <formula1>"UNP, Ready To Order, Ordered, In Stock, Pick Up, Complete, Returned"</formula1>
    </dataValidation>
    <dataValidation type="decimal" allowBlank="1" showInputMessage="1" showErrorMessage="1" sqref="L2" xr:uid="{03BCD69F-F9FC-4755-8BD2-07FB15311D71}">
      <formula1>19</formula1>
      <formula2>26</formula2>
    </dataValidation>
  </dataValidations>
  <hyperlinks>
    <hyperlink ref="A1:A2" location="Menu!A1" display="Back to Menu" xr:uid="{4AF0D075-156C-4650-9431-9C7A983C143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152400</xdr:rowOff>
                  </from>
                  <to>
                    <xdr:col>12</xdr:col>
                    <xdr:colOff>9525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B08B-EBC3-4ABE-A7C8-176C5B49F3E4}">
  <sheetPr codeName="Sheet5"/>
  <dimension ref="A1:L34"/>
  <sheetViews>
    <sheetView topLeftCell="A9" workbookViewId="0">
      <selection activeCell="I23" sqref="I23"/>
    </sheetView>
  </sheetViews>
  <sheetFormatPr defaultRowHeight="14.25" x14ac:dyDescent="0.45"/>
  <cols>
    <col min="1" max="1" width="18.46484375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</row>
    <row r="2" spans="1:12" x14ac:dyDescent="0.45">
      <c r="A2" s="39"/>
      <c r="B2" s="2" t="s">
        <v>43</v>
      </c>
      <c r="C2" s="41" t="s">
        <v>165</v>
      </c>
      <c r="D2" s="41"/>
      <c r="E2" s="41" t="s">
        <v>166</v>
      </c>
      <c r="F2" s="41"/>
      <c r="G2" s="55" t="s">
        <v>167</v>
      </c>
      <c r="K2" s="4" t="s">
        <v>9</v>
      </c>
      <c r="L2" s="4">
        <v>21.4</v>
      </c>
    </row>
    <row r="3" spans="1:12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>
        <v>14.3</v>
      </c>
    </row>
    <row r="4" spans="1:12" x14ac:dyDescent="0.45">
      <c r="A4" s="1" t="s">
        <v>39</v>
      </c>
      <c r="B4" s="45">
        <v>7345806215</v>
      </c>
      <c r="C4" s="45"/>
      <c r="D4" s="45"/>
      <c r="E4" s="41" t="s">
        <v>58</v>
      </c>
      <c r="F4" s="41"/>
      <c r="G4" s="1" t="s">
        <v>44</v>
      </c>
      <c r="K4" s="4" t="s">
        <v>12</v>
      </c>
      <c r="L4" s="4">
        <v>55</v>
      </c>
    </row>
    <row r="5" spans="1:12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>
        <v>41.9</v>
      </c>
    </row>
    <row r="6" spans="1:12" x14ac:dyDescent="0.45">
      <c r="A6" s="3" t="s">
        <v>168</v>
      </c>
      <c r="B6" s="37" t="s">
        <v>18</v>
      </c>
      <c r="C6" s="37"/>
      <c r="D6" s="37"/>
      <c r="E6" s="4">
        <v>7056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63.3</v>
      </c>
    </row>
    <row r="7" spans="1:12" x14ac:dyDescent="0.45">
      <c r="A7" s="2" t="s">
        <v>169</v>
      </c>
      <c r="B7" s="41" t="s">
        <v>21</v>
      </c>
      <c r="C7" s="41"/>
      <c r="D7" s="41"/>
      <c r="E7" s="1">
        <v>19</v>
      </c>
      <c r="F7" s="16">
        <v>1</v>
      </c>
      <c r="G7" s="25" t="s">
        <v>47</v>
      </c>
      <c r="H7" s="28" t="str">
        <f>HYPERLINK("#G7",CHAR(128))</f>
        <v>€</v>
      </c>
      <c r="K7" s="1" t="s">
        <v>15</v>
      </c>
      <c r="L7" s="1">
        <v>59.8</v>
      </c>
    </row>
    <row r="8" spans="1:12" x14ac:dyDescent="0.45">
      <c r="A8" s="3"/>
      <c r="B8" s="37" t="s">
        <v>19</v>
      </c>
      <c r="C8" s="37"/>
      <c r="D8" s="37"/>
      <c r="E8" s="4"/>
      <c r="F8" s="4">
        <v>1</v>
      </c>
      <c r="G8" s="25" t="s">
        <v>47</v>
      </c>
      <c r="H8" s="28" t="str">
        <f>HYPERLINK("#G8",CHAR(128))</f>
        <v>€</v>
      </c>
      <c r="K8" s="4" t="s">
        <v>16</v>
      </c>
      <c r="L8" s="4">
        <v>283.89999999999998</v>
      </c>
    </row>
    <row r="9" spans="1:12" x14ac:dyDescent="0.45">
      <c r="A9" s="2" t="s">
        <v>170</v>
      </c>
      <c r="B9" s="41" t="s">
        <v>20</v>
      </c>
      <c r="C9" s="41"/>
      <c r="D9" s="41"/>
      <c r="E9" s="1">
        <v>6458</v>
      </c>
      <c r="F9" s="16">
        <v>1</v>
      </c>
      <c r="G9" s="25" t="s">
        <v>47</v>
      </c>
      <c r="H9" s="28" t="str">
        <f>HYPERLINK("#G9",CHAR(128))</f>
        <v>€</v>
      </c>
      <c r="I9" s="11"/>
      <c r="K9" s="1" t="s">
        <v>17</v>
      </c>
      <c r="L9" s="1">
        <v>87.1</v>
      </c>
    </row>
    <row r="10" spans="1:12" x14ac:dyDescent="0.45">
      <c r="A10" s="3" t="s">
        <v>171</v>
      </c>
      <c r="B10" s="37" t="s">
        <v>24</v>
      </c>
      <c r="C10" s="37"/>
      <c r="D10" s="37"/>
      <c r="E10" s="8">
        <v>6.875</v>
      </c>
      <c r="F10" s="4">
        <v>1</v>
      </c>
      <c r="G10" s="25" t="s">
        <v>47</v>
      </c>
      <c r="H10" s="28" t="str">
        <f>HYPERLINK("#G10",CHAR(128))</f>
        <v>€</v>
      </c>
      <c r="K10" s="15" t="s">
        <v>49</v>
      </c>
      <c r="L10" s="15">
        <v>6.4</v>
      </c>
    </row>
    <row r="11" spans="1:12" x14ac:dyDescent="0.45">
      <c r="A11" s="2" t="s">
        <v>95</v>
      </c>
      <c r="B11" s="41" t="s">
        <v>23</v>
      </c>
      <c r="C11" s="41"/>
      <c r="D11" s="41"/>
      <c r="E11" s="1" t="s">
        <v>94</v>
      </c>
      <c r="F11" s="16">
        <v>1</v>
      </c>
      <c r="G11" s="25" t="s">
        <v>47</v>
      </c>
      <c r="H11" s="28" t="str">
        <f>HYPERLINK("#G11",CHAR(128))</f>
        <v>€</v>
      </c>
    </row>
    <row r="12" spans="1:12" x14ac:dyDescent="0.45">
      <c r="A12" s="5" t="s">
        <v>173</v>
      </c>
      <c r="B12" s="37" t="s">
        <v>25</v>
      </c>
      <c r="C12" s="37"/>
      <c r="D12" s="37"/>
      <c r="E12" s="4" t="s">
        <v>172</v>
      </c>
      <c r="F12" s="4">
        <v>1</v>
      </c>
      <c r="G12" s="25" t="s">
        <v>47</v>
      </c>
      <c r="H12" s="28" t="str">
        <f>HYPERLINK("#G12",CHAR(128))</f>
        <v>€</v>
      </c>
    </row>
    <row r="13" spans="1:12" x14ac:dyDescent="0.45">
      <c r="A13" s="2" t="s">
        <v>55</v>
      </c>
      <c r="B13" s="41" t="s">
        <v>26</v>
      </c>
      <c r="C13" s="41"/>
      <c r="D13" s="41"/>
      <c r="E13" s="1" t="s">
        <v>46</v>
      </c>
      <c r="F13" s="16">
        <v>1</v>
      </c>
      <c r="G13" s="25" t="s">
        <v>47</v>
      </c>
      <c r="H13" s="28" t="str">
        <f>HYPERLINK("#G13",CHAR(128))</f>
        <v>€</v>
      </c>
    </row>
    <row r="14" spans="1:12" x14ac:dyDescent="0.45">
      <c r="A14" s="5" t="s">
        <v>175</v>
      </c>
      <c r="B14" s="37" t="s">
        <v>27</v>
      </c>
      <c r="C14" s="37"/>
      <c r="D14" s="37"/>
      <c r="E14" s="4" t="s">
        <v>174</v>
      </c>
      <c r="F14" s="4">
        <v>1</v>
      </c>
      <c r="G14" s="25" t="s">
        <v>47</v>
      </c>
      <c r="H14" s="28" t="str">
        <f>HYPERLINK("#G14",CHAR(128))</f>
        <v>€</v>
      </c>
    </row>
    <row r="15" spans="1:12" x14ac:dyDescent="0.45">
      <c r="A15" s="2"/>
      <c r="B15" s="49"/>
      <c r="C15" s="49"/>
      <c r="D15" s="49"/>
      <c r="E15" s="1"/>
      <c r="F15" s="16"/>
      <c r="G15" s="16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25" t="s">
        <v>47</v>
      </c>
      <c r="H16" s="23" t="str">
        <f>HYPERLINK("#G16",CHAR(128))</f>
        <v>€</v>
      </c>
    </row>
    <row r="17" spans="1:10" x14ac:dyDescent="0.45">
      <c r="A17" s="2" t="s">
        <v>144</v>
      </c>
      <c r="B17" s="41" t="s">
        <v>22</v>
      </c>
      <c r="C17" s="41"/>
      <c r="D17" s="41"/>
      <c r="E17" s="1" t="s">
        <v>80</v>
      </c>
      <c r="F17" s="16">
        <v>1</v>
      </c>
      <c r="G17" s="25" t="s">
        <v>47</v>
      </c>
      <c r="H17" s="23" t="str">
        <f>HYPERLINK("#G17",CHAR(128))</f>
        <v>€</v>
      </c>
    </row>
    <row r="18" spans="1:10" x14ac:dyDescent="0.45">
      <c r="A18" s="5"/>
      <c r="B18" s="37" t="s">
        <v>29</v>
      </c>
      <c r="C18" s="37"/>
      <c r="D18" s="37"/>
      <c r="E18" s="4"/>
      <c r="F18" s="4">
        <v>1</v>
      </c>
      <c r="G18" s="25" t="s">
        <v>47</v>
      </c>
      <c r="H18" s="23" t="str">
        <f>HYPERLINK("#G18",CHAR(128))</f>
        <v>€</v>
      </c>
    </row>
    <row r="19" spans="1:10" x14ac:dyDescent="0.45">
      <c r="A19" s="2" t="s">
        <v>177</v>
      </c>
      <c r="B19" s="41" t="s">
        <v>30</v>
      </c>
      <c r="C19" s="41"/>
      <c r="D19" s="41"/>
      <c r="E19" s="1" t="s">
        <v>176</v>
      </c>
      <c r="F19" s="16">
        <v>1</v>
      </c>
      <c r="G19" s="25" t="s">
        <v>47</v>
      </c>
      <c r="H19" s="23" t="str">
        <f>HYPERLINK("#G19",CHAR(128))</f>
        <v>€</v>
      </c>
    </row>
    <row r="20" spans="1:10" x14ac:dyDescent="0.45">
      <c r="A20" s="5"/>
      <c r="B20" s="46"/>
      <c r="C20" s="47"/>
      <c r="D20" s="48"/>
      <c r="E20" s="4"/>
      <c r="F20" s="4"/>
      <c r="G20" s="4"/>
      <c r="H20" s="14"/>
    </row>
    <row r="21" spans="1:10" x14ac:dyDescent="0.45">
      <c r="A21" s="2" t="s">
        <v>178</v>
      </c>
      <c r="B21" s="41" t="s">
        <v>33</v>
      </c>
      <c r="C21" s="41"/>
      <c r="D21" s="41"/>
      <c r="E21" s="9">
        <v>6.875</v>
      </c>
      <c r="F21" s="16">
        <v>1</v>
      </c>
      <c r="G21" s="25" t="s">
        <v>47</v>
      </c>
      <c r="H21" s="23" t="str">
        <f>HYPERLINK("#G21",CHAR(128))</f>
        <v>€</v>
      </c>
    </row>
    <row r="22" spans="1:10" x14ac:dyDescent="0.45">
      <c r="A22" s="5"/>
      <c r="B22" s="37" t="s">
        <v>31</v>
      </c>
      <c r="C22" s="37"/>
      <c r="D22" s="37"/>
      <c r="E22" s="4"/>
      <c r="F22" s="4">
        <v>1</v>
      </c>
      <c r="G22" s="25" t="s">
        <v>47</v>
      </c>
      <c r="H22" s="23" t="str">
        <f>HYPERLINK("#G22",CHAR(128))</f>
        <v>€</v>
      </c>
    </row>
    <row r="23" spans="1:10" x14ac:dyDescent="0.45">
      <c r="A23" s="2" t="s">
        <v>179</v>
      </c>
      <c r="B23" s="41" t="s">
        <v>50</v>
      </c>
      <c r="C23" s="41"/>
      <c r="D23" s="41"/>
      <c r="E23" s="1">
        <v>6742</v>
      </c>
      <c r="F23" s="16">
        <v>1</v>
      </c>
      <c r="G23" s="25" t="s">
        <v>47</v>
      </c>
      <c r="H23" s="22" t="str">
        <f>HYPERLINK("#G23",CHAR(128))</f>
        <v>€</v>
      </c>
    </row>
    <row r="24" spans="1:10" x14ac:dyDescent="0.45">
      <c r="A24" s="5" t="s">
        <v>181</v>
      </c>
      <c r="B24" s="37" t="s">
        <v>32</v>
      </c>
      <c r="C24" s="37"/>
      <c r="D24" s="37"/>
      <c r="E24" s="4" t="s">
        <v>180</v>
      </c>
      <c r="F24" s="4">
        <v>1</v>
      </c>
      <c r="G24" s="25" t="s">
        <v>47</v>
      </c>
      <c r="H24" s="22" t="str">
        <f>HYPERLINK("#G24",CHAR(128))</f>
        <v>€</v>
      </c>
    </row>
    <row r="25" spans="1:10" x14ac:dyDescent="0.45">
      <c r="A25" s="2"/>
      <c r="B25" s="41"/>
      <c r="C25" s="41"/>
      <c r="D25" s="41"/>
      <c r="E25" s="1"/>
      <c r="F25" s="16"/>
      <c r="G25" s="16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Garcia</v>
      </c>
      <c r="F26" s="4">
        <v>1</v>
      </c>
      <c r="G26" s="25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30" priority="2" operator="equal">
      <formula>"Returned"</formula>
    </cfRule>
    <cfRule type="cellIs" dxfId="29" priority="5" operator="equal">
      <formula>"Ready To Order"</formula>
    </cfRule>
    <cfRule type="cellIs" dxfId="28" priority="6" operator="equal">
      <formula>"UNP"</formula>
    </cfRule>
    <cfRule type="containsText" dxfId="27" priority="7" operator="containsText" text="Ordered">
      <formula>NOT(ISERROR(SEARCH("Ordered",G6)))</formula>
    </cfRule>
    <cfRule type="containsText" dxfId="26" priority="8" operator="containsText" text="Pick Up">
      <formula>NOT(ISERROR(SEARCH("Pick Up",G6)))</formula>
    </cfRule>
    <cfRule type="containsText" dxfId="25" priority="9" operator="containsText" text="Complete">
      <formula>NOT(ISERROR(SEARCH("Complete",G6)))</formula>
    </cfRule>
  </conditionalFormatting>
  <conditionalFormatting sqref="G30:G33">
    <cfRule type="containsText" dxfId="24" priority="4" operator="containsText" text="Given">
      <formula>NOT(ISERROR(SEARCH("Given",G30)))</formula>
    </cfRule>
  </conditionalFormatting>
  <conditionalFormatting sqref="G30:G34">
    <cfRule type="containsText" dxfId="23" priority="3" operator="containsText" text="Returned">
      <formula>NOT(ISERROR(SEARCH("Returned",G30)))</formula>
    </cfRule>
  </conditionalFormatting>
  <conditionalFormatting sqref="G6:G14 G21:G26 G16:G19">
    <cfRule type="cellIs" dxfId="22" priority="1" operator="equal">
      <formula>"In Stock"</formula>
    </cfRule>
  </conditionalFormatting>
  <dataValidations count="3">
    <dataValidation type="list" allowBlank="1" showInputMessage="1" showErrorMessage="1" sqref="G30:G34" xr:uid="{F05BF727-A071-474B-9A61-3A4EE496C9A9}">
      <formula1>"--,Returned, Given"</formula1>
    </dataValidation>
    <dataValidation type="list" allowBlank="1" showInputMessage="1" showErrorMessage="1" sqref="G16:G19 G21:G24 G26 G6:G14" xr:uid="{B64B15C5-FAC6-4AB2-ADBC-8D3BDCC65EED}">
      <formula1>"UNP, Ready To Order, Ordered, In Stock, Pick Up, Complete, Returned"</formula1>
    </dataValidation>
    <dataValidation type="decimal" allowBlank="1" showInputMessage="1" showErrorMessage="1" sqref="L2" xr:uid="{82B54079-A2B4-48ED-95A1-212B155213A2}">
      <formula1>19</formula1>
      <formula2>26</formula2>
    </dataValidation>
  </dataValidations>
  <hyperlinks>
    <hyperlink ref="A1:A2" location="Menu!A1" display="Back to Menu" xr:uid="{3C69B622-89A1-4BD0-AC24-F861FE4F6D6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6" r:id="rId6" name="Button 4">
              <controlPr defaultSize="0" print="0" autoFill="0" autoPict="0" macro="[1]!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4C147-DC6A-4C77-B6A1-E76EBCAD8BDE}">
  <sheetPr codeName="Sheet6"/>
  <dimension ref="A1:L39"/>
  <sheetViews>
    <sheetView workbookViewId="0">
      <selection sqref="A1:A2"/>
    </sheetView>
  </sheetViews>
  <sheetFormatPr defaultRowHeight="14.25" x14ac:dyDescent="0.45"/>
  <cols>
    <col min="1" max="1" width="18.46484375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</row>
    <row r="2" spans="1:12" x14ac:dyDescent="0.45">
      <c r="A2" s="39"/>
      <c r="B2" s="2" t="s">
        <v>43</v>
      </c>
      <c r="C2" s="41" t="s">
        <v>182</v>
      </c>
      <c r="D2" s="41"/>
      <c r="E2" s="41" t="s">
        <v>123</v>
      </c>
      <c r="F2" s="41"/>
      <c r="G2" s="1" t="s">
        <v>183</v>
      </c>
      <c r="K2" s="4" t="s">
        <v>9</v>
      </c>
      <c r="L2" s="4">
        <v>23.9</v>
      </c>
    </row>
    <row r="3" spans="1:12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>
        <v>12.5</v>
      </c>
    </row>
    <row r="4" spans="1:12" x14ac:dyDescent="0.45">
      <c r="A4" s="1" t="s">
        <v>39</v>
      </c>
      <c r="B4" s="45">
        <v>2999404680</v>
      </c>
      <c r="C4" s="45"/>
      <c r="D4" s="45"/>
      <c r="E4" s="41" t="s">
        <v>58</v>
      </c>
      <c r="F4" s="41"/>
      <c r="G4" s="1" t="s">
        <v>44</v>
      </c>
      <c r="K4" s="4" t="s">
        <v>12</v>
      </c>
      <c r="L4" s="4">
        <v>59</v>
      </c>
    </row>
    <row r="5" spans="1:12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>
        <v>42.5</v>
      </c>
    </row>
    <row r="6" spans="1:12" x14ac:dyDescent="0.45">
      <c r="A6" s="3" t="s">
        <v>184</v>
      </c>
      <c r="B6" s="37" t="s">
        <v>18</v>
      </c>
      <c r="C6" s="37"/>
      <c r="D6" s="37"/>
      <c r="E6" s="4">
        <v>8058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67.5</v>
      </c>
    </row>
    <row r="7" spans="1:12" x14ac:dyDescent="0.45">
      <c r="A7" s="2" t="s">
        <v>73</v>
      </c>
      <c r="B7" s="41" t="s">
        <v>21</v>
      </c>
      <c r="C7" s="41"/>
      <c r="D7" s="41"/>
      <c r="E7" s="1">
        <v>20</v>
      </c>
      <c r="F7" s="16">
        <v>1</v>
      </c>
      <c r="G7" s="25" t="s">
        <v>47</v>
      </c>
      <c r="H7" s="28" t="str">
        <f>HYPERLINK("#G7",CHAR(128))</f>
        <v>€</v>
      </c>
      <c r="K7" s="1" t="s">
        <v>15</v>
      </c>
      <c r="L7" s="1">
        <v>72.5</v>
      </c>
    </row>
    <row r="8" spans="1:12" x14ac:dyDescent="0.45">
      <c r="A8" s="3"/>
      <c r="B8" s="37" t="s">
        <v>19</v>
      </c>
      <c r="C8" s="37"/>
      <c r="D8" s="37"/>
      <c r="E8" s="4"/>
      <c r="F8" s="4">
        <v>1</v>
      </c>
      <c r="G8" s="25" t="s">
        <v>47</v>
      </c>
      <c r="H8" s="28" t="str">
        <f>HYPERLINK("#G8",CHAR(128))</f>
        <v>€</v>
      </c>
      <c r="K8" s="4" t="s">
        <v>16</v>
      </c>
      <c r="L8" s="4">
        <v>227.3</v>
      </c>
    </row>
    <row r="9" spans="1:12" x14ac:dyDescent="0.45">
      <c r="A9" s="2" t="s">
        <v>185</v>
      </c>
      <c r="B9" s="41" t="s">
        <v>20</v>
      </c>
      <c r="C9" s="41"/>
      <c r="D9" s="41"/>
      <c r="E9" s="1">
        <v>8062</v>
      </c>
      <c r="F9" s="16">
        <v>1</v>
      </c>
      <c r="G9" s="25" t="s">
        <v>47</v>
      </c>
      <c r="H9" s="28" t="str">
        <f>HYPERLINK("#G9",CHAR(128))</f>
        <v>€</v>
      </c>
      <c r="I9" s="11"/>
      <c r="K9" s="1" t="s">
        <v>17</v>
      </c>
      <c r="L9" s="1">
        <v>121.7</v>
      </c>
    </row>
    <row r="10" spans="1:12" x14ac:dyDescent="0.45">
      <c r="A10" s="3" t="s">
        <v>186</v>
      </c>
      <c r="B10" s="37" t="s">
        <v>24</v>
      </c>
      <c r="C10" s="37"/>
      <c r="D10" s="37"/>
      <c r="E10" s="8">
        <v>7.75</v>
      </c>
      <c r="F10" s="4">
        <v>1</v>
      </c>
      <c r="G10" s="25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2" x14ac:dyDescent="0.45">
      <c r="A11" s="2" t="s">
        <v>57</v>
      </c>
      <c r="B11" s="41" t="s">
        <v>23</v>
      </c>
      <c r="C11" s="41"/>
      <c r="D11" s="41"/>
      <c r="E11" s="1" t="s">
        <v>154</v>
      </c>
      <c r="F11" s="16">
        <v>1</v>
      </c>
      <c r="G11" s="25" t="s">
        <v>47</v>
      </c>
      <c r="H11" s="28" t="str">
        <f>HYPERLINK("#G11",CHAR(128))</f>
        <v>€</v>
      </c>
    </row>
    <row r="12" spans="1:12" x14ac:dyDescent="0.45">
      <c r="A12" s="5" t="s">
        <v>173</v>
      </c>
      <c r="B12" s="37" t="s">
        <v>25</v>
      </c>
      <c r="C12" s="37"/>
      <c r="D12" s="37"/>
      <c r="E12" s="4" t="s">
        <v>172</v>
      </c>
      <c r="F12" s="4">
        <v>1</v>
      </c>
      <c r="G12" s="25" t="s">
        <v>47</v>
      </c>
      <c r="H12" s="28" t="str">
        <f>HYPERLINK("#G12",CHAR(128))</f>
        <v>€</v>
      </c>
    </row>
    <row r="13" spans="1:12" x14ac:dyDescent="0.45">
      <c r="A13" s="2" t="s">
        <v>188</v>
      </c>
      <c r="B13" s="41" t="s">
        <v>26</v>
      </c>
      <c r="C13" s="41"/>
      <c r="D13" s="41"/>
      <c r="E13" s="1" t="s">
        <v>187</v>
      </c>
      <c r="F13" s="16">
        <v>1</v>
      </c>
      <c r="G13" s="25" t="s">
        <v>47</v>
      </c>
      <c r="H13" s="28" t="str">
        <f>HYPERLINK("#G13",CHAR(128))</f>
        <v>€</v>
      </c>
    </row>
    <row r="14" spans="1:12" x14ac:dyDescent="0.45">
      <c r="A14" s="5" t="s">
        <v>190</v>
      </c>
      <c r="B14" s="37" t="s">
        <v>27</v>
      </c>
      <c r="C14" s="37"/>
      <c r="D14" s="37"/>
      <c r="E14" s="4" t="s">
        <v>189</v>
      </c>
      <c r="F14" s="4">
        <v>1</v>
      </c>
      <c r="G14" s="25" t="s">
        <v>47</v>
      </c>
      <c r="H14" s="28" t="str">
        <f>HYPERLINK("#G14",CHAR(128))</f>
        <v>€</v>
      </c>
    </row>
    <row r="15" spans="1:12" x14ac:dyDescent="0.45">
      <c r="A15" s="2"/>
      <c r="B15" s="49"/>
      <c r="C15" s="49"/>
      <c r="D15" s="49"/>
      <c r="E15" s="1"/>
      <c r="F15" s="16"/>
      <c r="G15" s="16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25" t="s">
        <v>47</v>
      </c>
      <c r="H16" s="23" t="str">
        <f>HYPERLINK("#G16",CHAR(128))</f>
        <v>€</v>
      </c>
    </row>
    <row r="17" spans="1:10" x14ac:dyDescent="0.45">
      <c r="A17" s="2" t="s">
        <v>96</v>
      </c>
      <c r="B17" s="41" t="s">
        <v>22</v>
      </c>
      <c r="C17" s="41"/>
      <c r="D17" s="41"/>
      <c r="E17" s="1" t="s">
        <v>68</v>
      </c>
      <c r="F17" s="16">
        <v>1</v>
      </c>
      <c r="G17" s="25" t="s">
        <v>47</v>
      </c>
      <c r="H17" s="23" t="str">
        <f>HYPERLINK("#G17",CHAR(128))</f>
        <v>€</v>
      </c>
    </row>
    <row r="18" spans="1:10" x14ac:dyDescent="0.45">
      <c r="A18" s="5"/>
      <c r="B18" s="37" t="s">
        <v>29</v>
      </c>
      <c r="C18" s="37"/>
      <c r="D18" s="37"/>
      <c r="E18" s="4"/>
      <c r="F18" s="4">
        <v>1</v>
      </c>
      <c r="G18" s="25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41" t="s">
        <v>30</v>
      </c>
      <c r="C19" s="41"/>
      <c r="D19" s="41"/>
      <c r="E19" s="1" t="s">
        <v>75</v>
      </c>
      <c r="F19" s="16">
        <v>1</v>
      </c>
      <c r="G19" s="25" t="s">
        <v>47</v>
      </c>
      <c r="H19" s="23" t="str">
        <f>HYPERLINK("#G19",CHAR(128))</f>
        <v>€</v>
      </c>
    </row>
    <row r="20" spans="1:10" x14ac:dyDescent="0.45">
      <c r="A20" s="5"/>
      <c r="B20" s="46"/>
      <c r="C20" s="47"/>
      <c r="D20" s="48"/>
      <c r="E20" s="4"/>
      <c r="F20" s="4"/>
      <c r="G20" s="4"/>
      <c r="H20" s="14"/>
    </row>
    <row r="21" spans="1:10" x14ac:dyDescent="0.45">
      <c r="A21" s="2" t="s">
        <v>191</v>
      </c>
      <c r="B21" s="41" t="s">
        <v>33</v>
      </c>
      <c r="C21" s="41"/>
      <c r="D21" s="41"/>
      <c r="E21" s="9">
        <v>7.75</v>
      </c>
      <c r="F21" s="16">
        <v>1</v>
      </c>
      <c r="G21" s="25" t="s">
        <v>47</v>
      </c>
      <c r="H21" s="23" t="str">
        <f>HYPERLINK("#G21",CHAR(128))</f>
        <v>€</v>
      </c>
    </row>
    <row r="22" spans="1:10" x14ac:dyDescent="0.45">
      <c r="A22" s="5"/>
      <c r="B22" s="37" t="s">
        <v>31</v>
      </c>
      <c r="C22" s="37"/>
      <c r="D22" s="37"/>
      <c r="E22" s="4"/>
      <c r="F22" s="4">
        <v>1</v>
      </c>
      <c r="G22" s="25" t="s">
        <v>47</v>
      </c>
      <c r="H22" s="23" t="str">
        <f>HYPERLINK("#G22",CHAR(128))</f>
        <v>€</v>
      </c>
    </row>
    <row r="23" spans="1:10" x14ac:dyDescent="0.45">
      <c r="A23" s="2" t="s">
        <v>192</v>
      </c>
      <c r="B23" s="41" t="s">
        <v>50</v>
      </c>
      <c r="C23" s="41"/>
      <c r="D23" s="41"/>
      <c r="E23" s="1">
        <v>7342</v>
      </c>
      <c r="F23" s="16">
        <v>1</v>
      </c>
      <c r="G23" s="25" t="s">
        <v>47</v>
      </c>
      <c r="H23" s="22" t="str">
        <f>HYPERLINK("#G23",CHAR(128))</f>
        <v>€</v>
      </c>
    </row>
    <row r="24" spans="1:10" x14ac:dyDescent="0.45">
      <c r="A24" s="5"/>
      <c r="B24" s="37" t="s">
        <v>32</v>
      </c>
      <c r="C24" s="37"/>
      <c r="D24" s="37"/>
      <c r="E24" s="4"/>
      <c r="F24" s="4">
        <v>1</v>
      </c>
      <c r="G24" s="25" t="s">
        <v>47</v>
      </c>
      <c r="H24" s="22" t="str">
        <f>HYPERLINK("#G24",CHAR(128))</f>
        <v>€</v>
      </c>
    </row>
    <row r="25" spans="1:10" x14ac:dyDescent="0.45">
      <c r="A25" s="2"/>
      <c r="B25" s="41"/>
      <c r="C25" s="41"/>
      <c r="D25" s="41"/>
      <c r="E25" s="1"/>
      <c r="F25" s="16"/>
      <c r="G25" s="16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Thomas</v>
      </c>
      <c r="F26" s="4">
        <v>1</v>
      </c>
      <c r="G26" s="25" t="s">
        <v>47</v>
      </c>
      <c r="H26" s="24" t="str">
        <f>HYPERLINK("#G26",CHAR(128))</f>
        <v>€</v>
      </c>
    </row>
    <row r="27" spans="1:10" x14ac:dyDescent="0.45">
      <c r="G27" s="59" t="s">
        <v>193</v>
      </c>
    </row>
    <row r="28" spans="1:10" x14ac:dyDescent="0.45">
      <c r="G28" s="60"/>
      <c r="J28" s="18"/>
    </row>
    <row r="29" spans="1:10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50" t="s">
        <v>40</v>
      </c>
      <c r="B37" s="50" t="s">
        <v>7</v>
      </c>
      <c r="C37" s="50" t="s">
        <v>162</v>
      </c>
      <c r="D37" s="51" t="s">
        <v>163</v>
      </c>
    </row>
    <row r="38" spans="1:8" x14ac:dyDescent="0.45">
      <c r="A38" s="52"/>
      <c r="B38" s="53"/>
      <c r="C38" s="53"/>
      <c r="D38" s="54"/>
    </row>
    <row r="39" spans="1:8" x14ac:dyDescent="0.45">
      <c r="B39" t="s">
        <v>164</v>
      </c>
    </row>
  </sheetData>
  <mergeCells count="38">
    <mergeCell ref="G27:G28"/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21" priority="2" operator="equal">
      <formula>"Returned"</formula>
    </cfRule>
    <cfRule type="cellIs" dxfId="20" priority="5" operator="equal">
      <formula>"Ready To Order"</formula>
    </cfRule>
    <cfRule type="cellIs" dxfId="19" priority="6" operator="equal">
      <formula>"UNP"</formula>
    </cfRule>
    <cfRule type="containsText" dxfId="18" priority="7" operator="containsText" text="Ordered">
      <formula>NOT(ISERROR(SEARCH("Ordered",G6)))</formula>
    </cfRule>
    <cfRule type="containsText" dxfId="17" priority="8" operator="containsText" text="Pick Up">
      <formula>NOT(ISERROR(SEARCH("Pick Up",G6)))</formula>
    </cfRule>
    <cfRule type="containsText" dxfId="16" priority="9" operator="containsText" text="Complete">
      <formula>NOT(ISERROR(SEARCH("Complete",G6)))</formula>
    </cfRule>
  </conditionalFormatting>
  <conditionalFormatting sqref="G30:G33">
    <cfRule type="containsText" dxfId="15" priority="4" operator="containsText" text="Given">
      <formula>NOT(ISERROR(SEARCH("Given",G30)))</formula>
    </cfRule>
  </conditionalFormatting>
  <conditionalFormatting sqref="G30:G34">
    <cfRule type="containsText" dxfId="14" priority="3" operator="containsText" text="Returned">
      <formula>NOT(ISERROR(SEARCH("Returned",G30)))</formula>
    </cfRule>
  </conditionalFormatting>
  <conditionalFormatting sqref="G6:G14 G21:G26 G16:G19">
    <cfRule type="cellIs" dxfId="13" priority="1" operator="equal">
      <formula>"In Stock"</formula>
    </cfRule>
  </conditionalFormatting>
  <dataValidations count="3">
    <dataValidation type="list" allowBlank="1" showInputMessage="1" showErrorMessage="1" sqref="G30:G34" xr:uid="{DDE962B5-89F8-4C43-9BDF-4BB43E31A194}">
      <formula1>"--,Returned, Given"</formula1>
    </dataValidation>
    <dataValidation type="list" allowBlank="1" showInputMessage="1" showErrorMessage="1" sqref="G16:G19 G21:G24 G26 G6:G14" xr:uid="{F40B62A7-F4E3-4D7E-A166-F3E341A64FB0}">
      <formula1>"UNP, Ready To Order, Ordered, In Stock, Pick Up, Complete, Returned"</formula1>
    </dataValidation>
    <dataValidation type="decimal" allowBlank="1" showInputMessage="1" showErrorMessage="1" sqref="L2" xr:uid="{E88BCF27-DAAD-495A-86E8-0246D9059664}">
      <formula1>19</formula1>
      <formula2>26</formula2>
    </dataValidation>
  </dataValidations>
  <hyperlinks>
    <hyperlink ref="A1:A2" location="Menu!A1" display="Back to Menu" xr:uid="{4065AAAC-37C3-4CEB-B4BE-A167586382F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9"/>
  <sheetViews>
    <sheetView zoomScaleNormal="100" workbookViewId="0">
      <selection sqref="A1:L40"/>
    </sheetView>
  </sheetViews>
  <sheetFormatPr defaultRowHeight="14.25" x14ac:dyDescent="0.45"/>
  <cols>
    <col min="1" max="1" width="18.53125" customWidth="1"/>
    <col min="5" max="5" width="14.33203125" customWidth="1"/>
    <col min="7" max="7" width="16.53125" customWidth="1"/>
    <col min="8" max="8" width="2.46484375" customWidth="1"/>
    <col min="11" max="11" width="12.1328125" customWidth="1"/>
    <col min="12" max="12" width="13.1328125" customWidth="1"/>
  </cols>
  <sheetData>
    <row r="1" spans="1:12" ht="17.25" customHeight="1" x14ac:dyDescent="0.45">
      <c r="A1" s="38" t="s">
        <v>42</v>
      </c>
      <c r="B1" s="20" t="s">
        <v>3</v>
      </c>
      <c r="C1" s="40" t="s">
        <v>0</v>
      </c>
      <c r="D1" s="40"/>
      <c r="E1" s="40" t="s">
        <v>2</v>
      </c>
      <c r="F1" s="40"/>
      <c r="G1" s="20" t="s">
        <v>34</v>
      </c>
      <c r="K1" s="20" t="s">
        <v>38</v>
      </c>
      <c r="L1" s="20" t="s">
        <v>10</v>
      </c>
    </row>
    <row r="2" spans="1:12" ht="17.25" customHeight="1" x14ac:dyDescent="0.45">
      <c r="A2" s="39"/>
      <c r="B2" s="2"/>
      <c r="C2" s="41"/>
      <c r="D2" s="41"/>
      <c r="E2" s="41"/>
      <c r="F2" s="41"/>
      <c r="G2" s="1"/>
      <c r="K2" s="4" t="s">
        <v>9</v>
      </c>
      <c r="L2" s="4"/>
    </row>
    <row r="3" spans="1:12" ht="17.25" customHeight="1" x14ac:dyDescent="0.45">
      <c r="A3" s="20" t="s">
        <v>1</v>
      </c>
      <c r="B3" s="42" t="s">
        <v>4</v>
      </c>
      <c r="C3" s="43"/>
      <c r="D3" s="44"/>
      <c r="E3" s="42" t="s">
        <v>51</v>
      </c>
      <c r="F3" s="44"/>
      <c r="G3" s="20" t="s">
        <v>5</v>
      </c>
      <c r="K3" s="1" t="s">
        <v>11</v>
      </c>
      <c r="L3" s="1"/>
    </row>
    <row r="4" spans="1:12" ht="17.25" customHeight="1" x14ac:dyDescent="0.45">
      <c r="A4" s="1" t="s">
        <v>39</v>
      </c>
      <c r="B4" s="45"/>
      <c r="C4" s="45"/>
      <c r="D4" s="45"/>
      <c r="E4" s="41"/>
      <c r="F4" s="41"/>
      <c r="G4" s="1"/>
      <c r="K4" s="4" t="s">
        <v>12</v>
      </c>
      <c r="L4" s="4"/>
    </row>
    <row r="5" spans="1:12" ht="17.25" customHeight="1" x14ac:dyDescent="0.45">
      <c r="A5" s="20" t="s">
        <v>6</v>
      </c>
      <c r="B5" s="40" t="s">
        <v>7</v>
      </c>
      <c r="C5" s="40"/>
      <c r="D5" s="40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45">
      <c r="A6" s="3"/>
      <c r="B6" s="37" t="s">
        <v>18</v>
      </c>
      <c r="C6" s="37"/>
      <c r="D6" s="37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45">
      <c r="A7" s="2"/>
      <c r="B7" s="41" t="s">
        <v>21</v>
      </c>
      <c r="C7" s="41"/>
      <c r="D7" s="41"/>
      <c r="E7" s="1"/>
      <c r="F7" s="16">
        <v>1</v>
      </c>
      <c r="G7" s="25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45">
      <c r="A8" s="3"/>
      <c r="B8" s="37" t="s">
        <v>19</v>
      </c>
      <c r="C8" s="37"/>
      <c r="D8" s="37"/>
      <c r="E8" s="4"/>
      <c r="F8" s="4">
        <v>1</v>
      </c>
      <c r="G8" s="25" t="s">
        <v>47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45">
      <c r="A9" s="2"/>
      <c r="B9" s="41" t="s">
        <v>20</v>
      </c>
      <c r="C9" s="41"/>
      <c r="D9" s="41"/>
      <c r="E9" s="1"/>
      <c r="F9" s="16">
        <v>1</v>
      </c>
      <c r="G9" s="25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45">
      <c r="A10" s="3"/>
      <c r="B10" s="37" t="s">
        <v>24</v>
      </c>
      <c r="C10" s="37"/>
      <c r="D10" s="37"/>
      <c r="E10" s="8"/>
      <c r="F10" s="4">
        <v>1</v>
      </c>
      <c r="G10" s="25" t="s">
        <v>47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45">
      <c r="A11" s="2"/>
      <c r="B11" s="41" t="s">
        <v>23</v>
      </c>
      <c r="C11" s="41"/>
      <c r="D11" s="41"/>
      <c r="E11" s="1"/>
      <c r="F11" s="16">
        <v>1</v>
      </c>
      <c r="G11" s="25" t="s">
        <v>47</v>
      </c>
      <c r="H11" s="28" t="str">
        <f>HYPERLINK("#G11",CHAR(128))</f>
        <v>€</v>
      </c>
    </row>
    <row r="12" spans="1:12" ht="17.25" customHeight="1" x14ac:dyDescent="0.45">
      <c r="A12" s="5"/>
      <c r="B12" s="37" t="s">
        <v>25</v>
      </c>
      <c r="C12" s="37"/>
      <c r="D12" s="37"/>
      <c r="E12" s="4"/>
      <c r="F12" s="4">
        <v>1</v>
      </c>
      <c r="G12" s="25" t="s">
        <v>47</v>
      </c>
      <c r="H12" s="28" t="str">
        <f>HYPERLINK("#G12",CHAR(128))</f>
        <v>€</v>
      </c>
    </row>
    <row r="13" spans="1:12" ht="17.25" customHeight="1" x14ac:dyDescent="0.45">
      <c r="A13" s="2"/>
      <c r="B13" s="41" t="s">
        <v>26</v>
      </c>
      <c r="C13" s="41"/>
      <c r="D13" s="41"/>
      <c r="E13" s="1"/>
      <c r="F13" s="16">
        <v>1</v>
      </c>
      <c r="G13" s="25" t="s">
        <v>47</v>
      </c>
      <c r="H13" s="28" t="str">
        <f>HYPERLINK("#G13",CHAR(128))</f>
        <v>€</v>
      </c>
    </row>
    <row r="14" spans="1:12" ht="17.25" customHeight="1" x14ac:dyDescent="0.45">
      <c r="A14" s="5"/>
      <c r="B14" s="37" t="s">
        <v>27</v>
      </c>
      <c r="C14" s="37"/>
      <c r="D14" s="37"/>
      <c r="E14" s="4"/>
      <c r="F14" s="4">
        <v>1</v>
      </c>
      <c r="G14" s="25" t="s">
        <v>47</v>
      </c>
      <c r="H14" s="28" t="str">
        <f>HYPERLINK("#G14",CHAR(128))</f>
        <v>€</v>
      </c>
    </row>
    <row r="15" spans="1:12" ht="17.25" customHeight="1" x14ac:dyDescent="0.45">
      <c r="A15" s="2"/>
      <c r="B15" s="49"/>
      <c r="C15" s="49"/>
      <c r="D15" s="49"/>
      <c r="E15" s="1"/>
      <c r="F15" s="16"/>
      <c r="G15" s="16"/>
      <c r="H15" s="14"/>
    </row>
    <row r="16" spans="1:12" ht="17.25" customHeight="1" x14ac:dyDescent="0.45">
      <c r="A16" s="5"/>
      <c r="B16" s="37" t="s">
        <v>28</v>
      </c>
      <c r="C16" s="37"/>
      <c r="D16" s="37"/>
      <c r="E16" s="4"/>
      <c r="F16" s="4">
        <v>1</v>
      </c>
      <c r="G16" s="25" t="s">
        <v>47</v>
      </c>
      <c r="H16" s="23" t="str">
        <f>HYPERLINK("#G16",CHAR(128))</f>
        <v>€</v>
      </c>
    </row>
    <row r="17" spans="1:14" ht="17.25" customHeight="1" x14ac:dyDescent="0.45">
      <c r="A17" s="2"/>
      <c r="B17" s="41" t="s">
        <v>22</v>
      </c>
      <c r="C17" s="41"/>
      <c r="D17" s="41"/>
      <c r="E17" s="1"/>
      <c r="F17" s="16">
        <v>1</v>
      </c>
      <c r="G17" s="25" t="s">
        <v>47</v>
      </c>
      <c r="H17" s="23" t="str">
        <f>HYPERLINK("#G17",CHAR(128))</f>
        <v>€</v>
      </c>
    </row>
    <row r="18" spans="1:14" ht="17.25" customHeight="1" x14ac:dyDescent="0.45">
      <c r="A18" s="5"/>
      <c r="B18" s="37" t="s">
        <v>29</v>
      </c>
      <c r="C18" s="37"/>
      <c r="D18" s="37"/>
      <c r="E18" s="4"/>
      <c r="F18" s="4">
        <v>1</v>
      </c>
      <c r="G18" s="25" t="s">
        <v>47</v>
      </c>
      <c r="H18" s="23" t="str">
        <f>HYPERLINK("#G18",CHAR(128))</f>
        <v>€</v>
      </c>
    </row>
    <row r="19" spans="1:14" ht="17.25" customHeight="1" x14ac:dyDescent="0.45">
      <c r="A19" s="2"/>
      <c r="B19" s="41" t="s">
        <v>30</v>
      </c>
      <c r="C19" s="41"/>
      <c r="D19" s="41"/>
      <c r="E19" s="1"/>
      <c r="F19" s="16">
        <v>1</v>
      </c>
      <c r="G19" s="25" t="s">
        <v>47</v>
      </c>
      <c r="H19" s="23" t="str">
        <f>HYPERLINK("#G19",CHAR(128))</f>
        <v>€</v>
      </c>
    </row>
    <row r="20" spans="1:14" ht="17.25" customHeight="1" x14ac:dyDescent="0.45">
      <c r="A20" s="5"/>
      <c r="B20" s="46"/>
      <c r="C20" s="47"/>
      <c r="D20" s="48"/>
      <c r="E20" s="4"/>
      <c r="F20" s="4"/>
      <c r="G20" s="4"/>
      <c r="H20" s="14"/>
    </row>
    <row r="21" spans="1:14" x14ac:dyDescent="0.45">
      <c r="A21" s="2"/>
      <c r="B21" s="41" t="s">
        <v>33</v>
      </c>
      <c r="C21" s="41"/>
      <c r="D21" s="41"/>
      <c r="E21" s="9"/>
      <c r="F21" s="16">
        <v>1</v>
      </c>
      <c r="G21" s="25" t="s">
        <v>47</v>
      </c>
      <c r="H21" s="23" t="str">
        <f>HYPERLINK("#G21",CHAR(128))</f>
        <v>€</v>
      </c>
    </row>
    <row r="22" spans="1:14" x14ac:dyDescent="0.45">
      <c r="A22" s="5"/>
      <c r="B22" s="37" t="s">
        <v>31</v>
      </c>
      <c r="C22" s="37"/>
      <c r="D22" s="37"/>
      <c r="E22" s="4"/>
      <c r="F22" s="4">
        <v>1</v>
      </c>
      <c r="G22" s="25" t="s">
        <v>47</v>
      </c>
      <c r="H22" s="23" t="str">
        <f>HYPERLINK("#G22",CHAR(128))</f>
        <v>€</v>
      </c>
      <c r="N22" s="2"/>
    </row>
    <row r="23" spans="1:14" x14ac:dyDescent="0.45">
      <c r="A23" s="2"/>
      <c r="B23" s="41" t="s">
        <v>50</v>
      </c>
      <c r="C23" s="41"/>
      <c r="D23" s="41"/>
      <c r="E23" s="1"/>
      <c r="F23" s="16">
        <v>1</v>
      </c>
      <c r="G23" s="25" t="s">
        <v>47</v>
      </c>
      <c r="H23" s="22" t="str">
        <f>HYPERLINK("#G23",CHAR(128))</f>
        <v>€</v>
      </c>
    </row>
    <row r="24" spans="1:14" x14ac:dyDescent="0.45">
      <c r="A24" s="5"/>
      <c r="B24" s="37" t="s">
        <v>32</v>
      </c>
      <c r="C24" s="37"/>
      <c r="D24" s="37"/>
      <c r="E24" s="4"/>
      <c r="F24" s="4">
        <v>1</v>
      </c>
      <c r="G24" s="25" t="s">
        <v>47</v>
      </c>
      <c r="H24" s="22" t="str">
        <f>HYPERLINK("#G24",CHAR(128))</f>
        <v>€</v>
      </c>
    </row>
    <row r="25" spans="1:14" x14ac:dyDescent="0.45">
      <c r="A25" s="2"/>
      <c r="B25" s="41"/>
      <c r="C25" s="41"/>
      <c r="D25" s="41"/>
      <c r="E25" s="1"/>
      <c r="F25" s="16"/>
      <c r="G25" s="16"/>
      <c r="H25" s="14"/>
      <c r="I25" s="12"/>
    </row>
    <row r="26" spans="1:14" x14ac:dyDescent="0.45">
      <c r="A26" s="5"/>
      <c r="B26" s="37" t="s">
        <v>37</v>
      </c>
      <c r="C26" s="37"/>
      <c r="D26" s="37"/>
      <c r="E26" s="4">
        <f>C2</f>
        <v>0</v>
      </c>
      <c r="F26" s="4">
        <v>1</v>
      </c>
      <c r="G26" s="25" t="s">
        <v>47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40" t="s">
        <v>52</v>
      </c>
      <c r="C29" s="40"/>
      <c r="D29" s="40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41"/>
      <c r="C31" s="41"/>
      <c r="D31" s="41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41"/>
      <c r="C33" s="41"/>
      <c r="D33" s="41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50" t="s">
        <v>40</v>
      </c>
      <c r="B37" s="50" t="s">
        <v>7</v>
      </c>
      <c r="C37" s="50" t="s">
        <v>162</v>
      </c>
      <c r="D37" s="51" t="s">
        <v>163</v>
      </c>
    </row>
    <row r="38" spans="1:8" x14ac:dyDescent="0.45">
      <c r="A38" s="52"/>
      <c r="B38" s="53"/>
      <c r="C38" s="53"/>
      <c r="D38" s="54"/>
    </row>
    <row r="39" spans="1:8" x14ac:dyDescent="0.45">
      <c r="B39" t="s">
        <v>164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39" priority="2" operator="equal">
      <formula>"Returned"</formula>
    </cfRule>
    <cfRule type="cellIs" dxfId="38" priority="12" operator="equal">
      <formula>"Ready To Order"</formula>
    </cfRule>
    <cfRule type="cellIs" dxfId="37" priority="13" operator="equal">
      <formula>"UNP"</formula>
    </cfRule>
    <cfRule type="containsText" dxfId="36" priority="14" operator="containsText" text="Ordered">
      <formula>NOT(ISERROR(SEARCH("Ordered",G6)))</formula>
    </cfRule>
    <cfRule type="containsText" dxfId="35" priority="15" operator="containsText" text="Pick Up">
      <formula>NOT(ISERROR(SEARCH("Pick Up",G6)))</formula>
    </cfRule>
    <cfRule type="containsText" dxfId="34" priority="16" operator="containsText" text="Complete">
      <formula>NOT(ISERROR(SEARCH("Complete",G6)))</formula>
    </cfRule>
  </conditionalFormatting>
  <conditionalFormatting sqref="G30:G33">
    <cfRule type="containsText" dxfId="33" priority="4" operator="containsText" text="Given">
      <formula>NOT(ISERROR(SEARCH("Given",G30)))</formula>
    </cfRule>
  </conditionalFormatting>
  <conditionalFormatting sqref="G30:G34">
    <cfRule type="containsText" dxfId="32" priority="3" operator="containsText" text="Returned">
      <formula>NOT(ISERROR(SEARCH("Returned",G30)))</formula>
    </cfRule>
  </conditionalFormatting>
  <conditionalFormatting sqref="G6:G14 G21:G26 G16:G19">
    <cfRule type="cellIs" dxfId="31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204788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Rachel_Jackson_5A48B180</vt:lpstr>
      <vt:lpstr>Xavier_Garcia_4E4690B1</vt:lpstr>
      <vt:lpstr>Taylor_Thomas_1D7B208C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2023-12-27T21:42:03Z</dcterms:modified>
</cp:coreProperties>
</file>