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\Desktop\projects\SupplyExcel\"/>
    </mc:Choice>
  </mc:AlternateContent>
  <xr:revisionPtr revIDLastSave="0" documentId="13_ncr:1_{C0B7BFA5-C694-44A3-A089-2E44EED5D84C}" xr6:coauthVersionLast="47" xr6:coauthVersionMax="47" xr10:uidLastSave="{00000000-0000-0000-0000-000000000000}"/>
  <bookViews>
    <workbookView xWindow="-98" yWindow="-98" windowWidth="21795" windowHeight="13875" tabRatio="856" activeTab="1" xr2:uid="{01218C0E-FF84-42AC-8993-DD76AC11461D}"/>
  </bookViews>
  <sheets>
    <sheet name="Menu" sheetId="48" r:id="rId1"/>
    <sheet name="Importing" sheetId="124" r:id="rId2"/>
    <sheet name="Pickup" sheetId="181" r:id="rId3"/>
    <sheet name="Henry_Smith_AB6D98A0" sheetId="172" r:id="rId4"/>
    <sheet name="Alice_Robinson_AB7A73BD" sheetId="176" r:id="rId5"/>
    <sheet name="Liam_Robinson_FD0E829E" sheetId="177" r:id="rId6"/>
    <sheet name="Taylor_White_0556E08D" sheetId="180" r:id="rId7"/>
    <sheet name="Template" sheetId="1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180" l="1"/>
  <c r="H33" i="180"/>
  <c r="H32" i="180"/>
  <c r="H31" i="180"/>
  <c r="H30" i="180"/>
  <c r="H26" i="180"/>
  <c r="E26" i="180"/>
  <c r="H24" i="180"/>
  <c r="H23" i="180"/>
  <c r="H22" i="180"/>
  <c r="H21" i="180"/>
  <c r="H19" i="180"/>
  <c r="H18" i="180"/>
  <c r="H17" i="180"/>
  <c r="H16" i="180"/>
  <c r="H14" i="180"/>
  <c r="H13" i="180"/>
  <c r="H12" i="180"/>
  <c r="H11" i="180"/>
  <c r="H10" i="180"/>
  <c r="H9" i="180"/>
  <c r="H8" i="180"/>
  <c r="H7" i="180"/>
  <c r="H6" i="180"/>
  <c r="H34" i="177"/>
  <c r="H33" i="177"/>
  <c r="H32" i="177"/>
  <c r="H31" i="177"/>
  <c r="H30" i="177"/>
  <c r="H26" i="177"/>
  <c r="E26" i="177"/>
  <c r="H24" i="177"/>
  <c r="H23" i="177"/>
  <c r="H22" i="177"/>
  <c r="H21" i="177"/>
  <c r="H19" i="177"/>
  <c r="H18" i="177"/>
  <c r="H17" i="177"/>
  <c r="H16" i="177"/>
  <c r="H14" i="177"/>
  <c r="H13" i="177"/>
  <c r="H12" i="177"/>
  <c r="H11" i="177"/>
  <c r="H10" i="177"/>
  <c r="H9" i="177"/>
  <c r="H8" i="177"/>
  <c r="H7" i="177"/>
  <c r="H6" i="177"/>
  <c r="H34" i="176"/>
  <c r="H33" i="176"/>
  <c r="H32" i="176"/>
  <c r="H31" i="176"/>
  <c r="H30" i="176"/>
  <c r="H26" i="176"/>
  <c r="E26" i="176"/>
  <c r="H24" i="176"/>
  <c r="H23" i="176"/>
  <c r="H22" i="176"/>
  <c r="H21" i="176"/>
  <c r="H19" i="176"/>
  <c r="H18" i="176"/>
  <c r="H17" i="176"/>
  <c r="H16" i="176"/>
  <c r="H14" i="176"/>
  <c r="H13" i="176"/>
  <c r="H12" i="176"/>
  <c r="H11" i="176"/>
  <c r="H10" i="176"/>
  <c r="H9" i="176"/>
  <c r="H8" i="176"/>
  <c r="H7" i="176"/>
  <c r="H6" i="176"/>
  <c r="H34" i="172"/>
  <c r="H33" i="172"/>
  <c r="H32" i="172"/>
  <c r="H31" i="172"/>
  <c r="H30" i="172"/>
  <c r="H26" i="172"/>
  <c r="E26" i="172"/>
  <c r="H24" i="172"/>
  <c r="H23" i="172"/>
  <c r="H22" i="172"/>
  <c r="H21" i="172"/>
  <c r="H19" i="172"/>
  <c r="H18" i="172"/>
  <c r="H17" i="172"/>
  <c r="H16" i="172"/>
  <c r="H14" i="172"/>
  <c r="H13" i="172"/>
  <c r="H12" i="172"/>
  <c r="H11" i="172"/>
  <c r="H10" i="172"/>
  <c r="H9" i="172"/>
  <c r="H8" i="172"/>
  <c r="H7" i="172"/>
  <c r="H6" i="17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<sst xmlns="http://schemas.openxmlformats.org/spreadsheetml/2006/main" count="507" uniqueCount="144">
  <si>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</si>
  <si>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</si>
  <si>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</si>
  <si>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</si>
  <si>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</si>
  <si>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</si>
  <si>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</si>
  <si>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</si>
  <si>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</si>
  <si>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</si>
  <si>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</si>
  <si>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</si>
  <si>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</si>
  <si>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</si>
  <si>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</si>
  <si>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</si>
  <si>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</si>
  <si>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</si>
  <si>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</si>
  <si>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</si>
  <si>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</si>
  <si>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</si>
  <si>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</si>
  <si>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</si>
  <si>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</si>
  <si>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</si>
  <si>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</si>
  <si>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</si>
  <si>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</si>
  <si>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</si>
  <si>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</si>
  <si>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</si>
  <si>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</si>
  <si>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</si>
  <si>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</si>
  <si>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</si>
  <si>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</si>
  <si>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</si>
  <si>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</si>
  <si>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</si>
  <si>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</si>
  <si>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</si>
  <si>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</si>
  <si>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</si>
  <si>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</si>
  <si>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XS</t>
  </si>
  <si>
    <t>XL/TG</t>
  </si>
  <si>
    <t>UNP</t>
  </si>
  <si>
    <t>8405-21-907-9466</t>
  </si>
  <si>
    <t>Hand Length</t>
  </si>
  <si>
    <t>FTU Pants</t>
  </si>
  <si>
    <t>Email</t>
  </si>
  <si>
    <t>Extra Items</t>
  </si>
  <si>
    <t>320/126</t>
  </si>
  <si>
    <t>UNI</t>
  </si>
  <si>
    <t>8440-20-006-6068</t>
  </si>
  <si>
    <t>L (66 inch)</t>
  </si>
  <si>
    <t>8440-21-899-1182</t>
  </si>
  <si>
    <t>Jesus@hotmail.com</t>
  </si>
  <si>
    <t>8430-20-006-2569</t>
  </si>
  <si>
    <t>8405-20-003-5837</t>
  </si>
  <si>
    <t>8405-21-920-7275</t>
  </si>
  <si>
    <t>Smith</t>
  </si>
  <si>
    <t>Last Name</t>
  </si>
  <si>
    <t>Is Male</t>
  </si>
  <si>
    <t>Hip</t>
  </si>
  <si>
    <t>Foot Len</t>
  </si>
  <si>
    <t>Foot Wid</t>
  </si>
  <si>
    <t>XXL</t>
  </si>
  <si>
    <t>1000-21-215-7658</t>
  </si>
  <si>
    <t>Henry</t>
  </si>
  <si>
    <t>AB6D98A0</t>
  </si>
  <si>
    <t>1000-21-059-8060</t>
  </si>
  <si>
    <t>1000-21-316-2000</t>
  </si>
  <si>
    <t>1000-21-070-7658</t>
  </si>
  <si>
    <t>(L/XL - G/TG)</t>
  </si>
  <si>
    <t>8415-20-006-8917</t>
  </si>
  <si>
    <t>8405-20-013-1465</t>
  </si>
  <si>
    <t>8405-20-004-7490</t>
  </si>
  <si>
    <t>8405-21-920-7089</t>
  </si>
  <si>
    <t>M</t>
  </si>
  <si>
    <t>8420-20-001-0730</t>
  </si>
  <si>
    <t>8405-20-004-7506</t>
  </si>
  <si>
    <t>9D</t>
  </si>
  <si>
    <t>8430-20-A0X-9132</t>
  </si>
  <si>
    <t>Hand</t>
  </si>
  <si>
    <t>Robinson</t>
  </si>
  <si>
    <t>Alice</t>
  </si>
  <si>
    <t>AB7A73BD</t>
  </si>
  <si>
    <t>Female</t>
  </si>
  <si>
    <t>8405-21-905-7815</t>
  </si>
  <si>
    <t>26M</t>
  </si>
  <si>
    <t>8410-21-912-7795</t>
  </si>
  <si>
    <t>8405-20-003-5847</t>
  </si>
  <si>
    <t>R (50 inch)</t>
  </si>
  <si>
    <t>8440-21-905-7384</t>
  </si>
  <si>
    <t>8405-21-920-7281</t>
  </si>
  <si>
    <t>8405-21-920-7092</t>
  </si>
  <si>
    <t>(JR / JR)</t>
  </si>
  <si>
    <t>8415-20-006-8915</t>
  </si>
  <si>
    <t>8405-20-013-1477</t>
  </si>
  <si>
    <t>8405-20-004-7484</t>
  </si>
  <si>
    <t>Liam</t>
  </si>
  <si>
    <t>FD0E829E</t>
  </si>
  <si>
    <t>1000-21-059-6442</t>
  </si>
  <si>
    <t>20S</t>
  </si>
  <si>
    <t>8410-21-912-7790</t>
  </si>
  <si>
    <t>L</t>
  </si>
  <si>
    <t>8420-20-001-0731</t>
  </si>
  <si>
    <t>6738 (H48-1/2)</t>
  </si>
  <si>
    <t>8410-21-912-3648</t>
  </si>
  <si>
    <t>8405-20-003-5838</t>
  </si>
  <si>
    <t>REG</t>
  </si>
  <si>
    <t>8440-20-008-7936</t>
  </si>
  <si>
    <t>285/116</t>
  </si>
  <si>
    <t>8430-20-006-2557</t>
  </si>
  <si>
    <t>8405-21-920-7100</t>
  </si>
  <si>
    <t>8405-20-013-1468</t>
  </si>
  <si>
    <t>8405-20-004-7488</t>
  </si>
  <si>
    <t>8405-20-004-7508</t>
  </si>
  <si>
    <t>16EEE</t>
  </si>
  <si>
    <t>8430-20-A0Y-2290</t>
  </si>
  <si>
    <t>White</t>
  </si>
  <si>
    <t>Taylor</t>
  </si>
  <si>
    <t>0556E08D</t>
  </si>
  <si>
    <t>1000-21-059-8034</t>
  </si>
  <si>
    <t>8405-20-001-4510</t>
  </si>
  <si>
    <t>8405-21-909-2423</t>
  </si>
  <si>
    <t>XL (60 inch)</t>
  </si>
  <si>
    <t>8440-20-005-2931</t>
  </si>
  <si>
    <t>L/G</t>
  </si>
  <si>
    <t>8440-20-006-6069</t>
  </si>
  <si>
    <t>330/130</t>
  </si>
  <si>
    <t>8430-20-006-2570</t>
  </si>
  <si>
    <t>8405-20-013-1466</t>
  </si>
  <si>
    <t>8405-20-004-7500</t>
  </si>
  <si>
    <t>8405-20-004-7523</t>
  </si>
  <si>
    <t>(2XS / 2TP)</t>
  </si>
  <si>
    <t>1001-21-154-1000</t>
  </si>
  <si>
    <t>6D</t>
  </si>
  <si>
    <t>8430-20-A0X-8963</t>
  </si>
  <si>
    <t>Name</t>
  </si>
  <si>
    <t>Complete</t>
  </si>
  <si>
    <t>In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</si>
</sst>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-###\-####"/>
    <numFmt numFmtId="165" formatCode="yyyy/mm/d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1" xfId="2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57"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66FF99"/>
      <color rgb="FFC39BE1"/>
      <color rgb="FF70AE8C"/>
      <color rgb="FFDAA100"/>
      <color rgb="FF03E4DF"/>
      <color rgb="FF699BFF"/>
      <color rgb="FFFB873F"/>
      <color rgb="FFFF7575"/>
      <color rgb="FFF6F66A"/>
      <color rgb="FFFF93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0</xdr:row>
          <xdr:rowOff>0</xdr:rowOff>
        </xdr:from>
        <xdr:to>
          <xdr:col>7</xdr:col>
          <xdr:colOff>485775</xdr:colOff>
          <xdr:row>0</xdr:row>
          <xdr:rowOff>481013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0</xdr:row>
          <xdr:rowOff>0</xdr:rowOff>
        </xdr:from>
        <xdr:to>
          <xdr:col>12</xdr:col>
          <xdr:colOff>523875</xdr:colOff>
          <xdr:row>0</xdr:row>
          <xdr:rowOff>471488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0</xdr:row>
          <xdr:rowOff>0</xdr:rowOff>
        </xdr:from>
        <xdr:to>
          <xdr:col>10</xdr:col>
          <xdr:colOff>176213</xdr:colOff>
          <xdr:row>0</xdr:row>
          <xdr:rowOff>481013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0</xdr:row>
          <xdr:rowOff>0</xdr:rowOff>
        </xdr:from>
        <xdr:to>
          <xdr:col>15</xdr:col>
          <xdr:colOff>257175</xdr:colOff>
          <xdr:row>0</xdr:row>
          <xdr:rowOff>481013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395288</xdr:colOff>
          <xdr:row>0</xdr:row>
          <xdr:rowOff>128588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71438</xdr:rowOff>
        </xdr:from>
        <xdr:to>
          <xdr:col>22</xdr:col>
          <xdr:colOff>500063</xdr:colOff>
          <xdr:row>0</xdr:row>
          <xdr:rowOff>442913</xdr:rowOff>
        </xdr:to>
        <xdr:sp macro="" textlink="">
          <xdr:nvSpPr>
            <xdr:cNvPr id="163873" name="Button 33" hidden="1">
              <a:extLst>
                <a:ext uri="{63B3BB69-23CF-44E3-9099-C40C66FF867C}">
                  <a14:compatExt spid="_x0000_s163873"/>
                </a:ext>
                <a:ext uri="{FF2B5EF4-FFF2-40B4-BE49-F238E27FC236}">
                  <a16:creationId xmlns:a16="http://schemas.microsoft.com/office/drawing/2014/main" id="{00000000-0008-0000-0200-00002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152400</xdr:rowOff>
        </xdr:from>
        <xdr:to>
          <xdr:col>12</xdr:col>
          <xdr:colOff>9525</xdr:colOff>
          <xdr:row>33</xdr:row>
          <xdr:rowOff>152400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3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03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3603" name="Button 3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03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153604" name="Button 4" hidden="1">
              <a:extLst>
                <a:ext uri="{63B3BB69-23CF-44E3-9099-C40C66FF867C}">
                  <a14:compatExt spid="_x0000_s153604"/>
                </a:ext>
                <a:ext uri="{FF2B5EF4-FFF2-40B4-BE49-F238E27FC236}">
                  <a16:creationId xmlns:a16="http://schemas.microsoft.com/office/drawing/2014/main" id="{00000000-0008-0000-0300-00000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152400</xdr:rowOff>
        </xdr:from>
        <xdr:to>
          <xdr:col>12</xdr:col>
          <xdr:colOff>9525</xdr:colOff>
          <xdr:row>33</xdr:row>
          <xdr:rowOff>152400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04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158722" name="Button 2" hidden="1">
              <a:extLst>
                <a:ext uri="{63B3BB69-23CF-44E3-9099-C40C66FF867C}">
                  <a14:compatExt spid="_x0000_s158722"/>
                </a:ext>
                <a:ext uri="{FF2B5EF4-FFF2-40B4-BE49-F238E27FC236}">
                  <a16:creationId xmlns:a16="http://schemas.microsoft.com/office/drawing/2014/main" id="{00000000-0008-0000-0400-000002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8723" name="Button 3" hidden="1">
              <a:extLst>
                <a:ext uri="{63B3BB69-23CF-44E3-9099-C40C66FF867C}">
                  <a14:compatExt spid="_x0000_s158723"/>
                </a:ext>
                <a:ext uri="{FF2B5EF4-FFF2-40B4-BE49-F238E27FC236}">
                  <a16:creationId xmlns:a16="http://schemas.microsoft.com/office/drawing/2014/main" id="{00000000-0008-0000-0400-000003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158724" name="Button 4" hidden="1">
              <a:extLst>
                <a:ext uri="{63B3BB69-23CF-44E3-9099-C40C66FF867C}">
                  <a14:compatExt spid="_x0000_s158724"/>
                </a:ext>
                <a:ext uri="{FF2B5EF4-FFF2-40B4-BE49-F238E27FC236}">
                  <a16:creationId xmlns:a16="http://schemas.microsoft.com/office/drawing/2014/main" id="{00000000-0008-0000-0400-000004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152400</xdr:rowOff>
        </xdr:from>
        <xdr:to>
          <xdr:col>12</xdr:col>
          <xdr:colOff>9525</xdr:colOff>
          <xdr:row>33</xdr:row>
          <xdr:rowOff>152400</xdr:rowOff>
        </xdr:to>
        <xdr:sp macro="" textlink="">
          <xdr:nvSpPr>
            <xdr:cNvPr id="159745" name="Button 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00000000-0008-0000-0500-00000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159746" name="Button 2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id="{00000000-0008-0000-0500-00000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9747" name="Button 3" hidden="1">
              <a:extLst>
                <a:ext uri="{63B3BB69-23CF-44E3-9099-C40C66FF867C}">
                  <a14:compatExt spid="_x0000_s159747"/>
                </a:ext>
                <a:ext uri="{FF2B5EF4-FFF2-40B4-BE49-F238E27FC236}">
                  <a16:creationId xmlns:a16="http://schemas.microsoft.com/office/drawing/2014/main" id="{00000000-0008-0000-0500-000003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159748" name="Button 4" hidden="1">
              <a:extLst>
                <a:ext uri="{63B3BB69-23CF-44E3-9099-C40C66FF867C}">
                  <a14:compatExt spid="_x0000_s159748"/>
                </a:ext>
                <a:ext uri="{FF2B5EF4-FFF2-40B4-BE49-F238E27FC236}">
                  <a16:creationId xmlns:a16="http://schemas.microsoft.com/office/drawing/2014/main" id="{00000000-0008-0000-0500-000004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152400</xdr:rowOff>
        </xdr:from>
        <xdr:to>
          <xdr:col>12</xdr:col>
          <xdr:colOff>9525</xdr:colOff>
          <xdr:row>33</xdr:row>
          <xdr:rowOff>152400</xdr:rowOff>
        </xdr:to>
        <xdr:sp macro="" textlink="">
          <xdr:nvSpPr>
            <xdr:cNvPr id="162817" name="Button 1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:a16="http://schemas.microsoft.com/office/drawing/2014/main" id="{00000000-0008-0000-0600-00000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162818" name="Button 2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id="{00000000-0008-0000-0600-00000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62819" name="Button 3" hidden="1">
              <a:extLst>
                <a:ext uri="{63B3BB69-23CF-44E3-9099-C40C66FF867C}">
                  <a14:compatExt spid="_x0000_s162819"/>
                </a:ext>
                <a:ext uri="{FF2B5EF4-FFF2-40B4-BE49-F238E27FC236}">
                  <a16:creationId xmlns:a16="http://schemas.microsoft.com/office/drawing/2014/main" id="{00000000-0008-0000-0600-00000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162820" name="Button 4" hidden="1">
              <a:extLst>
                <a:ext uri="{63B3BB69-23CF-44E3-9099-C40C66FF867C}">
                  <a14:compatExt spid="_x0000_s162820"/>
                </a:ext>
                <a:ext uri="{FF2B5EF4-FFF2-40B4-BE49-F238E27FC236}">
                  <a16:creationId xmlns:a16="http://schemas.microsoft.com/office/drawing/2014/main" id="{00000000-0008-0000-0600-00000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152400</xdr:rowOff>
        </xdr:from>
        <xdr:to>
          <xdr:col>12</xdr:col>
          <xdr:colOff>9525</xdr:colOff>
          <xdr:row>33</xdr:row>
          <xdr:rowOff>152400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7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7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7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7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7" totalsRowShown="0" headerRowDxfId="50" dataDxfId="48" headerRowBorderDxfId="49" tableBorderDxfId="47" totalsRowBorderDxfId="46" headerRowCellStyle="60% - Accent5">
  <autoFilter ref="A1:E7" xr:uid="{7E3155DF-3CB2-4063-8346-D3006162EB2E}"/>
  <sortState xmlns:xlrd2="http://schemas.microsoft.com/office/spreadsheetml/2017/richdata2" ref="A2:E7">
    <sortCondition ref="A1:A7"/>
  </sortState>
  <tableColumns count="5">
    <tableColumn id="1" xr3:uid="{4A3C96D4-74F9-46DA-B54B-0CD347E35136}" name="Surname" dataDxfId="45" dataCellStyle="Hyperlink"/>
    <tableColumn id="2" xr3:uid="{2B90B92F-5F96-4EDA-9BBB-0E797162ECC4}" name="First Name" dataDxfId="44" dataCellStyle="Hyperlink"/>
    <tableColumn id="8" xr3:uid="{CFE0A41F-FE26-4CF3-BAA8-F6CEC7B006D4}" name="Status" dataDxfId="43" dataCellStyle="Hyperlink"/>
    <tableColumn id="3" xr3:uid="{EBBDE5FC-4AD9-4996-A6CE-25D9B52D4D03}" name="Date" dataDxfId="42"/>
    <tableColumn id="4" xr3:uid="{854BBB0E-E50E-4F6C-90CC-6180E0CE5D32}" name="ID" dataDxfId="41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7"/>
  <sheetViews>
    <sheetView topLeftCell="B1" workbookViewId="0">
      <selection activeCell="G10" sqref="G10"/>
    </sheetView>
  </sheetViews>
  <sheetFormatPr defaultRowHeight="14.25" x14ac:dyDescent="0.45"/>
  <cols>
    <col min="1" max="1" width="16.86328125" customWidth="1"/>
    <col min="2" max="2" width="21.33203125" customWidth="1"/>
    <col min="3" max="3" width="20.19921875" customWidth="1"/>
    <col min="4" max="4" width="25.6640625" customWidth="1"/>
    <col min="5" max="5" width="16.6640625" customWidth="1"/>
  </cols>
  <sheetData>
    <row r="1" spans="1:5" ht="43.8" customHeight="1" x14ac:dyDescent="0.45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</row>
    <row r="2" spans="1:5" x14ac:dyDescent="0.45">
      <c r="A2" s="32" t="s">
        <v>86</v>
      </c>
      <c r="B2" s="30" t="s">
        <v>87</v>
      </c>
      <c r="C2" s="31" t="s">
        <v>47</v>
      </c>
      <c r="D2" s="33">
        <v>45263.695231481484</v>
      </c>
      <c r="E2" s="34" t="s">
        <v>88</v>
      </c>
    </row>
    <row r="3" spans="1:5" x14ac:dyDescent="0.45">
      <c r="A3" s="32" t="s">
        <v>86</v>
      </c>
      <c r="B3" s="30" t="s">
        <v>102</v>
      </c>
      <c r="C3" s="31" t="s">
        <v>47</v>
      </c>
      <c r="D3" s="33">
        <v>45263.695451388892</v>
      </c>
      <c r="E3" s="34" t="s">
        <v>103</v>
      </c>
    </row>
    <row r="4" spans="1:5" x14ac:dyDescent="0.45">
      <c r="A4" s="32" t="s">
        <v>62</v>
      </c>
      <c r="B4" s="30" t="s">
        <v>70</v>
      </c>
      <c r="C4" s="31" t="s">
        <v>47</v>
      </c>
      <c r="D4" s="33">
        <v>45201.988206018519</v>
      </c>
      <c r="E4" s="34" t="s">
        <v>71</v>
      </c>
    </row>
    <row r="5" spans="1:5" x14ac:dyDescent="0.45">
      <c r="A5" s="32" t="s">
        <v>122</v>
      </c>
      <c r="B5" s="30" t="s">
        <v>123</v>
      </c>
      <c r="C5" s="31" t="s">
        <v>47</v>
      </c>
      <c r="D5" s="33">
        <v>45263.701226851852</v>
      </c>
      <c r="E5" s="34" t="s">
        <v>124</v>
      </c>
    </row>
    <row r="6" spans="1:5" x14ac:dyDescent="0.45">
      <c r="A6" s="32"/>
      <c r="B6" s="30"/>
      <c r="C6" s="31"/>
      <c r="D6" s="33"/>
      <c r="E6" s="34"/>
    </row>
    <row r="7" spans="1:5" x14ac:dyDescent="0.45">
      <c r="A7" s="32"/>
      <c r="B7" s="30"/>
      <c r="C7" s="31"/>
      <c r="D7" s="33"/>
      <c r="E7" s="34"/>
    </row>
  </sheetData>
  <conditionalFormatting sqref="C2:C7">
    <cfRule type="containsText" dxfId="56" priority="1" operator="containsText" text="UNP">
      <formula>NOT(ISERROR(SEARCH("UNP",C2)))</formula>
    </cfRule>
    <cfRule type="containsText" dxfId="55" priority="2" operator="containsText" text="Pick Up">
      <formula>NOT(ISERROR(SEARCH("Pick Up",C2)))</formula>
    </cfRule>
    <cfRule type="cellIs" dxfId="54" priority="7" operator="equal">
      <formula>"Ready To Order"</formula>
    </cfRule>
    <cfRule type="containsText" dxfId="53" priority="8" operator="containsText" text="Ordered">
      <formula>NOT(ISERROR(SEARCH("Ordered",C2)))</formula>
    </cfRule>
    <cfRule type="containsText" dxfId="52" priority="9" operator="containsText" text="Complete">
      <formula>NOT(ISERROR(SEARCH("Complete",C2)))</formula>
    </cfRule>
    <cfRule type="cellIs" dxfId="51" priority="10" operator="equal">
      <formula>"Returned"</formula>
    </cfRule>
  </conditionalFormatting>
  <hyperlinks>
    <hyperlink ref="A4" location="'Henry_Smith_AB6D98A0'!A1" display="Smith" xr:uid="{F0491C2D-9026-45AA-BDE6-9C7BDC7799B0}"/>
    <hyperlink ref="A2" location="'Alice_Robinson_AB7A73BD'!A1" display="Robinson" xr:uid="{1BF412B7-D95B-4B05-BB50-2AF2D53F7E87}"/>
    <hyperlink ref="A3" location="'Liam_Robinson_FD0E829E'!A1" display="Robinson" xr:uid="{59E2DE7E-42B1-4A2F-8807-32153C3DB157}"/>
    <hyperlink ref="A5" location="'Taylor_White_0556E08D'!A1" display="White" xr:uid="{8036E8A5-CB76-4F77-9574-3F69FE4BE62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304800</xdr:colOff>
                    <xdr:row>0</xdr:row>
                    <xdr:rowOff>0</xdr:rowOff>
                  </from>
                  <to>
                    <xdr:col>7</xdr:col>
                    <xdr:colOff>485775</xdr:colOff>
                    <xdr:row>0</xdr:row>
                    <xdr:rowOff>481013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352425</xdr:colOff>
                    <xdr:row>0</xdr:row>
                    <xdr:rowOff>0</xdr:rowOff>
                  </from>
                  <to>
                    <xdr:col>12</xdr:col>
                    <xdr:colOff>523875</xdr:colOff>
                    <xdr:row>0</xdr:row>
                    <xdr:rowOff>471488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176213</xdr:colOff>
                    <xdr:row>0</xdr:row>
                    <xdr:rowOff>481013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13</xdr:col>
                    <xdr:colOff>85725</xdr:colOff>
                    <xdr:row>0</xdr:row>
                    <xdr:rowOff>0</xdr:rowOff>
                  </from>
                  <to>
                    <xdr:col>15</xdr:col>
                    <xdr:colOff>257175</xdr:colOff>
                    <xdr:row>0</xdr:row>
                    <xdr:rowOff>481013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tabSelected="1" workbookViewId="0">
      <selection activeCell="H44" sqref="H44"/>
    </sheetView>
  </sheetViews>
  <sheetFormatPr defaultRowHeight="14.25" x14ac:dyDescent="0.45"/>
  <sheetData>
    <row r="1" spans="1:13" ht="38" customHeight="1" x14ac:dyDescent="0.45">
      <c r="A1" s="35">
        <v>111</v>
      </c>
      <c r="B1" s="35" t="s">
        <v>63</v>
      </c>
      <c r="C1" s="35" t="s">
        <v>2</v>
      </c>
      <c r="D1" s="35" t="s">
        <v>64</v>
      </c>
      <c r="E1" s="35" t="s">
        <v>9</v>
      </c>
      <c r="F1" s="35" t="s">
        <v>11</v>
      </c>
      <c r="G1" s="35" t="s">
        <v>12</v>
      </c>
      <c r="H1" s="35" t="s">
        <v>13</v>
      </c>
      <c r="I1" s="35" t="s">
        <v>65</v>
      </c>
      <c r="J1" s="35" t="s">
        <v>15</v>
      </c>
      <c r="K1" s="35" t="s">
        <v>66</v>
      </c>
      <c r="L1" s="35" t="s">
        <v>67</v>
      </c>
      <c r="M1" s="35" t="s">
        <v>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395288</xdr:colOff>
                    <xdr:row>0</xdr:row>
                    <xdr:rowOff>128588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X1"/>
  <sheetViews>
    <sheetView workbookViewId="0">
      <selection activeCell="D13" sqref="D13"/>
    </sheetView>
  </sheetViews>
  <sheetFormatPr defaultRowHeight="14.25" x14ac:dyDescent="0.45"/>
  <cols>
    <col min="1" max="1" width="30.6640625" customWidth="1"/>
    <col min="3" max="3" width="10.86328125" customWidth="1"/>
    <col min="4" max="4" width="12.19921875" customWidth="1"/>
    <col min="5" max="5" width="13.86328125" customWidth="1"/>
    <col min="7" max="7" width="12.46484375" customWidth="1"/>
    <col min="10" max="10" width="12" customWidth="1"/>
    <col min="14" max="14" width="11.796875" customWidth="1"/>
    <col min="15" max="15" width="14.1328125" customWidth="1"/>
  </cols>
  <sheetData>
    <row r="1" spans="1:24" ht="41.65" customHeight="1" x14ac:dyDescent="0.45">
      <c r="A1" s="36" t="s">
        <v>141</v>
      </c>
      <c r="B1" s="36" t="s">
        <v>18</v>
      </c>
      <c r="C1" s="36" t="s">
        <v>21</v>
      </c>
      <c r="D1" s="36" t="s">
        <v>19</v>
      </c>
      <c r="E1" s="36" t="s">
        <v>20</v>
      </c>
      <c r="F1" s="36" t="s">
        <v>24</v>
      </c>
      <c r="G1" s="36" t="s">
        <v>23</v>
      </c>
      <c r="H1" s="36" t="s">
        <v>25</v>
      </c>
      <c r="I1" s="36" t="s">
        <v>26</v>
      </c>
      <c r="J1" s="36" t="s">
        <v>27</v>
      </c>
      <c r="K1" s="36"/>
      <c r="L1" s="36" t="s">
        <v>28</v>
      </c>
      <c r="M1" s="36" t="s">
        <v>22</v>
      </c>
      <c r="N1" s="36" t="s">
        <v>29</v>
      </c>
      <c r="O1" s="36" t="s">
        <v>30</v>
      </c>
      <c r="P1" s="36"/>
      <c r="Q1" s="36" t="s">
        <v>33</v>
      </c>
      <c r="R1" s="36" t="s">
        <v>31</v>
      </c>
      <c r="S1" s="36" t="s">
        <v>50</v>
      </c>
      <c r="T1" s="36" t="s">
        <v>32</v>
      </c>
      <c r="U1" s="36"/>
      <c r="V1" s="36"/>
      <c r="W1" s="36"/>
      <c r="X1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3" r:id="rId3" name="Button 33">
              <controlPr defaultSize="0" print="0" autoFill="0" autoPict="0" macro="[0]!pickup">
                <anchor moveWithCells="1" sizeWithCells="1">
                  <from>
                    <xdr:col>20</xdr:col>
                    <xdr:colOff>66675</xdr:colOff>
                    <xdr:row>0</xdr:row>
                    <xdr:rowOff>71438</xdr:rowOff>
                  </from>
                  <to>
                    <xdr:col>22</xdr:col>
                    <xdr:colOff>500063</xdr:colOff>
                    <xdr:row>0</xdr:row>
                    <xdr:rowOff>442913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D00C4-525A-4B6F-B684-05266ED0D55D}">
  <sheetPr codeName="Sheet51"/>
  <dimension ref="A1:O34"/>
  <sheetViews>
    <sheetView workbookViewId="0">
      <selection activeCell="G12" sqref="G12"/>
    </sheetView>
  </sheetViews>
  <sheetFormatPr defaultRowHeight="14.25" x14ac:dyDescent="0.45"/>
  <cols>
    <col min="1" max="1" width="18.66406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5" x14ac:dyDescent="0.45">
      <c r="A1" s="44" t="s">
        <v>42</v>
      </c>
      <c r="B1" s="20" t="s">
        <v>3</v>
      </c>
      <c r="C1" s="39" t="s">
        <v>0</v>
      </c>
      <c r="D1" s="39"/>
      <c r="E1" s="39" t="s">
        <v>2</v>
      </c>
      <c r="F1" s="39"/>
      <c r="G1" s="20" t="s">
        <v>34</v>
      </c>
      <c r="K1" s="20" t="s">
        <v>38</v>
      </c>
      <c r="L1" s="20" t="s">
        <v>10</v>
      </c>
      <c r="N1">
        <v>222221</v>
      </c>
    </row>
    <row r="2" spans="1:15" x14ac:dyDescent="0.45">
      <c r="A2" s="45"/>
      <c r="B2" s="2" t="s">
        <v>43</v>
      </c>
      <c r="C2" s="38" t="s">
        <v>62</v>
      </c>
      <c r="D2" s="38"/>
      <c r="E2" s="38" t="s">
        <v>70</v>
      </c>
      <c r="F2" s="38"/>
      <c r="G2" s="1" t="s">
        <v>71</v>
      </c>
      <c r="K2" s="4" t="s">
        <v>9</v>
      </c>
      <c r="L2" s="4">
        <v>19.3</v>
      </c>
      <c r="O2">
        <v>222</v>
      </c>
    </row>
    <row r="3" spans="1:15" x14ac:dyDescent="0.45">
      <c r="A3" s="20" t="s">
        <v>1</v>
      </c>
      <c r="B3" s="46" t="s">
        <v>4</v>
      </c>
      <c r="C3" s="47"/>
      <c r="D3" s="48"/>
      <c r="E3" s="46" t="s">
        <v>51</v>
      </c>
      <c r="F3" s="48"/>
      <c r="G3" s="20" t="s">
        <v>5</v>
      </c>
      <c r="K3" s="1" t="s">
        <v>11</v>
      </c>
      <c r="L3" s="1">
        <v>13.3</v>
      </c>
    </row>
    <row r="4" spans="1:15" x14ac:dyDescent="0.45">
      <c r="A4" s="1" t="s">
        <v>39</v>
      </c>
      <c r="B4" s="49">
        <v>3727638738</v>
      </c>
      <c r="C4" s="49"/>
      <c r="D4" s="49"/>
      <c r="E4" s="38" t="s">
        <v>58</v>
      </c>
      <c r="F4" s="38"/>
      <c r="G4" s="1" t="s">
        <v>44</v>
      </c>
      <c r="K4" s="4" t="s">
        <v>12</v>
      </c>
      <c r="L4" s="4">
        <v>61.4</v>
      </c>
    </row>
    <row r="5" spans="1:15" x14ac:dyDescent="0.45">
      <c r="A5" s="20" t="s">
        <v>6</v>
      </c>
      <c r="B5" s="39" t="s">
        <v>7</v>
      </c>
      <c r="C5" s="39"/>
      <c r="D5" s="39"/>
      <c r="E5" s="20" t="s">
        <v>8</v>
      </c>
      <c r="F5" s="20" t="s">
        <v>35</v>
      </c>
      <c r="G5" s="20" t="s">
        <v>36</v>
      </c>
      <c r="K5" s="1" t="s">
        <v>13</v>
      </c>
      <c r="L5" s="1">
        <v>48.3</v>
      </c>
    </row>
    <row r="6" spans="1:15" x14ac:dyDescent="0.45">
      <c r="A6" s="3" t="s">
        <v>72</v>
      </c>
      <c r="B6" s="37" t="s">
        <v>18</v>
      </c>
      <c r="C6" s="37"/>
      <c r="D6" s="37"/>
      <c r="E6" s="4">
        <v>8060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63.7</v>
      </c>
    </row>
    <row r="7" spans="1:15" x14ac:dyDescent="0.45">
      <c r="A7" s="2" t="s">
        <v>73</v>
      </c>
      <c r="B7" s="38" t="s">
        <v>21</v>
      </c>
      <c r="C7" s="38"/>
      <c r="D7" s="38"/>
      <c r="E7" s="1">
        <v>20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70.2</v>
      </c>
    </row>
    <row r="8" spans="1:15" x14ac:dyDescent="0.45">
      <c r="A8" s="3" t="s">
        <v>81</v>
      </c>
      <c r="B8" s="37" t="s">
        <v>19</v>
      </c>
      <c r="C8" s="37"/>
      <c r="D8" s="37"/>
      <c r="E8" s="4" t="s">
        <v>80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276.89999999999998</v>
      </c>
    </row>
    <row r="9" spans="1:15" x14ac:dyDescent="0.45">
      <c r="A9" s="2" t="s">
        <v>74</v>
      </c>
      <c r="B9" s="38" t="s">
        <v>20</v>
      </c>
      <c r="C9" s="38"/>
      <c r="D9" s="38"/>
      <c r="E9" s="1">
        <v>7658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124.3</v>
      </c>
    </row>
    <row r="10" spans="1:15" x14ac:dyDescent="0.45">
      <c r="A10" s="3" t="s">
        <v>60</v>
      </c>
      <c r="B10" s="37" t="s">
        <v>24</v>
      </c>
      <c r="C10" s="37"/>
      <c r="D10" s="37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9.9</v>
      </c>
    </row>
    <row r="11" spans="1:15" x14ac:dyDescent="0.45">
      <c r="A11" s="2" t="s">
        <v>57</v>
      </c>
      <c r="B11" s="38" t="s">
        <v>23</v>
      </c>
      <c r="C11" s="38"/>
      <c r="D11" s="38"/>
      <c r="E11" s="1" t="s">
        <v>56</v>
      </c>
      <c r="F11" s="16">
        <v>1</v>
      </c>
      <c r="G11" s="4" t="s">
        <v>142</v>
      </c>
      <c r="H11" s="28" t="str">
        <f>HYPERLINK("#G11",CHAR(128))</f>
        <v>€</v>
      </c>
    </row>
    <row r="12" spans="1:15" x14ac:dyDescent="0.45">
      <c r="A12" s="5" t="s">
        <v>69</v>
      </c>
      <c r="B12" s="37" t="s">
        <v>25</v>
      </c>
      <c r="C12" s="37"/>
      <c r="D12" s="37"/>
      <c r="E12" s="4" t="s">
        <v>68</v>
      </c>
      <c r="F12" s="4">
        <v>1</v>
      </c>
      <c r="G12" s="4" t="s">
        <v>142</v>
      </c>
      <c r="H12" s="28" t="str">
        <f>HYPERLINK("#G12",CHAR(128))</f>
        <v>€</v>
      </c>
    </row>
    <row r="13" spans="1:15" x14ac:dyDescent="0.45">
      <c r="A13" s="2" t="s">
        <v>55</v>
      </c>
      <c r="B13" s="38" t="s">
        <v>26</v>
      </c>
      <c r="C13" s="38"/>
      <c r="D13" s="38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5" x14ac:dyDescent="0.45">
      <c r="A14" s="5" t="s">
        <v>59</v>
      </c>
      <c r="B14" s="37" t="s">
        <v>27</v>
      </c>
      <c r="C14" s="37"/>
      <c r="D14" s="37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5" x14ac:dyDescent="0.45">
      <c r="A15" s="2"/>
      <c r="B15" s="43"/>
      <c r="C15" s="43"/>
      <c r="D15" s="43"/>
      <c r="E15" s="1"/>
      <c r="F15" s="16"/>
      <c r="G15" s="4"/>
      <c r="H15" s="14"/>
    </row>
    <row r="16" spans="1:15" x14ac:dyDescent="0.45">
      <c r="A16" s="5" t="s">
        <v>48</v>
      </c>
      <c r="B16" s="37" t="s">
        <v>28</v>
      </c>
      <c r="C16" s="37"/>
      <c r="D16" s="37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45">
      <c r="A17" s="2" t="s">
        <v>61</v>
      </c>
      <c r="B17" s="38" t="s">
        <v>22</v>
      </c>
      <c r="C17" s="38"/>
      <c r="D17" s="38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45">
      <c r="A18" s="5" t="s">
        <v>79</v>
      </c>
      <c r="B18" s="37" t="s">
        <v>29</v>
      </c>
      <c r="C18" s="37"/>
      <c r="D18" s="37"/>
      <c r="E18" s="4">
        <v>6432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45">
      <c r="A19" s="2" t="s">
        <v>76</v>
      </c>
      <c r="B19" s="38" t="s">
        <v>30</v>
      </c>
      <c r="C19" s="38"/>
      <c r="D19" s="38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45">
      <c r="A20" s="5"/>
      <c r="B20" s="40"/>
      <c r="C20" s="41"/>
      <c r="D20" s="42"/>
      <c r="E20" s="4"/>
      <c r="F20" s="4"/>
      <c r="G20" s="4"/>
      <c r="H20" s="14"/>
    </row>
    <row r="21" spans="1:10" x14ac:dyDescent="0.45">
      <c r="A21" s="2" t="s">
        <v>77</v>
      </c>
      <c r="B21" s="38" t="s">
        <v>33</v>
      </c>
      <c r="C21" s="38"/>
      <c r="D21" s="38"/>
      <c r="E21" s="9">
        <v>6.125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45">
      <c r="A22" s="5" t="s">
        <v>78</v>
      </c>
      <c r="B22" s="37" t="s">
        <v>31</v>
      </c>
      <c r="C22" s="37"/>
      <c r="D22" s="37"/>
      <c r="E22" s="4">
        <v>7036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45">
      <c r="A23" s="2" t="s">
        <v>82</v>
      </c>
      <c r="B23" s="38" t="s">
        <v>50</v>
      </c>
      <c r="C23" s="38"/>
      <c r="D23" s="38"/>
      <c r="E23" s="1">
        <v>6426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45">
      <c r="A24" s="5" t="s">
        <v>84</v>
      </c>
      <c r="B24" s="37" t="s">
        <v>32</v>
      </c>
      <c r="C24" s="37"/>
      <c r="D24" s="37"/>
      <c r="E24" s="4" t="s">
        <v>83</v>
      </c>
      <c r="F24" s="4">
        <v>1</v>
      </c>
      <c r="G24" s="4" t="s">
        <v>142</v>
      </c>
      <c r="H24" s="22" t="str">
        <f>HYPERLINK("#G24",CHAR(128))</f>
        <v>€</v>
      </c>
    </row>
    <row r="25" spans="1:10" x14ac:dyDescent="0.45">
      <c r="A25" s="2"/>
      <c r="B25" s="38"/>
      <c r="C25" s="38"/>
      <c r="D25" s="38"/>
      <c r="E25" s="1"/>
      <c r="F25" s="16"/>
      <c r="G25" s="4"/>
      <c r="H25" s="14"/>
      <c r="I25" s="12"/>
    </row>
    <row r="26" spans="1:10" x14ac:dyDescent="0.45">
      <c r="A26" s="5"/>
      <c r="B26" s="37" t="s">
        <v>37</v>
      </c>
      <c r="C26" s="37"/>
      <c r="D26" s="37"/>
      <c r="E26" s="4" t="str">
        <f>C2</f>
        <v>Smith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39" t="s">
        <v>52</v>
      </c>
      <c r="C29" s="39"/>
      <c r="D29" s="39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38"/>
      <c r="C31" s="38"/>
      <c r="D31" s="38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38"/>
      <c r="C33" s="38"/>
      <c r="D33" s="38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40" priority="1" operator="equal">
      <formula>"Returned"</formula>
    </cfRule>
    <cfRule type="cellIs" dxfId="39" priority="4" operator="equal">
      <formula>"Ready To Order"</formula>
    </cfRule>
    <cfRule type="containsText" dxfId="38" priority="5" operator="containsText" text="UNP">
      <formula>NOT(ISERROR(SEARCH("UNP",G6)))</formula>
    </cfRule>
    <cfRule type="containsText" dxfId="37" priority="6" operator="containsText" text="Ordered">
      <formula>NOT(ISERROR(SEARCH("Ordered",G6)))</formula>
    </cfRule>
    <cfRule type="containsText" dxfId="36" priority="7" operator="containsText" text="Pick Up">
      <formula>NOT(ISERROR(SEARCH("Pick Up",G6)))</formula>
    </cfRule>
    <cfRule type="containsText" dxfId="35" priority="8" operator="containsText" text="Complete">
      <formula>NOT(ISERROR(SEARCH("Complete",G6)))</formula>
    </cfRule>
  </conditionalFormatting>
  <conditionalFormatting sqref="G30:G33">
    <cfRule type="containsText" dxfId="34" priority="3" operator="containsText" text="Given">
      <formula>NOT(ISERROR(SEARCH("Given",G30)))</formula>
    </cfRule>
  </conditionalFormatting>
  <conditionalFormatting sqref="G30:G34">
    <cfRule type="containsText" dxfId="33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4B6FA9E9-34ED-4E45-9C0B-1D950C934FDF}">
      <formula1>"--,Returned, Given"</formula1>
    </dataValidation>
    <dataValidation type="list" allowBlank="1" showInputMessage="1" showErrorMessage="1" sqref="G6:G26" xr:uid="{4C57E8C5-5091-4E9B-BBDB-64168138A210}">
      <formula1>"UNP, Ready To Order, Ordered, Pick Up, Complete, Returned"</formula1>
    </dataValidation>
    <dataValidation type="decimal" allowBlank="1" showInputMessage="1" showErrorMessage="1" sqref="L2" xr:uid="{76E50FD3-5B9F-4F7F-8EC6-1FE1028305C3}">
      <formula1>19</formula1>
      <formula2>26</formula2>
    </dataValidation>
  </dataValidations>
  <hyperlinks>
    <hyperlink ref="A1:A2" location="Menu!A1" display="Back to Menu" xr:uid="{B65373D3-2D5B-4903-816D-C82730D8872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3" name="Button 1">
              <controlPr defaultSize="0" print="0" autoFill="0" autoPict="0" macro="[0]!terminate">
                <anchor moveWithCells="1" sizeWithCells="1">
                  <from>
                    <xdr:col>9</xdr:col>
                    <xdr:colOff>600075</xdr:colOff>
                    <xdr:row>31</xdr:row>
                    <xdr:rowOff>152400</xdr:rowOff>
                  </from>
                  <to>
                    <xdr:col>12</xdr:col>
                    <xdr:colOff>9525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3A0EA-2E72-487D-A83C-A8ABDB46773C}">
  <sheetPr codeName="Sheet7"/>
  <dimension ref="A1:L34"/>
  <sheetViews>
    <sheetView workbookViewId="0">
      <selection activeCell="E24" sqref="E24"/>
    </sheetView>
  </sheetViews>
  <sheetFormatPr defaultRowHeight="14.25" x14ac:dyDescent="0.45"/>
  <cols>
    <col min="1" max="1" width="18.66406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44" t="s">
        <v>42</v>
      </c>
      <c r="B1" s="20" t="s">
        <v>3</v>
      </c>
      <c r="C1" s="39" t="s">
        <v>0</v>
      </c>
      <c r="D1" s="39"/>
      <c r="E1" s="39" t="s">
        <v>2</v>
      </c>
      <c r="F1" s="39"/>
      <c r="G1" s="20" t="s">
        <v>34</v>
      </c>
      <c r="K1" s="20" t="s">
        <v>38</v>
      </c>
      <c r="L1" s="20" t="s">
        <v>10</v>
      </c>
    </row>
    <row r="2" spans="1:12" x14ac:dyDescent="0.45">
      <c r="A2" s="45"/>
      <c r="B2" s="2" t="s">
        <v>43</v>
      </c>
      <c r="C2" s="38" t="s">
        <v>86</v>
      </c>
      <c r="D2" s="38"/>
      <c r="E2" s="38" t="s">
        <v>87</v>
      </c>
      <c r="F2" s="38"/>
      <c r="G2" s="1" t="s">
        <v>88</v>
      </c>
      <c r="K2" s="4" t="s">
        <v>9</v>
      </c>
      <c r="L2" s="4">
        <v>23.8</v>
      </c>
    </row>
    <row r="3" spans="1:12" x14ac:dyDescent="0.45">
      <c r="A3" s="20" t="s">
        <v>1</v>
      </c>
      <c r="B3" s="46" t="s">
        <v>4</v>
      </c>
      <c r="C3" s="47"/>
      <c r="D3" s="48"/>
      <c r="E3" s="46" t="s">
        <v>51</v>
      </c>
      <c r="F3" s="48"/>
      <c r="G3" s="20" t="s">
        <v>5</v>
      </c>
      <c r="K3" s="1" t="s">
        <v>11</v>
      </c>
      <c r="L3" s="1">
        <v>17.399999999999999</v>
      </c>
    </row>
    <row r="4" spans="1:12" x14ac:dyDescent="0.45">
      <c r="A4" s="1" t="s">
        <v>39</v>
      </c>
      <c r="B4" s="49">
        <v>5796352250</v>
      </c>
      <c r="C4" s="49"/>
      <c r="D4" s="49"/>
      <c r="E4" s="38" t="s">
        <v>58</v>
      </c>
      <c r="F4" s="38"/>
      <c r="G4" s="1" t="s">
        <v>89</v>
      </c>
      <c r="K4" s="4" t="s">
        <v>12</v>
      </c>
      <c r="L4" s="4">
        <v>33.799999999999997</v>
      </c>
    </row>
    <row r="5" spans="1:12" x14ac:dyDescent="0.45">
      <c r="A5" s="20" t="s">
        <v>6</v>
      </c>
      <c r="B5" s="39" t="s">
        <v>7</v>
      </c>
      <c r="C5" s="39"/>
      <c r="D5" s="39"/>
      <c r="E5" s="20" t="s">
        <v>8</v>
      </c>
      <c r="F5" s="20" t="s">
        <v>35</v>
      </c>
      <c r="G5" s="20" t="s">
        <v>36</v>
      </c>
      <c r="K5" s="1" t="s">
        <v>13</v>
      </c>
      <c r="L5" s="1">
        <v>61.1</v>
      </c>
    </row>
    <row r="6" spans="1:12" x14ac:dyDescent="0.45">
      <c r="A6" s="3" t="s">
        <v>90</v>
      </c>
      <c r="B6" s="37" t="s">
        <v>18</v>
      </c>
      <c r="C6" s="37"/>
      <c r="D6" s="37"/>
      <c r="E6" s="4">
        <v>6134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43.4</v>
      </c>
    </row>
    <row r="7" spans="1:12" x14ac:dyDescent="0.45">
      <c r="A7" s="2" t="s">
        <v>92</v>
      </c>
      <c r="B7" s="38" t="s">
        <v>21</v>
      </c>
      <c r="C7" s="38"/>
      <c r="D7" s="38"/>
      <c r="E7" s="1" t="s">
        <v>91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57.8</v>
      </c>
    </row>
    <row r="8" spans="1:12" x14ac:dyDescent="0.45">
      <c r="A8" s="3" t="s">
        <v>81</v>
      </c>
      <c r="B8" s="37" t="s">
        <v>19</v>
      </c>
      <c r="C8" s="37"/>
      <c r="D8" s="37"/>
      <c r="E8" s="4" t="s">
        <v>80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302.8</v>
      </c>
    </row>
    <row r="9" spans="1:12" x14ac:dyDescent="0.45">
      <c r="A9" s="2"/>
      <c r="B9" s="38" t="s">
        <v>20</v>
      </c>
      <c r="C9" s="38"/>
      <c r="D9" s="38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125.7</v>
      </c>
    </row>
    <row r="10" spans="1:12" x14ac:dyDescent="0.45">
      <c r="A10" s="3" t="s">
        <v>93</v>
      </c>
      <c r="B10" s="37" t="s">
        <v>24</v>
      </c>
      <c r="C10" s="37"/>
      <c r="D10" s="37"/>
      <c r="E10" s="8">
        <v>7.625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7.8</v>
      </c>
    </row>
    <row r="11" spans="1:12" x14ac:dyDescent="0.45">
      <c r="A11" s="2" t="s">
        <v>95</v>
      </c>
      <c r="B11" s="38" t="s">
        <v>23</v>
      </c>
      <c r="C11" s="38"/>
      <c r="D11" s="38"/>
      <c r="E11" s="1" t="s">
        <v>94</v>
      </c>
      <c r="F11" s="16">
        <v>1</v>
      </c>
      <c r="G11" s="4" t="s">
        <v>142</v>
      </c>
      <c r="H11" s="28" t="str">
        <f>HYPERLINK("#G11",CHAR(128))</f>
        <v>€</v>
      </c>
    </row>
    <row r="12" spans="1:12" x14ac:dyDescent="0.45">
      <c r="A12" s="5"/>
      <c r="B12" s="37" t="s">
        <v>25</v>
      </c>
      <c r="C12" s="37"/>
      <c r="D12" s="37"/>
      <c r="E12" s="4"/>
      <c r="F12" s="4">
        <v>1</v>
      </c>
      <c r="G12" s="4" t="s">
        <v>142</v>
      </c>
      <c r="H12" s="28" t="str">
        <f>HYPERLINK("#G12",CHAR(128))</f>
        <v>€</v>
      </c>
    </row>
    <row r="13" spans="1:12" x14ac:dyDescent="0.45">
      <c r="A13" s="2" t="s">
        <v>55</v>
      </c>
      <c r="B13" s="38" t="s">
        <v>26</v>
      </c>
      <c r="C13" s="38"/>
      <c r="D13" s="38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45">
      <c r="A14" s="5" t="s">
        <v>59</v>
      </c>
      <c r="B14" s="37" t="s">
        <v>27</v>
      </c>
      <c r="C14" s="37"/>
      <c r="D14" s="37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45">
      <c r="A15" s="2"/>
      <c r="B15" s="43"/>
      <c r="C15" s="43"/>
      <c r="D15" s="43"/>
      <c r="E15" s="1"/>
      <c r="F15" s="16"/>
      <c r="G15" s="4"/>
      <c r="H15" s="14"/>
    </row>
    <row r="16" spans="1:12" x14ac:dyDescent="0.45">
      <c r="A16" s="5" t="s">
        <v>48</v>
      </c>
      <c r="B16" s="37" t="s">
        <v>28</v>
      </c>
      <c r="C16" s="37"/>
      <c r="D16" s="37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45">
      <c r="A17" s="2" t="s">
        <v>96</v>
      </c>
      <c r="B17" s="38" t="s">
        <v>22</v>
      </c>
      <c r="C17" s="38"/>
      <c r="D17" s="38"/>
      <c r="E17" s="1" t="s">
        <v>68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45">
      <c r="A18" s="5" t="s">
        <v>97</v>
      </c>
      <c r="B18" s="37" t="s">
        <v>29</v>
      </c>
      <c r="C18" s="37"/>
      <c r="D18" s="37"/>
      <c r="E18" s="4">
        <v>6444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45">
      <c r="A19" s="2" t="s">
        <v>99</v>
      </c>
      <c r="B19" s="38" t="s">
        <v>30</v>
      </c>
      <c r="C19" s="38"/>
      <c r="D19" s="38"/>
      <c r="E19" s="1" t="s">
        <v>98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45">
      <c r="A20" s="5"/>
      <c r="B20" s="40"/>
      <c r="C20" s="41"/>
      <c r="D20" s="42"/>
      <c r="E20" s="4"/>
      <c r="F20" s="4"/>
      <c r="G20" s="4"/>
      <c r="H20" s="14"/>
    </row>
    <row r="21" spans="1:10" x14ac:dyDescent="0.45">
      <c r="A21" s="2" t="s">
        <v>100</v>
      </c>
      <c r="B21" s="38" t="s">
        <v>33</v>
      </c>
      <c r="C21" s="38"/>
      <c r="D21" s="38"/>
      <c r="E21" s="9">
        <v>7.625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45">
      <c r="A22" s="5" t="s">
        <v>101</v>
      </c>
      <c r="B22" s="37" t="s">
        <v>31</v>
      </c>
      <c r="C22" s="37"/>
      <c r="D22" s="37"/>
      <c r="E22" s="4">
        <v>6436</v>
      </c>
      <c r="F22" s="4">
        <v>1</v>
      </c>
      <c r="G22" s="4" t="s">
        <v>142</v>
      </c>
      <c r="H22" s="23" t="str">
        <f>HYPERLINK("#G22",CHAR(128))</f>
        <v>€</v>
      </c>
    </row>
    <row r="23" spans="1:10" x14ac:dyDescent="0.45">
      <c r="A23" s="2" t="s">
        <v>82</v>
      </c>
      <c r="B23" s="38" t="s">
        <v>50</v>
      </c>
      <c r="C23" s="38"/>
      <c r="D23" s="38"/>
      <c r="E23" s="1">
        <v>6426</v>
      </c>
      <c r="F23" s="16">
        <v>1</v>
      </c>
      <c r="G23" s="4" t="s">
        <v>142</v>
      </c>
      <c r="H23" s="22" t="str">
        <f>HYPERLINK("#G23",CHAR(128))</f>
        <v>€</v>
      </c>
    </row>
    <row r="24" spans="1:10" x14ac:dyDescent="0.45">
      <c r="A24" s="5"/>
      <c r="B24" s="37" t="s">
        <v>32</v>
      </c>
      <c r="C24" s="37"/>
      <c r="D24" s="37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45">
      <c r="A25" s="2"/>
      <c r="B25" s="38"/>
      <c r="C25" s="38"/>
      <c r="D25" s="38"/>
      <c r="E25" s="1"/>
      <c r="F25" s="16"/>
      <c r="G25" s="4"/>
      <c r="H25" s="14"/>
      <c r="I25" s="12"/>
    </row>
    <row r="26" spans="1:10" x14ac:dyDescent="0.45">
      <c r="A26" s="5"/>
      <c r="B26" s="37" t="s">
        <v>37</v>
      </c>
      <c r="C26" s="37"/>
      <c r="D26" s="37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39" t="s">
        <v>52</v>
      </c>
      <c r="C29" s="39"/>
      <c r="D29" s="39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38"/>
      <c r="C31" s="38"/>
      <c r="D31" s="38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38"/>
      <c r="C33" s="38"/>
      <c r="D33" s="38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32" priority="1" operator="equal">
      <formula>"Returned"</formula>
    </cfRule>
    <cfRule type="cellIs" dxfId="31" priority="4" operator="equal">
      <formula>"Ready To Order"</formula>
    </cfRule>
    <cfRule type="containsText" dxfId="30" priority="5" operator="containsText" text="UNP">
      <formula>NOT(ISERROR(SEARCH("UNP",G6)))</formula>
    </cfRule>
    <cfRule type="containsText" dxfId="29" priority="6" operator="containsText" text="Ordered">
      <formula>NOT(ISERROR(SEARCH("Ordered",G6)))</formula>
    </cfRule>
    <cfRule type="containsText" dxfId="28" priority="7" operator="containsText" text="Pick Up">
      <formula>NOT(ISERROR(SEARCH("Pick Up",G6)))</formula>
    </cfRule>
    <cfRule type="containsText" dxfId="27" priority="8" operator="containsText" text="Complete">
      <formula>NOT(ISERROR(SEARCH("Complete",G6)))</formula>
    </cfRule>
  </conditionalFormatting>
  <conditionalFormatting sqref="G30:G33">
    <cfRule type="containsText" dxfId="26" priority="3" operator="containsText" text="Given">
      <formula>NOT(ISERROR(SEARCH("Given",G30)))</formula>
    </cfRule>
  </conditionalFormatting>
  <conditionalFormatting sqref="G30:G34">
    <cfRule type="containsText" dxfId="25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E3EDF432-BE4A-49EE-8A99-E22616EBDB7F}">
      <formula1>"--,Returned, Given"</formula1>
    </dataValidation>
    <dataValidation type="list" allowBlank="1" showInputMessage="1" showErrorMessage="1" sqref="G6:G26" xr:uid="{BD1BF856-5278-44E0-A095-3D8ED868B696}">
      <formula1>"UNP, Ready To Order, Ordered, Pick Up, Complete, Returned"</formula1>
    </dataValidation>
    <dataValidation type="decimal" allowBlank="1" showInputMessage="1" showErrorMessage="1" sqref="L2" xr:uid="{A2B60D61-33BC-4F5D-976C-3DEE74569D93}">
      <formula1>19</formula1>
      <formula2>26</formula2>
    </dataValidation>
  </dataValidations>
  <hyperlinks>
    <hyperlink ref="A1:A2" location="Menu!A1" display="Back to Menu" xr:uid="{D8B693AC-CC18-4D6F-AEE3-D286E82819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Button 1">
              <controlPr defaultSize="0" print="0" autoFill="0" autoPict="0" macro="[0]!terminate">
                <anchor moveWithCells="1" sizeWithCells="1">
                  <from>
                    <xdr:col>9</xdr:col>
                    <xdr:colOff>600075</xdr:colOff>
                    <xdr:row>31</xdr:row>
                    <xdr:rowOff>152400</xdr:rowOff>
                  </from>
                  <to>
                    <xdr:col>12</xdr:col>
                    <xdr:colOff>9525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BBD80-4625-467D-A047-C66780E85D27}">
  <sheetPr codeName="Sheet8"/>
  <dimension ref="A1:L34"/>
  <sheetViews>
    <sheetView workbookViewId="0">
      <selection activeCell="C45" sqref="C45"/>
    </sheetView>
  </sheetViews>
  <sheetFormatPr defaultRowHeight="14.25" x14ac:dyDescent="0.45"/>
  <cols>
    <col min="1" max="1" width="18.66406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44" t="s">
        <v>42</v>
      </c>
      <c r="B1" s="20" t="s">
        <v>3</v>
      </c>
      <c r="C1" s="39" t="s">
        <v>0</v>
      </c>
      <c r="D1" s="39"/>
      <c r="E1" s="39" t="s">
        <v>2</v>
      </c>
      <c r="F1" s="39"/>
      <c r="G1" s="20" t="s">
        <v>34</v>
      </c>
      <c r="K1" s="20" t="s">
        <v>38</v>
      </c>
      <c r="L1" s="20" t="s">
        <v>10</v>
      </c>
    </row>
    <row r="2" spans="1:12" x14ac:dyDescent="0.45">
      <c r="A2" s="45"/>
      <c r="B2" s="2" t="s">
        <v>43</v>
      </c>
      <c r="C2" s="38" t="s">
        <v>86</v>
      </c>
      <c r="D2" s="38"/>
      <c r="E2" s="38" t="s">
        <v>102</v>
      </c>
      <c r="F2" s="38"/>
      <c r="G2" s="1" t="s">
        <v>103</v>
      </c>
      <c r="K2" s="4" t="s">
        <v>9</v>
      </c>
      <c r="L2" s="4">
        <v>20.2</v>
      </c>
    </row>
    <row r="3" spans="1:12" x14ac:dyDescent="0.45">
      <c r="A3" s="20" t="s">
        <v>1</v>
      </c>
      <c r="B3" s="46" t="s">
        <v>4</v>
      </c>
      <c r="C3" s="47"/>
      <c r="D3" s="48"/>
      <c r="E3" s="46" t="s">
        <v>51</v>
      </c>
      <c r="F3" s="48"/>
      <c r="G3" s="20" t="s">
        <v>5</v>
      </c>
      <c r="K3" s="1" t="s">
        <v>11</v>
      </c>
      <c r="L3" s="1">
        <v>12.8</v>
      </c>
    </row>
    <row r="4" spans="1:12" x14ac:dyDescent="0.45">
      <c r="A4" s="1" t="s">
        <v>39</v>
      </c>
      <c r="B4" s="49">
        <v>4465777595</v>
      </c>
      <c r="C4" s="49"/>
      <c r="D4" s="49"/>
      <c r="E4" s="38" t="s">
        <v>58</v>
      </c>
      <c r="F4" s="38"/>
      <c r="G4" s="1" t="s">
        <v>89</v>
      </c>
      <c r="K4" s="4" t="s">
        <v>12</v>
      </c>
      <c r="L4" s="4">
        <v>40.700000000000003</v>
      </c>
    </row>
    <row r="5" spans="1:12" x14ac:dyDescent="0.45">
      <c r="A5" s="20" t="s">
        <v>6</v>
      </c>
      <c r="B5" s="39" t="s">
        <v>7</v>
      </c>
      <c r="C5" s="39"/>
      <c r="D5" s="39"/>
      <c r="E5" s="20" t="s">
        <v>8</v>
      </c>
      <c r="F5" s="20" t="s">
        <v>35</v>
      </c>
      <c r="G5" s="20" t="s">
        <v>36</v>
      </c>
      <c r="K5" s="1" t="s">
        <v>13</v>
      </c>
      <c r="L5" s="1">
        <v>34</v>
      </c>
    </row>
    <row r="6" spans="1:12" x14ac:dyDescent="0.45">
      <c r="A6" s="3" t="s">
        <v>104</v>
      </c>
      <c r="B6" s="37" t="s">
        <v>18</v>
      </c>
      <c r="C6" s="37"/>
      <c r="D6" s="37"/>
      <c r="E6" s="4">
        <v>6442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46.7</v>
      </c>
    </row>
    <row r="7" spans="1:12" x14ac:dyDescent="0.45">
      <c r="A7" s="2" t="s">
        <v>106</v>
      </c>
      <c r="B7" s="38" t="s">
        <v>21</v>
      </c>
      <c r="C7" s="38"/>
      <c r="D7" s="38"/>
      <c r="E7" s="1" t="s">
        <v>105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63.6</v>
      </c>
    </row>
    <row r="8" spans="1:12" x14ac:dyDescent="0.45">
      <c r="A8" s="3" t="s">
        <v>108</v>
      </c>
      <c r="B8" s="37" t="s">
        <v>19</v>
      </c>
      <c r="C8" s="37"/>
      <c r="D8" s="37"/>
      <c r="E8" s="4" t="s">
        <v>107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284.7</v>
      </c>
    </row>
    <row r="9" spans="1:12" x14ac:dyDescent="0.45">
      <c r="A9" s="2" t="s">
        <v>110</v>
      </c>
      <c r="B9" s="38" t="s">
        <v>20</v>
      </c>
      <c r="C9" s="38"/>
      <c r="D9" s="38"/>
      <c r="E9" s="1" t="s">
        <v>109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112.1</v>
      </c>
    </row>
    <row r="10" spans="1:12" x14ac:dyDescent="0.45">
      <c r="A10" s="3" t="s">
        <v>111</v>
      </c>
      <c r="B10" s="37" t="s">
        <v>24</v>
      </c>
      <c r="C10" s="37"/>
      <c r="D10" s="37"/>
      <c r="E10" s="8">
        <v>6.5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9.5</v>
      </c>
    </row>
    <row r="11" spans="1:12" x14ac:dyDescent="0.45">
      <c r="A11" s="2" t="s">
        <v>95</v>
      </c>
      <c r="B11" s="38" t="s">
        <v>23</v>
      </c>
      <c r="C11" s="38"/>
      <c r="D11" s="38"/>
      <c r="E11" s="1" t="s">
        <v>94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45">
      <c r="A12" s="5" t="s">
        <v>113</v>
      </c>
      <c r="B12" s="37" t="s">
        <v>25</v>
      </c>
      <c r="C12" s="37"/>
      <c r="D12" s="37"/>
      <c r="E12" s="4" t="s">
        <v>112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45">
      <c r="A13" s="2" t="s">
        <v>55</v>
      </c>
      <c r="B13" s="38" t="s">
        <v>26</v>
      </c>
      <c r="C13" s="38"/>
      <c r="D13" s="38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45">
      <c r="A14" s="5" t="s">
        <v>115</v>
      </c>
      <c r="B14" s="37" t="s">
        <v>27</v>
      </c>
      <c r="C14" s="37"/>
      <c r="D14" s="37"/>
      <c r="E14" s="4" t="s">
        <v>114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45">
      <c r="A15" s="2"/>
      <c r="B15" s="43"/>
      <c r="C15" s="43"/>
      <c r="D15" s="43"/>
      <c r="E15" s="1"/>
      <c r="F15" s="16"/>
      <c r="G15" s="4"/>
      <c r="H15" s="14"/>
    </row>
    <row r="16" spans="1:12" x14ac:dyDescent="0.45">
      <c r="A16" s="5" t="s">
        <v>48</v>
      </c>
      <c r="B16" s="37" t="s">
        <v>28</v>
      </c>
      <c r="C16" s="37"/>
      <c r="D16" s="37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45">
      <c r="A17" s="2" t="s">
        <v>61</v>
      </c>
      <c r="B17" s="38" t="s">
        <v>22</v>
      </c>
      <c r="C17" s="38"/>
      <c r="D17" s="38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45">
      <c r="A18" s="5" t="s">
        <v>116</v>
      </c>
      <c r="B18" s="37" t="s">
        <v>29</v>
      </c>
      <c r="C18" s="37"/>
      <c r="D18" s="37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45">
      <c r="A19" s="2" t="s">
        <v>76</v>
      </c>
      <c r="B19" s="38" t="s">
        <v>30</v>
      </c>
      <c r="C19" s="38"/>
      <c r="D19" s="38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45">
      <c r="A20" s="5"/>
      <c r="B20" s="40"/>
      <c r="C20" s="41"/>
      <c r="D20" s="42"/>
      <c r="E20" s="4"/>
      <c r="F20" s="4"/>
      <c r="G20" s="4"/>
      <c r="H20" s="14"/>
    </row>
    <row r="21" spans="1:10" x14ac:dyDescent="0.45">
      <c r="A21" s="2" t="s">
        <v>117</v>
      </c>
      <c r="B21" s="38" t="s">
        <v>33</v>
      </c>
      <c r="C21" s="38"/>
      <c r="D21" s="38"/>
      <c r="E21" s="9">
        <v>6.5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45">
      <c r="A22" s="5" t="s">
        <v>118</v>
      </c>
      <c r="B22" s="37" t="s">
        <v>31</v>
      </c>
      <c r="C22" s="37"/>
      <c r="D22" s="37"/>
      <c r="E22" s="4">
        <v>6744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45">
      <c r="A23" s="2" t="s">
        <v>119</v>
      </c>
      <c r="B23" s="38" t="s">
        <v>50</v>
      </c>
      <c r="C23" s="38"/>
      <c r="D23" s="38"/>
      <c r="E23" s="1">
        <v>6434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45">
      <c r="A24" s="5" t="s">
        <v>121</v>
      </c>
      <c r="B24" s="37" t="s">
        <v>32</v>
      </c>
      <c r="C24" s="37"/>
      <c r="D24" s="37"/>
      <c r="E24" s="4" t="s">
        <v>120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45">
      <c r="A25" s="2"/>
      <c r="B25" s="38"/>
      <c r="C25" s="38"/>
      <c r="D25" s="38"/>
      <c r="E25" s="1"/>
      <c r="F25" s="16"/>
      <c r="G25" s="4"/>
      <c r="H25" s="14"/>
      <c r="I25" s="12"/>
    </row>
    <row r="26" spans="1:10" x14ac:dyDescent="0.45">
      <c r="A26" s="5"/>
      <c r="B26" s="37" t="s">
        <v>37</v>
      </c>
      <c r="C26" s="37"/>
      <c r="D26" s="37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39" t="s">
        <v>52</v>
      </c>
      <c r="C29" s="39"/>
      <c r="D29" s="39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38"/>
      <c r="C31" s="38"/>
      <c r="D31" s="38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38"/>
      <c r="C33" s="38"/>
      <c r="D33" s="38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24" priority="1" operator="equal">
      <formula>"Returned"</formula>
    </cfRule>
    <cfRule type="cellIs" dxfId="23" priority="4" operator="equal">
      <formula>"Ready To Order"</formula>
    </cfRule>
    <cfRule type="containsText" dxfId="22" priority="5" operator="containsText" text="UNP">
      <formula>NOT(ISERROR(SEARCH("UNP",G6)))</formula>
    </cfRule>
    <cfRule type="containsText" dxfId="21" priority="6" operator="containsText" text="Ordered">
      <formula>NOT(ISERROR(SEARCH("Ordered",G6)))</formula>
    </cfRule>
    <cfRule type="containsText" dxfId="20" priority="7" operator="containsText" text="Pick Up">
      <formula>NOT(ISERROR(SEARCH("Pick Up",G6)))</formula>
    </cfRule>
    <cfRule type="containsText" dxfId="19" priority="8" operator="containsText" text="Complete">
      <formula>NOT(ISERROR(SEARCH("Complete",G6)))</formula>
    </cfRule>
  </conditionalFormatting>
  <conditionalFormatting sqref="G30:G33">
    <cfRule type="containsText" dxfId="18" priority="3" operator="containsText" text="Given">
      <formula>NOT(ISERROR(SEARCH("Given",G30)))</formula>
    </cfRule>
  </conditionalFormatting>
  <conditionalFormatting sqref="G30:G34">
    <cfRule type="containsText" dxfId="17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20BDE421-38B2-48E9-A268-D7C61310AC96}">
      <formula1>"--,Returned, Given"</formula1>
    </dataValidation>
    <dataValidation type="list" allowBlank="1" showInputMessage="1" showErrorMessage="1" sqref="G6:G26" xr:uid="{CFC03184-2B84-4CAD-AC05-BE6E307972BF}">
      <formula1>"UNP, Ready To Order, Ordered, Pick Up, Complete, Returned"</formula1>
    </dataValidation>
    <dataValidation type="decimal" allowBlank="1" showInputMessage="1" showErrorMessage="1" sqref="L2" xr:uid="{120371CA-B393-402B-9903-6E7368DE13F9}">
      <formula1>19</formula1>
      <formula2>26</formula2>
    </dataValidation>
  </dataValidations>
  <hyperlinks>
    <hyperlink ref="A1:A2" location="Menu!A1" display="Back to Menu" xr:uid="{CC5FD93A-1C93-476C-91F2-E7D568D2CC4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3" name="Button 1">
              <controlPr defaultSize="0" print="0" autoFill="0" autoPict="0" macro="[0]!terminate">
                <anchor moveWithCells="1" sizeWithCells="1">
                  <from>
                    <xdr:col>9</xdr:col>
                    <xdr:colOff>600075</xdr:colOff>
                    <xdr:row>31</xdr:row>
                    <xdr:rowOff>152400</xdr:rowOff>
                  </from>
                  <to>
                    <xdr:col>12</xdr:col>
                    <xdr:colOff>9525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7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8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1F37C-3907-4FE6-B3F4-88B147A8A806}">
  <sheetPr codeName="Sheet11"/>
  <dimension ref="A1:L34"/>
  <sheetViews>
    <sheetView workbookViewId="0">
      <selection activeCell="E27" sqref="E27"/>
    </sheetView>
  </sheetViews>
  <sheetFormatPr defaultRowHeight="14.25" x14ac:dyDescent="0.45"/>
  <cols>
    <col min="1" max="1" width="18.66406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44" t="s">
        <v>42</v>
      </c>
      <c r="B1" s="20" t="s">
        <v>3</v>
      </c>
      <c r="C1" s="39" t="s">
        <v>0</v>
      </c>
      <c r="D1" s="39"/>
      <c r="E1" s="39" t="s">
        <v>2</v>
      </c>
      <c r="F1" s="39"/>
      <c r="G1" s="20" t="s">
        <v>34</v>
      </c>
      <c r="K1" s="20" t="s">
        <v>38</v>
      </c>
      <c r="L1" s="20" t="s">
        <v>10</v>
      </c>
    </row>
    <row r="2" spans="1:12" x14ac:dyDescent="0.45">
      <c r="A2" s="45"/>
      <c r="B2" s="2" t="s">
        <v>43</v>
      </c>
      <c r="C2" s="38" t="s">
        <v>122</v>
      </c>
      <c r="D2" s="38"/>
      <c r="E2" s="38" t="s">
        <v>123</v>
      </c>
      <c r="F2" s="38"/>
      <c r="G2" s="1" t="s">
        <v>124</v>
      </c>
      <c r="K2" s="4" t="s">
        <v>9</v>
      </c>
      <c r="L2" s="4">
        <v>19.5</v>
      </c>
    </row>
    <row r="3" spans="1:12" x14ac:dyDescent="0.45">
      <c r="A3" s="20" t="s">
        <v>1</v>
      </c>
      <c r="B3" s="46" t="s">
        <v>4</v>
      </c>
      <c r="C3" s="47"/>
      <c r="D3" s="48"/>
      <c r="E3" s="46" t="s">
        <v>51</v>
      </c>
      <c r="F3" s="48"/>
      <c r="G3" s="20" t="s">
        <v>5</v>
      </c>
      <c r="K3" s="1" t="s">
        <v>11</v>
      </c>
      <c r="L3" s="1">
        <v>15.7</v>
      </c>
    </row>
    <row r="4" spans="1:12" x14ac:dyDescent="0.45">
      <c r="A4" s="1" t="s">
        <v>39</v>
      </c>
      <c r="B4" s="49">
        <v>7345806215</v>
      </c>
      <c r="C4" s="49"/>
      <c r="D4" s="49"/>
      <c r="E4" s="38" t="s">
        <v>58</v>
      </c>
      <c r="F4" s="38"/>
      <c r="G4" s="1" t="s">
        <v>44</v>
      </c>
      <c r="K4" s="4" t="s">
        <v>12</v>
      </c>
      <c r="L4" s="4">
        <v>33.299999999999997</v>
      </c>
    </row>
    <row r="5" spans="1:12" x14ac:dyDescent="0.45">
      <c r="A5" s="20" t="s">
        <v>6</v>
      </c>
      <c r="B5" s="39" t="s">
        <v>7</v>
      </c>
      <c r="C5" s="39"/>
      <c r="D5" s="39"/>
      <c r="E5" s="20" t="s">
        <v>8</v>
      </c>
      <c r="F5" s="20" t="s">
        <v>35</v>
      </c>
      <c r="G5" s="20" t="s">
        <v>36</v>
      </c>
      <c r="K5" s="1" t="s">
        <v>13</v>
      </c>
      <c r="L5" s="1">
        <v>30.6</v>
      </c>
    </row>
    <row r="6" spans="1:12" x14ac:dyDescent="0.45">
      <c r="A6" s="3" t="s">
        <v>125</v>
      </c>
      <c r="B6" s="37" t="s">
        <v>18</v>
      </c>
      <c r="C6" s="37"/>
      <c r="D6" s="37"/>
      <c r="E6" s="4">
        <v>8034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46.9</v>
      </c>
    </row>
    <row r="7" spans="1:12" x14ac:dyDescent="0.45">
      <c r="A7" s="2" t="s">
        <v>126</v>
      </c>
      <c r="B7" s="38" t="s">
        <v>21</v>
      </c>
      <c r="C7" s="38"/>
      <c r="D7" s="38"/>
      <c r="E7" s="1">
        <v>16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74.5</v>
      </c>
    </row>
    <row r="8" spans="1:12" x14ac:dyDescent="0.45">
      <c r="A8" s="3" t="s">
        <v>81</v>
      </c>
      <c r="B8" s="37" t="s">
        <v>19</v>
      </c>
      <c r="C8" s="37"/>
      <c r="D8" s="37"/>
      <c r="E8" s="4" t="s">
        <v>80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261.3</v>
      </c>
    </row>
    <row r="9" spans="1:12" x14ac:dyDescent="0.45">
      <c r="A9" s="2" t="s">
        <v>127</v>
      </c>
      <c r="B9" s="38" t="s">
        <v>20</v>
      </c>
      <c r="C9" s="38"/>
      <c r="D9" s="38"/>
      <c r="E9" s="1">
        <v>7642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128.6</v>
      </c>
    </row>
    <row r="10" spans="1:12" x14ac:dyDescent="0.45">
      <c r="A10" s="3" t="s">
        <v>60</v>
      </c>
      <c r="B10" s="37" t="s">
        <v>24</v>
      </c>
      <c r="C10" s="37"/>
      <c r="D10" s="37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6</v>
      </c>
    </row>
    <row r="11" spans="1:12" x14ac:dyDescent="0.45">
      <c r="A11" s="2" t="s">
        <v>129</v>
      </c>
      <c r="B11" s="38" t="s">
        <v>23</v>
      </c>
      <c r="C11" s="38"/>
      <c r="D11" s="38"/>
      <c r="E11" s="1" t="s">
        <v>128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45">
      <c r="A12" s="5" t="s">
        <v>113</v>
      </c>
      <c r="B12" s="37" t="s">
        <v>25</v>
      </c>
      <c r="C12" s="37"/>
      <c r="D12" s="37"/>
      <c r="E12" s="4" t="s">
        <v>112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45">
      <c r="A13" s="2" t="s">
        <v>131</v>
      </c>
      <c r="B13" s="38" t="s">
        <v>26</v>
      </c>
      <c r="C13" s="38"/>
      <c r="D13" s="38"/>
      <c r="E13" s="1" t="s">
        <v>130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45">
      <c r="A14" s="5" t="s">
        <v>133</v>
      </c>
      <c r="B14" s="37" t="s">
        <v>27</v>
      </c>
      <c r="C14" s="37"/>
      <c r="D14" s="37"/>
      <c r="E14" s="4" t="s">
        <v>132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45">
      <c r="A15" s="2"/>
      <c r="B15" s="43"/>
      <c r="C15" s="43"/>
      <c r="D15" s="43"/>
      <c r="E15" s="1"/>
      <c r="F15" s="16"/>
      <c r="G15" s="4"/>
      <c r="H15" s="14"/>
    </row>
    <row r="16" spans="1:12" x14ac:dyDescent="0.45">
      <c r="A16" s="5" t="s">
        <v>48</v>
      </c>
      <c r="B16" s="37" t="s">
        <v>28</v>
      </c>
      <c r="C16" s="37"/>
      <c r="D16" s="37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45">
      <c r="A17" s="2" t="s">
        <v>61</v>
      </c>
      <c r="B17" s="38" t="s">
        <v>22</v>
      </c>
      <c r="C17" s="38"/>
      <c r="D17" s="38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45">
      <c r="A18" s="5" t="s">
        <v>116</v>
      </c>
      <c r="B18" s="37" t="s">
        <v>29</v>
      </c>
      <c r="C18" s="37"/>
      <c r="D18" s="37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45">
      <c r="A19" s="2" t="s">
        <v>138</v>
      </c>
      <c r="B19" s="38" t="s">
        <v>30</v>
      </c>
      <c r="C19" s="38"/>
      <c r="D19" s="38"/>
      <c r="E19" s="1" t="s">
        <v>137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45">
      <c r="A20" s="5"/>
      <c r="B20" s="40"/>
      <c r="C20" s="41"/>
      <c r="D20" s="42"/>
      <c r="E20" s="4"/>
      <c r="F20" s="4"/>
      <c r="G20" s="4"/>
      <c r="H20" s="14"/>
    </row>
    <row r="21" spans="1:10" x14ac:dyDescent="0.45">
      <c r="A21" s="2" t="s">
        <v>134</v>
      </c>
      <c r="B21" s="38" t="s">
        <v>33</v>
      </c>
      <c r="C21" s="38"/>
      <c r="D21" s="38"/>
      <c r="E21" s="9">
        <v>6.25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45">
      <c r="A22" s="5" t="s">
        <v>135</v>
      </c>
      <c r="B22" s="37" t="s">
        <v>31</v>
      </c>
      <c r="C22" s="37"/>
      <c r="D22" s="37"/>
      <c r="E22" s="4">
        <v>7640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45">
      <c r="A23" s="2" t="s">
        <v>136</v>
      </c>
      <c r="B23" s="38" t="s">
        <v>50</v>
      </c>
      <c r="C23" s="38"/>
      <c r="D23" s="38"/>
      <c r="E23" s="1">
        <v>7634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45">
      <c r="A24" s="5" t="s">
        <v>140</v>
      </c>
      <c r="B24" s="37" t="s">
        <v>32</v>
      </c>
      <c r="C24" s="37"/>
      <c r="D24" s="37"/>
      <c r="E24" s="4" t="s">
        <v>139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45">
      <c r="A25" s="2"/>
      <c r="B25" s="38"/>
      <c r="C25" s="38"/>
      <c r="D25" s="38"/>
      <c r="E25" s="1"/>
      <c r="F25" s="16"/>
      <c r="G25" s="4"/>
      <c r="H25" s="14"/>
      <c r="I25" s="12"/>
    </row>
    <row r="26" spans="1:10" x14ac:dyDescent="0.45">
      <c r="A26" s="5"/>
      <c r="B26" s="37" t="s">
        <v>37</v>
      </c>
      <c r="C26" s="37"/>
      <c r="D26" s="37"/>
      <c r="E26" s="4" t="str">
        <f>C2</f>
        <v>White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39" t="s">
        <v>52</v>
      </c>
      <c r="C29" s="39"/>
      <c r="D29" s="39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38"/>
      <c r="C31" s="38"/>
      <c r="D31" s="38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38"/>
      <c r="C33" s="38"/>
      <c r="D33" s="38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16" priority="1" operator="equal">
      <formula>"Returned"</formula>
    </cfRule>
    <cfRule type="cellIs" dxfId="15" priority="4" operator="equal">
      <formula>"Ready To Order"</formula>
    </cfRule>
    <cfRule type="containsText" dxfId="14" priority="5" operator="containsText" text="UNP">
      <formula>NOT(ISERROR(SEARCH("UNP",G6)))</formula>
    </cfRule>
    <cfRule type="containsText" dxfId="13" priority="6" operator="containsText" text="Ordered">
      <formula>NOT(ISERROR(SEARCH("Ordered",G6)))</formula>
    </cfRule>
    <cfRule type="containsText" dxfId="12" priority="7" operator="containsText" text="Pick Up">
      <formula>NOT(ISERROR(SEARCH("Pick Up",G6)))</formula>
    </cfRule>
    <cfRule type="containsText" dxfId="11" priority="8" operator="containsText" text="Complete">
      <formula>NOT(ISERROR(SEARCH("Complete",G6)))</formula>
    </cfRule>
  </conditionalFormatting>
  <conditionalFormatting sqref="G30:G33">
    <cfRule type="containsText" dxfId="10" priority="3" operator="containsText" text="Given">
      <formula>NOT(ISERROR(SEARCH("Given",G30)))</formula>
    </cfRule>
  </conditionalFormatting>
  <conditionalFormatting sqref="G30:G34">
    <cfRule type="containsText" dxfId="9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CA092A4A-4B1C-4356-80E4-FC82E8AA8610}">
      <formula1>"--,Returned, Given"</formula1>
    </dataValidation>
    <dataValidation type="list" allowBlank="1" showInputMessage="1" showErrorMessage="1" sqref="G6:G26" xr:uid="{5DC5B6F9-2A0E-4824-A566-9833968A0491}">
      <formula1>"UNP, Ready To Order, Ordered, Pick Up, Complete, Returned"</formula1>
    </dataValidation>
    <dataValidation type="decimal" allowBlank="1" showInputMessage="1" showErrorMessage="1" sqref="L2" xr:uid="{F1FE6A9B-9354-4E3A-8220-E3A065BA172E}">
      <formula1>19</formula1>
      <formula2>26</formula2>
    </dataValidation>
  </dataValidations>
  <hyperlinks>
    <hyperlink ref="A1:A2" location="Menu!A1" display="Back to Menu" xr:uid="{EDED0F91-88DE-40B9-956B-10BAE79DE96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3" name="Button 1">
              <controlPr defaultSize="0" print="0" autoFill="0" autoPict="0" macro="[0]!terminate">
                <anchor moveWithCells="1" sizeWithCells="1">
                  <from>
                    <xdr:col>9</xdr:col>
                    <xdr:colOff>600075</xdr:colOff>
                    <xdr:row>31</xdr:row>
                    <xdr:rowOff>152400</xdr:rowOff>
                  </from>
                  <to>
                    <xdr:col>12</xdr:col>
                    <xdr:colOff>9525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9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0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4"/>
  <sheetViews>
    <sheetView zoomScaleNormal="100" workbookViewId="0">
      <selection activeCell="G18" sqref="G18"/>
    </sheetView>
  </sheetViews>
  <sheetFormatPr defaultRowHeight="14.25" x14ac:dyDescent="0.45"/>
  <cols>
    <col min="1" max="1" width="18.53125" customWidth="1"/>
    <col min="5" max="5" width="14.33203125" customWidth="1"/>
    <col min="7" max="7" width="16.53125" customWidth="1"/>
    <col min="8" max="8" width="2.46484375" customWidth="1"/>
    <col min="11" max="11" width="12.1328125" customWidth="1"/>
    <col min="12" max="12" width="13.1328125" customWidth="1"/>
  </cols>
  <sheetData>
    <row r="1" spans="1:12" ht="17.25" customHeight="1" x14ac:dyDescent="0.45">
      <c r="A1" s="44" t="s">
        <v>42</v>
      </c>
      <c r="B1" s="20" t="s">
        <v>3</v>
      </c>
      <c r="C1" s="39" t="s">
        <v>0</v>
      </c>
      <c r="D1" s="39"/>
      <c r="E1" s="39" t="s">
        <v>2</v>
      </c>
      <c r="F1" s="39"/>
      <c r="G1" s="20" t="s">
        <v>34</v>
      </c>
      <c r="K1" s="20" t="s">
        <v>38</v>
      </c>
      <c r="L1" s="20" t="s">
        <v>10</v>
      </c>
    </row>
    <row r="2" spans="1:12" ht="17.25" customHeight="1" x14ac:dyDescent="0.45">
      <c r="A2" s="45"/>
      <c r="B2" s="2"/>
      <c r="C2" s="38"/>
      <c r="D2" s="38"/>
      <c r="E2" s="38"/>
      <c r="F2" s="38"/>
      <c r="G2" s="1"/>
      <c r="K2" s="4" t="s">
        <v>9</v>
      </c>
      <c r="L2" s="4"/>
    </row>
    <row r="3" spans="1:12" ht="17.25" customHeight="1" x14ac:dyDescent="0.45">
      <c r="A3" s="20" t="s">
        <v>1</v>
      </c>
      <c r="B3" s="46" t="s">
        <v>4</v>
      </c>
      <c r="C3" s="47"/>
      <c r="D3" s="48"/>
      <c r="E3" s="46" t="s">
        <v>51</v>
      </c>
      <c r="F3" s="48"/>
      <c r="G3" s="20" t="s">
        <v>5</v>
      </c>
      <c r="K3" s="1" t="s">
        <v>11</v>
      </c>
      <c r="L3" s="1"/>
    </row>
    <row r="4" spans="1:12" ht="17.25" customHeight="1" x14ac:dyDescent="0.45">
      <c r="A4" s="1" t="s">
        <v>39</v>
      </c>
      <c r="B4" s="49"/>
      <c r="C4" s="49"/>
      <c r="D4" s="49"/>
      <c r="E4" s="38"/>
      <c r="F4" s="38"/>
      <c r="G4" s="1"/>
      <c r="K4" s="4" t="s">
        <v>12</v>
      </c>
      <c r="L4" s="4"/>
    </row>
    <row r="5" spans="1:12" ht="17.25" customHeight="1" x14ac:dyDescent="0.45">
      <c r="A5" s="20" t="s">
        <v>6</v>
      </c>
      <c r="B5" s="39" t="s">
        <v>7</v>
      </c>
      <c r="C5" s="39"/>
      <c r="D5" s="39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45">
      <c r="A6" s="3"/>
      <c r="B6" s="37" t="s">
        <v>18</v>
      </c>
      <c r="C6" s="37"/>
      <c r="D6" s="37"/>
      <c r="E6" s="4"/>
      <c r="F6" s="4">
        <v>1</v>
      </c>
      <c r="G6" s="25" t="s">
        <v>143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45">
      <c r="A7" s="2"/>
      <c r="B7" s="38" t="s">
        <v>21</v>
      </c>
      <c r="C7" s="38"/>
      <c r="D7" s="38"/>
      <c r="E7" s="1"/>
      <c r="F7" s="16">
        <v>1</v>
      </c>
      <c r="G7" s="25" t="s">
        <v>47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45">
      <c r="A8" s="3"/>
      <c r="B8" s="37" t="s">
        <v>19</v>
      </c>
      <c r="C8" s="37"/>
      <c r="D8" s="37"/>
      <c r="E8" s="4"/>
      <c r="F8" s="4">
        <v>1</v>
      </c>
      <c r="G8" s="25" t="s">
        <v>143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45">
      <c r="A9" s="2"/>
      <c r="B9" s="38" t="s">
        <v>20</v>
      </c>
      <c r="C9" s="38"/>
      <c r="D9" s="38"/>
      <c r="E9" s="1"/>
      <c r="F9" s="16">
        <v>1</v>
      </c>
      <c r="G9" s="25" t="s">
        <v>47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45">
      <c r="A10" s="3"/>
      <c r="B10" s="37" t="s">
        <v>24</v>
      </c>
      <c r="C10" s="37"/>
      <c r="D10" s="37"/>
      <c r="E10" s="8"/>
      <c r="F10" s="4">
        <v>1</v>
      </c>
      <c r="G10" s="25" t="s">
        <v>143</v>
      </c>
      <c r="H10" s="28" t="str">
        <f>HYPERLINK("#G10",CHAR(128))</f>
        <v>€</v>
      </c>
      <c r="K10" s="15" t="s">
        <v>49</v>
      </c>
      <c r="L10" s="15"/>
    </row>
    <row r="11" spans="1:12" ht="17.25" customHeight="1" x14ac:dyDescent="0.45">
      <c r="A11" s="2"/>
      <c r="B11" s="38" t="s">
        <v>23</v>
      </c>
      <c r="C11" s="38"/>
      <c r="D11" s="38"/>
      <c r="E11" s="1"/>
      <c r="F11" s="16">
        <v>1</v>
      </c>
      <c r="G11" s="25" t="s">
        <v>47</v>
      </c>
      <c r="H11" s="28" t="str">
        <f>HYPERLINK("#G11",CHAR(128))</f>
        <v>€</v>
      </c>
    </row>
    <row r="12" spans="1:12" ht="17.25" customHeight="1" x14ac:dyDescent="0.45">
      <c r="A12" s="5"/>
      <c r="B12" s="37" t="s">
        <v>25</v>
      </c>
      <c r="C12" s="37"/>
      <c r="D12" s="37"/>
      <c r="E12" s="4"/>
      <c r="F12" s="4">
        <v>1</v>
      </c>
      <c r="G12" s="25" t="s">
        <v>47</v>
      </c>
      <c r="H12" s="28" t="str">
        <f>HYPERLINK("#G12",CHAR(128))</f>
        <v>€</v>
      </c>
    </row>
    <row r="13" spans="1:12" ht="17.25" customHeight="1" x14ac:dyDescent="0.45">
      <c r="A13" s="2"/>
      <c r="B13" s="38" t="s">
        <v>26</v>
      </c>
      <c r="C13" s="38"/>
      <c r="D13" s="38"/>
      <c r="E13" s="1"/>
      <c r="F13" s="16">
        <v>1</v>
      </c>
      <c r="G13" s="25" t="s">
        <v>47</v>
      </c>
      <c r="H13" s="28" t="str">
        <f>HYPERLINK("#G13",CHAR(128))</f>
        <v>€</v>
      </c>
    </row>
    <row r="14" spans="1:12" ht="17.25" customHeight="1" x14ac:dyDescent="0.45">
      <c r="A14" s="5"/>
      <c r="B14" s="37" t="s">
        <v>27</v>
      </c>
      <c r="C14" s="37"/>
      <c r="D14" s="37"/>
      <c r="E14" s="4"/>
      <c r="F14" s="4">
        <v>1</v>
      </c>
      <c r="G14" s="25" t="s">
        <v>47</v>
      </c>
      <c r="H14" s="28" t="str">
        <f>HYPERLINK("#G14",CHAR(128))</f>
        <v>€</v>
      </c>
    </row>
    <row r="15" spans="1:12" ht="17.25" customHeight="1" x14ac:dyDescent="0.45">
      <c r="A15" s="2"/>
      <c r="B15" s="43"/>
      <c r="C15" s="43"/>
      <c r="D15" s="43"/>
      <c r="E15" s="1"/>
      <c r="F15" s="16"/>
      <c r="G15" s="16"/>
      <c r="H15" s="14"/>
    </row>
    <row r="16" spans="1:12" ht="17.25" customHeight="1" x14ac:dyDescent="0.45">
      <c r="A16" s="5"/>
      <c r="B16" s="37" t="s">
        <v>28</v>
      </c>
      <c r="C16" s="37"/>
      <c r="D16" s="37"/>
      <c r="E16" s="4"/>
      <c r="F16" s="4">
        <v>1</v>
      </c>
      <c r="G16" s="25" t="s">
        <v>47</v>
      </c>
      <c r="H16" s="23" t="str">
        <f>HYPERLINK("#G16",CHAR(128))</f>
        <v>€</v>
      </c>
    </row>
    <row r="17" spans="1:14" ht="17.25" customHeight="1" x14ac:dyDescent="0.45">
      <c r="A17" s="2"/>
      <c r="B17" s="38" t="s">
        <v>22</v>
      </c>
      <c r="C17" s="38"/>
      <c r="D17" s="38"/>
      <c r="E17" s="1"/>
      <c r="F17" s="16">
        <v>1</v>
      </c>
      <c r="G17" s="25" t="s">
        <v>47</v>
      </c>
      <c r="H17" s="23" t="str">
        <f>HYPERLINK("#G17",CHAR(128))</f>
        <v>€</v>
      </c>
    </row>
    <row r="18" spans="1:14" ht="17.25" customHeight="1" x14ac:dyDescent="0.45">
      <c r="A18" s="5"/>
      <c r="B18" s="37" t="s">
        <v>29</v>
      </c>
      <c r="C18" s="37"/>
      <c r="D18" s="37"/>
      <c r="E18" s="4"/>
      <c r="F18" s="4">
        <v>1</v>
      </c>
      <c r="G18" s="25" t="s">
        <v>143</v>
      </c>
      <c r="H18" s="23" t="str">
        <f>HYPERLINK("#G18",CHAR(128))</f>
        <v>€</v>
      </c>
    </row>
    <row r="19" spans="1:14" ht="17.25" customHeight="1" x14ac:dyDescent="0.45">
      <c r="A19" s="2"/>
      <c r="B19" s="38" t="s">
        <v>30</v>
      </c>
      <c r="C19" s="38"/>
      <c r="D19" s="38"/>
      <c r="E19" s="1"/>
      <c r="F19" s="16">
        <v>1</v>
      </c>
      <c r="G19" s="25" t="s">
        <v>47</v>
      </c>
      <c r="H19" s="23" t="str">
        <f>HYPERLINK("#G19",CHAR(128))</f>
        <v>€</v>
      </c>
    </row>
    <row r="20" spans="1:14" ht="17.25" customHeight="1" x14ac:dyDescent="0.45">
      <c r="A20" s="5"/>
      <c r="B20" s="40"/>
      <c r="C20" s="41"/>
      <c r="D20" s="42"/>
      <c r="E20" s="4"/>
      <c r="F20" s="4"/>
      <c r="G20" s="4"/>
      <c r="H20" s="14"/>
    </row>
    <row r="21" spans="1:14" x14ac:dyDescent="0.45">
      <c r="A21" s="2"/>
      <c r="B21" s="38" t="s">
        <v>33</v>
      </c>
      <c r="C21" s="38"/>
      <c r="D21" s="38"/>
      <c r="E21" s="9"/>
      <c r="F21" s="16">
        <v>1</v>
      </c>
      <c r="G21" s="25" t="s">
        <v>47</v>
      </c>
      <c r="H21" s="23" t="str">
        <f>HYPERLINK("#G21",CHAR(128))</f>
        <v>€</v>
      </c>
    </row>
    <row r="22" spans="1:14" x14ac:dyDescent="0.45">
      <c r="A22" s="5"/>
      <c r="B22" s="37" t="s">
        <v>31</v>
      </c>
      <c r="C22" s="37"/>
      <c r="D22" s="37"/>
      <c r="E22" s="4"/>
      <c r="F22" s="4">
        <v>1</v>
      </c>
      <c r="G22" s="25" t="s">
        <v>47</v>
      </c>
      <c r="H22" s="23" t="str">
        <f>HYPERLINK("#G22",CHAR(128))</f>
        <v>€</v>
      </c>
      <c r="N22" s="2"/>
    </row>
    <row r="23" spans="1:14" x14ac:dyDescent="0.45">
      <c r="A23" s="2"/>
      <c r="B23" s="38" t="s">
        <v>50</v>
      </c>
      <c r="C23" s="38"/>
      <c r="D23" s="38"/>
      <c r="E23" s="1"/>
      <c r="F23" s="16">
        <v>1</v>
      </c>
      <c r="G23" s="25" t="s">
        <v>47</v>
      </c>
      <c r="H23" s="22" t="str">
        <f>HYPERLINK("#G23",CHAR(128))</f>
        <v>€</v>
      </c>
    </row>
    <row r="24" spans="1:14" x14ac:dyDescent="0.45">
      <c r="A24" s="5"/>
      <c r="B24" s="37" t="s">
        <v>32</v>
      </c>
      <c r="C24" s="37"/>
      <c r="D24" s="37"/>
      <c r="E24" s="4"/>
      <c r="F24" s="4">
        <v>1</v>
      </c>
      <c r="G24" s="25" t="s">
        <v>47</v>
      </c>
      <c r="H24" s="22" t="str">
        <f>HYPERLINK("#G24",CHAR(128))</f>
        <v>€</v>
      </c>
    </row>
    <row r="25" spans="1:14" x14ac:dyDescent="0.45">
      <c r="A25" s="2"/>
      <c r="B25" s="38"/>
      <c r="C25" s="38"/>
      <c r="D25" s="38"/>
      <c r="E25" s="1"/>
      <c r="F25" s="16"/>
      <c r="G25" s="16"/>
      <c r="H25" s="14"/>
      <c r="I25" s="12"/>
    </row>
    <row r="26" spans="1:14" x14ac:dyDescent="0.45">
      <c r="A26" s="5"/>
      <c r="B26" s="37" t="s">
        <v>37</v>
      </c>
      <c r="C26" s="37"/>
      <c r="D26" s="37"/>
      <c r="E26" s="4">
        <f>C2</f>
        <v>0</v>
      </c>
      <c r="F26" s="4">
        <v>1</v>
      </c>
      <c r="G26" s="25" t="s">
        <v>47</v>
      </c>
      <c r="H26" s="24" t="str">
        <f>HYPERLINK("#G26",CHAR(128))</f>
        <v>€</v>
      </c>
    </row>
    <row r="28" spans="1:14" x14ac:dyDescent="0.45">
      <c r="J28" s="18"/>
    </row>
    <row r="29" spans="1:14" x14ac:dyDescent="0.45">
      <c r="A29" s="20"/>
      <c r="B29" s="39" t="s">
        <v>52</v>
      </c>
      <c r="C29" s="39"/>
      <c r="D29" s="39"/>
      <c r="E29" s="20" t="s">
        <v>8</v>
      </c>
      <c r="F29" s="20" t="s">
        <v>35</v>
      </c>
      <c r="G29" s="21" t="s">
        <v>36</v>
      </c>
    </row>
    <row r="30" spans="1:14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4" x14ac:dyDescent="0.45">
      <c r="A31" s="2"/>
      <c r="B31" s="38"/>
      <c r="C31" s="38"/>
      <c r="D31" s="38"/>
      <c r="E31" s="1"/>
      <c r="F31" s="16">
        <v>1</v>
      </c>
      <c r="G31" s="26"/>
      <c r="H31" s="19" t="str">
        <f>HYPERLINK("#G31",CHAR(128))</f>
        <v>€</v>
      </c>
    </row>
    <row r="32" spans="1:14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38"/>
      <c r="C33" s="38"/>
      <c r="D33" s="38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14 G21:G26 G16:G19">
    <cfRule type="cellIs" dxfId="8" priority="2" operator="equal">
      <formula>"Returned"</formula>
    </cfRule>
    <cfRule type="cellIs" dxfId="7" priority="12" operator="equal">
      <formula>"Ready To Order"</formula>
    </cfRule>
    <cfRule type="cellIs" dxfId="6" priority="13" operator="equal">
      <formula>"UNP"</formula>
    </cfRule>
    <cfRule type="containsText" dxfId="5" priority="14" operator="containsText" text="Ordered">
      <formula>NOT(ISERROR(SEARCH("Ordered",G6)))</formula>
    </cfRule>
    <cfRule type="containsText" dxfId="4" priority="15" operator="containsText" text="Pick Up">
      <formula>NOT(ISERROR(SEARCH("Pick Up",G6)))</formula>
    </cfRule>
    <cfRule type="containsText" dxfId="3" priority="16" operator="containsText" text="Complete">
      <formula>NOT(ISERROR(SEARCH("Complete",G6)))</formula>
    </cfRule>
  </conditionalFormatting>
  <conditionalFormatting sqref="G30:G33">
    <cfRule type="containsText" dxfId="2" priority="4" operator="containsText" text="Given">
      <formula>NOT(ISERROR(SEARCH("Given",G30)))</formula>
    </cfRule>
  </conditionalFormatting>
  <conditionalFormatting sqref="G30:G34">
    <cfRule type="containsText" dxfId="1" priority="3" operator="containsText" text="Returned">
      <formula>NOT(ISERROR(SEARCH("Returned",G30)))</formula>
    </cfRule>
  </conditionalFormatting>
  <conditionalFormatting sqref="G6:G14 G21:G26 G16:G19">
    <cfRule type="cellIs" dxfId="0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0" r:id="rId3" name="Button 4">
              <controlPr defaultSize="0" print="0" autoFill="0" autoPict="0" macro="[0]!terminate">
                <anchor moveWithCells="1" sizeWithCells="1">
                  <from>
                    <xdr:col>9</xdr:col>
                    <xdr:colOff>600075</xdr:colOff>
                    <xdr:row>31</xdr:row>
                    <xdr:rowOff>152400</xdr:rowOff>
                  </from>
                  <to>
                    <xdr:col>12</xdr:col>
                    <xdr:colOff>9525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4" name="Button 5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5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6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Menu</vt:lpstr>
      <vt:lpstr>Importing</vt:lpstr>
      <vt:lpstr>Pickup</vt:lpstr>
      <vt:lpstr>Henry_Smith_AB6D98A0</vt:lpstr>
      <vt:lpstr>Alice_Robinson_AB7A73BD</vt:lpstr>
      <vt:lpstr>Liam_Robinson_FD0E829E</vt:lpstr>
      <vt:lpstr>Taylor_White_0556E08D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dcterms:created xsi:type="dcterms:W3CDTF">2023-08-20T19:28:09Z</dcterms:created>
  <dcterms:modified xsi:type="dcterms:W3CDTF">2023-12-26T23:42:05Z</dcterms:modified>
</cp:coreProperties>
</file>