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0" documentId="8_{7F86CFD4-C5DB-403A-A437-42E16F6DC58C}" xr6:coauthVersionLast="47" xr6:coauthVersionMax="47" xr10:uidLastSave="{00000000-0000-0000-0000-000000000000}"/>
  <bookViews>
    <workbookView xWindow="-108" yWindow="-108" windowWidth="23256" windowHeight="12456" tabRatio="856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<sst xmlns="http://schemas.openxmlformats.org/spreadsheetml/2006/main" count="552" uniqueCount="151">
  <si>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</si>
  <si>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</si>
  <si>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</si>
  <si>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</si>
  <si>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</si>
  <si>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</si>
  <si>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</si>
  <si>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</si>
  <si>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</si>
  <si>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</si>
  <si>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</si>
  <si>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</si>
  <si>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</si>
  <si>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</si>
  <si>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</si>
  <si>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</si>
  <si>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</si>
  <si>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</si>
  <si>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</si>
  <si>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</si>
  <si>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</si>
  <si>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</si>
  <si>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</si>
  <si>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</si>
  <si>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</si>
  <si>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</si>
  <si>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</si>
  <si>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</si>
  <si>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</si>
  <si>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</si>
  <si>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</si>
  <si>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</si>
  <si>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</si>
  <si>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</si>
  <si>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</si>
  <si>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</si>
  <si>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</si>
  <si>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</si>
  <si>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</si>
  <si>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</si>
  <si>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</si>
  <si>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</si>
  <si>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</si>
  <si>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</si>
  <si>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</si>
  <si>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</si>
  <si>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</si>
  <si>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</si>
  <si>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</si>
  <si>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</si>
  <si>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</si>
  <si>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</si>
  <si>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</si>
  <si>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</si>
  <si>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</si>
  <si>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</si>
  <si>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</si>
  <si>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</si>
  <si>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</si>
  <si>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</si>
  <si>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</si>
  <si>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</si>
  <si>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</si>
  <si>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</si>
  <si>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</si>
  <si>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</si>
  <si>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</si>
  <si>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</si>
  <si>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</si>
  <si>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</si>
  <si>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</si>
  <si>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</si>
  <si>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</si>
  <si>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</si>
  <si>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</si>
  <si>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</si>
  <si>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</si>
  <si>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</si>
  <si>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</si>
  <si>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</si>
  <si>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</si>
  <si>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</si>
  <si>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</si>
  <si>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</si>
  <si>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</si>
  <si>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</si>
  <si>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</si>
  <si>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</si>
  <si>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</si>
  <si>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</si>
  <si>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</si>
  <si>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</si>
  <si>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</si>
  <si>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</si>
  <si>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</si>
  <si>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</si>
  <si>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</si>
  <si>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</si>
  <si>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</si>
  <si>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</si>
  <si>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</si>
  <si>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</si>
  <si>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</si>
  <si>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</si>
  <si>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</si>
  <si>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</si>
  <si>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</si>
  <si>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</si>
  <si>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</si>
  <si>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</si>
  <si>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</si>
  <si>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</si>
  <si>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</si>
  <si>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</si>
  <si>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</si>
  <si>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</si>
  <si>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</si>
  <si>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</si>
  <si>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</si>
  <si>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</si>
  <si>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</si>
  <si>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</si>
  <si>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</si>
  <si>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</si>
  <si>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</si>
  <si>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</si>
  <si>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</si>
  <si>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</si>
  <si>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</si>
  <si>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</si>
  <si>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</si>
  <si>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</si>
  <si>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</si>
  <si>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</si>
  <si>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</si>
  <si>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</si>
  <si>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</si>
  <si>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</si>
  <si>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</si>
  <si>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</si>
  <si>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</si>
  <si>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</si>
  <si>
    <t>Old Size</t>
  </si>
  <si>
    <t>Invalid size</t>
  </si>
  <si>
    <t xml:space="preserve">New Size </t>
  </si>
  <si>
    <t>12/29/2023</t>
  </si>
  <si>
    <t>Smith, Henry</t>
  </si>
  <si>
    <t>Robinson, Alice</t>
  </si>
  <si>
    <t>NO SIZE</t>
  </si>
  <si>
    <t>Robinson, Liam</t>
  </si>
  <si>
    <t>White, Taylor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</si>
</sst>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0FFB1"/>
        <bgColor indexed="64"/>
      </patternFill>
    </fill>
    <fill>
      <patternFill patternType="solid">
        <fgColor rgb="FFFFB0B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3" xfId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13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3" fillId="7" borderId="0" xfId="1" applyFont="1" applyFill="1" applyBorder="1" applyAlignment="1">
      <alignment horizontal="center" vertical="center"/>
    </xf>
    <xf numFmtId="0" fontId="13" fillId="7" borderId="15" xfId="1" applyFont="1" applyFill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6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8548F1A7-D217-4CB9-B488-8772C62AAFD5}">
      <tableStyleElement type="wholeTable" dxfId="65"/>
      <tableStyleElement type="headerRow" dxfId="64"/>
      <tableStyleElement type="firstRowStripe" dxfId="63"/>
    </tableStyle>
  </tableStyles>
  <colors>
    <mruColors>
      <color rgb="FF3333FF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0</xdr:row>
          <xdr:rowOff>53340</xdr:rowOff>
        </xdr:from>
        <xdr:to>
          <xdr:col>25</xdr:col>
          <xdr:colOff>190500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3605" name="Button 5" hidden="1">
              <a:extLst>
                <a:ext uri="{63B3BB69-23CF-44E3-9099-C40C66FF867C}">
                  <a14:compatExt spid="_x0000_s153605"/>
                </a:ext>
                <a:ext uri="{FF2B5EF4-FFF2-40B4-BE49-F238E27FC236}">
                  <a16:creationId xmlns:a16="http://schemas.microsoft.com/office/drawing/2014/main" id="{00000000-0008-0000-0300-00000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8725" name="Button 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04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9751" name="Button 7" hidden="1">
              <a:extLst>
                <a:ext uri="{63B3BB69-23CF-44E3-9099-C40C66FF867C}">
                  <a14:compatExt spid="_x0000_s159751"/>
                </a:ext>
                <a:ext uri="{FF2B5EF4-FFF2-40B4-BE49-F238E27FC236}">
                  <a16:creationId xmlns:a16="http://schemas.microsoft.com/office/drawing/2014/main" id="{00000000-0008-0000-0500-00000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62821" name="Button 5" hidden="1">
              <a:extLst>
                <a:ext uri="{63B3BB69-23CF-44E3-9099-C40C66FF867C}">
                  <a14:compatExt spid="_x0000_s162821"/>
                </a:ext>
                <a:ext uri="{FF2B5EF4-FFF2-40B4-BE49-F238E27FC236}">
                  <a16:creationId xmlns:a16="http://schemas.microsoft.com/office/drawing/2014/main" id="{00000000-0008-0000-0600-00000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7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5" totalsRowShown="0" headerRowDxfId="55" dataDxfId="53" headerRowBorderDxfId="54" tableBorderDxfId="52" totalsRowBorderDxfId="51" headerRowCellStyle="60% - Accent5">
  <autoFilter ref="A1:E5" xr:uid="{7E3155DF-3CB2-4063-8346-D3006162EB2E}"/>
  <sortState xmlns:xlrd2="http://schemas.microsoft.com/office/spreadsheetml/2017/richdata2" ref="A2:E5">
    <sortCondition ref="A1:A5"/>
  </sortState>
  <tableColumns count="5">
    <tableColumn id="1" xr3:uid="{4A3C96D4-74F9-46DA-B54B-0CD347E35136}" name="Surname" dataDxfId="50" dataCellStyle="Hyperlink"/>
    <tableColumn id="2" xr3:uid="{2B90B92F-5F96-4EDA-9BBB-0E797162ECC4}" name="First Name" dataDxfId="49" dataCellStyle="Hyperlink"/>
    <tableColumn id="8" xr3:uid="{CFE0A41F-FE26-4CF3-BAA8-F6CEC7B006D4}" name="Status" dataDxfId="48" dataCellStyle="Hyperlink"/>
    <tableColumn id="3" xr3:uid="{EBBDE5FC-4AD9-4996-A6CE-25D9B52D4D03}" name="Date" dataDxfId="47"/>
    <tableColumn id="4" xr3:uid="{854BBB0E-E50E-4F6C-90CC-6180E0CE5D32}" name="ID" dataDxfId="4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FF490C-5E77-476D-9CDA-B0828B09EA7B}" name="Table4" displayName="Table4" ref="A37:D38" totalsRowShown="0" headerRowDxfId="5" dataDxfId="4">
  <autoFilter ref="A37:D38" xr:uid="{C9FF490C-5E77-476D-9CDA-B0828B09EA7B}"/>
  <tableColumns count="4">
    <tableColumn id="4" xr3:uid="{50DDA92A-F816-43C5-B54C-9508EB265A0B}" name="Date" dataDxfId="3"/>
    <tableColumn id="1" xr3:uid="{0D93CC7F-A6A1-4B09-9386-59053573BCB6}" name="Item" dataDxfId="2"/>
    <tableColumn id="2" xr3:uid="{AACDC43F-7501-41D7-9BD7-9AAB2BE8E8DB}" name="Old Size" dataDxfId="1"/>
    <tableColumn id="3" xr3:uid="{99EEA25D-A6B6-4AB8-97C6-3793E599D044}" name="New Size 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5"/>
  <sheetViews>
    <sheetView tabSelected="1" workbookViewId="0">
      <selection activeCell="H10" sqref="H10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3">
      <c r="A2" s="32" t="s">
        <v>87</v>
      </c>
      <c r="B2" s="30" t="s">
        <v>88</v>
      </c>
      <c r="C2" s="31" t="s">
        <v>47</v>
      </c>
      <c r="D2" s="33">
        <v>45263.695231481484</v>
      </c>
      <c r="E2" s="34" t="s">
        <v>89</v>
      </c>
    </row>
    <row r="3" spans="1:5" x14ac:dyDescent="0.3">
      <c r="A3" s="32" t="s">
        <v>87</v>
      </c>
      <c r="B3" s="30" t="s">
        <v>103</v>
      </c>
      <c r="C3" s="31" t="s">
        <v>47</v>
      </c>
      <c r="D3" s="33">
        <v>45263.695451388892</v>
      </c>
      <c r="E3" s="34" t="s">
        <v>104</v>
      </c>
    </row>
    <row r="4" spans="1:5" x14ac:dyDescent="0.3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x14ac:dyDescent="0.3">
      <c r="A5" s="32" t="s">
        <v>123</v>
      </c>
      <c r="B5" s="30" t="s">
        <v>124</v>
      </c>
      <c r="C5" s="31" t="s">
        <v>47</v>
      </c>
      <c r="D5" s="33">
        <v>45263.701226851852</v>
      </c>
      <c r="E5" s="34" t="s">
        <v>125</v>
      </c>
    </row>
  </sheetData>
  <conditionalFormatting sqref="C2:C5">
    <cfRule type="cellIs" dxfId="62" priority="1" operator="equal">
      <formula>"S.O.S"</formula>
    </cfRule>
    <cfRule type="containsText" dxfId="61" priority="2" operator="containsText" text="UNP">
      <formula>NOT(ISERROR(SEARCH("UNP",C2)))</formula>
    </cfRule>
    <cfRule type="containsText" dxfId="60" priority="3" operator="containsText" text="Pick Up">
      <formula>NOT(ISERROR(SEARCH("Pick Up",C2)))</formula>
    </cfRule>
    <cfRule type="cellIs" dxfId="59" priority="8" operator="equal">
      <formula>"Ready To Order"</formula>
    </cfRule>
    <cfRule type="containsText" dxfId="58" priority="9" operator="containsText" text="Ordered">
      <formula>NOT(ISERROR(SEARCH("Ordered",C2)))</formula>
    </cfRule>
    <cfRule type="containsText" dxfId="57" priority="10" operator="containsText" text="Complete">
      <formula>NOT(ISERROR(SEARCH("Complete",C2)))</formula>
    </cfRule>
    <cfRule type="cellIs" dxfId="56" priority="11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E24" sqref="E24"/>
    </sheetView>
  </sheetViews>
  <sheetFormatPr defaultRowHeight="14.4" x14ac:dyDescent="0.3"/>
  <sheetData>
    <row r="1" spans="1:13" ht="37.950000000000003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V5"/>
  <sheetViews>
    <sheetView workbookViewId="0">
      <selection activeCell="E13" sqref="E13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1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  <row r="2" spans="1:22" x14ac:dyDescent="0.3">
      <c r="A2" t="s">
        <v>146</v>
      </c>
      <c r="B2" s="39">
        <v>8060</v>
      </c>
      <c r="C2" s="39">
        <v>20</v>
      </c>
      <c r="D2" s="39" t="s">
        <v>45</v>
      </c>
      <c r="E2" s="39">
        <v>7658</v>
      </c>
      <c r="F2" s="39">
        <v>6.375</v>
      </c>
      <c r="G2" s="40" t="s">
        <v>56</v>
      </c>
      <c r="H2" s="39" t="s">
        <v>68</v>
      </c>
      <c r="I2" s="40" t="s">
        <v>46</v>
      </c>
      <c r="J2" s="39" t="s">
        <v>53</v>
      </c>
      <c r="L2" s="39" t="s">
        <v>54</v>
      </c>
      <c r="M2" s="39" t="s">
        <v>45</v>
      </c>
      <c r="N2" s="39">
        <v>6432</v>
      </c>
      <c r="O2" s="39" t="s">
        <v>75</v>
      </c>
      <c r="Q2" s="39">
        <v>6.125</v>
      </c>
      <c r="R2" s="39">
        <v>7036</v>
      </c>
    </row>
    <row r="3" spans="1:22" x14ac:dyDescent="0.3">
      <c r="A3" t="s">
        <v>147</v>
      </c>
      <c r="B3" s="39">
        <v>6134</v>
      </c>
      <c r="C3" s="39" t="s">
        <v>92</v>
      </c>
      <c r="D3" s="39" t="s">
        <v>81</v>
      </c>
      <c r="E3" t="s">
        <v>148</v>
      </c>
      <c r="F3" s="39">
        <v>7.625</v>
      </c>
      <c r="G3" s="39" t="s">
        <v>95</v>
      </c>
      <c r="H3" t="s">
        <v>148</v>
      </c>
      <c r="I3" s="40" t="s">
        <v>46</v>
      </c>
      <c r="J3" s="39" t="s">
        <v>53</v>
      </c>
      <c r="L3" s="39" t="s">
        <v>54</v>
      </c>
      <c r="M3" s="39" t="s">
        <v>68</v>
      </c>
      <c r="N3" s="39">
        <v>6444</v>
      </c>
      <c r="O3" s="39" t="s">
        <v>99</v>
      </c>
      <c r="Q3" s="39">
        <v>7.625</v>
      </c>
      <c r="R3" s="39">
        <v>6436</v>
      </c>
    </row>
    <row r="4" spans="1:22" x14ac:dyDescent="0.3">
      <c r="A4" t="s">
        <v>149</v>
      </c>
      <c r="B4" s="39">
        <v>6442</v>
      </c>
      <c r="C4" s="39" t="s">
        <v>106</v>
      </c>
      <c r="D4" s="39" t="s">
        <v>108</v>
      </c>
      <c r="E4" s="39" t="s">
        <v>110</v>
      </c>
      <c r="F4" s="39">
        <v>6.5</v>
      </c>
      <c r="G4" s="39" t="s">
        <v>95</v>
      </c>
      <c r="H4" s="39" t="s">
        <v>113</v>
      </c>
      <c r="I4" s="40" t="s">
        <v>46</v>
      </c>
      <c r="J4" s="39" t="s">
        <v>115</v>
      </c>
      <c r="L4" s="39" t="s">
        <v>54</v>
      </c>
      <c r="M4" s="39" t="s">
        <v>45</v>
      </c>
      <c r="N4" s="39">
        <v>7648</v>
      </c>
      <c r="O4" s="39" t="s">
        <v>75</v>
      </c>
      <c r="Q4" s="39">
        <v>6.5</v>
      </c>
      <c r="R4" s="39">
        <v>6744</v>
      </c>
    </row>
    <row r="5" spans="1:22" x14ac:dyDescent="0.3">
      <c r="A5" t="s">
        <v>150</v>
      </c>
      <c r="B5" s="39">
        <v>8034</v>
      </c>
      <c r="C5" s="39">
        <v>16</v>
      </c>
      <c r="D5" s="39" t="s">
        <v>81</v>
      </c>
      <c r="E5" s="39">
        <v>7642</v>
      </c>
      <c r="F5" s="39">
        <v>6.375</v>
      </c>
      <c r="G5" s="39" t="s">
        <v>129</v>
      </c>
      <c r="H5" s="39" t="s">
        <v>113</v>
      </c>
      <c r="I5" s="39" t="s">
        <v>131</v>
      </c>
      <c r="J5" s="39" t="s">
        <v>133</v>
      </c>
      <c r="L5" s="39" t="s">
        <v>54</v>
      </c>
      <c r="M5" s="39" t="s">
        <v>45</v>
      </c>
      <c r="N5" s="39">
        <v>7648</v>
      </c>
      <c r="O5" s="39" t="s">
        <v>138</v>
      </c>
      <c r="Q5" s="39">
        <v>6.25</v>
      </c>
      <c r="R5" s="39">
        <v>7640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30480</xdr:colOff>
                    <xdr:row>0</xdr:row>
                    <xdr:rowOff>53340</xdr:rowOff>
                  </from>
                  <to>
                    <xdr:col>25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L34"/>
  <sheetViews>
    <sheetView topLeftCell="A16" workbookViewId="0">
      <selection activeCell="I40" sqref="I40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51"/>
      <c r="B2" s="2" t="s">
        <v>43</v>
      </c>
      <c r="C2" s="44" t="s">
        <v>62</v>
      </c>
      <c r="D2" s="44"/>
      <c r="E2" s="44" t="s">
        <v>70</v>
      </c>
      <c r="F2" s="44"/>
      <c r="G2" s="1" t="s">
        <v>71</v>
      </c>
      <c r="K2" s="4" t="s">
        <v>9</v>
      </c>
      <c r="L2" s="4">
        <v>19.3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51</v>
      </c>
      <c r="F3" s="54"/>
      <c r="G3" s="20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55">
        <v>3727638738</v>
      </c>
      <c r="C4" s="55"/>
      <c r="D4" s="55"/>
      <c r="E4" s="44" t="s">
        <v>58</v>
      </c>
      <c r="F4" s="44"/>
      <c r="G4" s="1" t="s">
        <v>44</v>
      </c>
      <c r="K4" s="4" t="s">
        <v>12</v>
      </c>
      <c r="L4" s="4">
        <v>61.4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2" x14ac:dyDescent="0.3">
      <c r="A6" s="3" t="s">
        <v>72</v>
      </c>
      <c r="B6" s="43" t="s">
        <v>18</v>
      </c>
      <c r="C6" s="43"/>
      <c r="D6" s="43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2" x14ac:dyDescent="0.3">
      <c r="A7" s="2" t="s">
        <v>73</v>
      </c>
      <c r="B7" s="44" t="s">
        <v>21</v>
      </c>
      <c r="C7" s="44"/>
      <c r="D7" s="44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2" x14ac:dyDescent="0.3">
      <c r="A8" s="3" t="s">
        <v>80</v>
      </c>
      <c r="B8" s="43" t="s">
        <v>19</v>
      </c>
      <c r="C8" s="43"/>
      <c r="D8" s="43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2" x14ac:dyDescent="0.3">
      <c r="A9" s="2" t="s">
        <v>74</v>
      </c>
      <c r="B9" s="44" t="s">
        <v>20</v>
      </c>
      <c r="C9" s="44"/>
      <c r="D9" s="44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2" x14ac:dyDescent="0.3">
      <c r="A10" s="3" t="s">
        <v>60</v>
      </c>
      <c r="B10" s="43" t="s">
        <v>24</v>
      </c>
      <c r="C10" s="43"/>
      <c r="D10" s="43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2" x14ac:dyDescent="0.3">
      <c r="A11" s="2" t="s">
        <v>57</v>
      </c>
      <c r="B11" s="44" t="s">
        <v>23</v>
      </c>
      <c r="C11" s="44"/>
      <c r="D11" s="44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69</v>
      </c>
      <c r="B12" s="43" t="s">
        <v>25</v>
      </c>
      <c r="C12" s="43"/>
      <c r="D12" s="43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44" t="s">
        <v>26</v>
      </c>
      <c r="C13" s="44"/>
      <c r="D13" s="44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3" t="s">
        <v>27</v>
      </c>
      <c r="C14" s="43"/>
      <c r="D14" s="43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9"/>
      <c r="C15" s="49"/>
      <c r="D15" s="49"/>
      <c r="E15" s="1"/>
      <c r="F15" s="16"/>
      <c r="G15" s="4"/>
      <c r="H15" s="14"/>
    </row>
    <row r="16" spans="1:12" x14ac:dyDescent="0.3">
      <c r="A16" s="5" t="s">
        <v>48</v>
      </c>
      <c r="B16" s="43" t="s">
        <v>28</v>
      </c>
      <c r="C16" s="43"/>
      <c r="D16" s="43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44" t="s">
        <v>22</v>
      </c>
      <c r="C17" s="44"/>
      <c r="D17" s="44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43" t="s">
        <v>29</v>
      </c>
      <c r="C18" s="43"/>
      <c r="D18" s="43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44" t="s">
        <v>30</v>
      </c>
      <c r="C19" s="44"/>
      <c r="D19" s="44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4"/>
    </row>
    <row r="21" spans="1:10" x14ac:dyDescent="0.3">
      <c r="A21" s="2" t="s">
        <v>77</v>
      </c>
      <c r="B21" s="44" t="s">
        <v>33</v>
      </c>
      <c r="C21" s="44"/>
      <c r="D21" s="44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43" t="s">
        <v>31</v>
      </c>
      <c r="C22" s="43"/>
      <c r="D22" s="43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44" t="s">
        <v>50</v>
      </c>
      <c r="C23" s="44"/>
      <c r="D23" s="44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43" t="s">
        <v>32</v>
      </c>
      <c r="C24" s="43"/>
      <c r="D24" s="43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6"/>
      <c r="G25" s="4"/>
      <c r="H25" s="14"/>
      <c r="I25" s="12"/>
    </row>
    <row r="26" spans="1:10" x14ac:dyDescent="0.3">
      <c r="A26" s="5"/>
      <c r="B26" s="43" t="s">
        <v>37</v>
      </c>
      <c r="C26" s="43"/>
      <c r="D26" s="43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41"/>
    </row>
    <row r="28" spans="1:10" x14ac:dyDescent="0.3">
      <c r="G28" s="42"/>
      <c r="J28" s="18"/>
    </row>
    <row r="29" spans="1:10" x14ac:dyDescent="0.3">
      <c r="A29" s="20"/>
      <c r="B29" s="45" t="s">
        <v>52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45" priority="1" operator="equal">
      <formula>"Returned"</formula>
    </cfRule>
    <cfRule type="cellIs" dxfId="44" priority="4" operator="equal">
      <formula>"Ready To Order"</formula>
    </cfRule>
    <cfRule type="containsText" dxfId="43" priority="5" operator="containsText" text="UNP">
      <formula>NOT(ISERROR(SEARCH("UNP",G6)))</formula>
    </cfRule>
    <cfRule type="containsText" dxfId="42" priority="6" operator="containsText" text="Ordered">
      <formula>NOT(ISERROR(SEARCH("Ordered",G6)))</formula>
    </cfRule>
    <cfRule type="containsText" dxfId="41" priority="7" operator="containsText" text="Pick Up">
      <formula>NOT(ISERROR(SEARCH("Pick Up",G6)))</formula>
    </cfRule>
    <cfRule type="containsText" dxfId="40" priority="8" operator="containsText" text="Complete">
      <formula>NOT(ISERROR(SEARCH("Complete",G6)))</formula>
    </cfRule>
  </conditionalFormatting>
  <conditionalFormatting sqref="G30:G33">
    <cfRule type="containsText" dxfId="39" priority="3" operator="containsText" text="Given">
      <formula>NOT(ISERROR(SEARCH("Given",G30)))</formula>
    </cfRule>
  </conditionalFormatting>
  <conditionalFormatting sqref="G30:G34">
    <cfRule type="containsText" dxfId="38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topLeftCell="A16" workbookViewId="0">
      <selection activeCell="G27" sqref="G27:G28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51"/>
      <c r="B2" s="2" t="s">
        <v>43</v>
      </c>
      <c r="C2" s="44" t="s">
        <v>87</v>
      </c>
      <c r="D2" s="44"/>
      <c r="E2" s="44" t="s">
        <v>88</v>
      </c>
      <c r="F2" s="44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51</v>
      </c>
      <c r="F3" s="54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55">
        <v>5796352250</v>
      </c>
      <c r="C4" s="55"/>
      <c r="D4" s="55"/>
      <c r="E4" s="44" t="s">
        <v>58</v>
      </c>
      <c r="F4" s="44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43" t="s">
        <v>18</v>
      </c>
      <c r="C6" s="43"/>
      <c r="D6" s="43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44" t="s">
        <v>21</v>
      </c>
      <c r="C7" s="44"/>
      <c r="D7" s="44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43" t="s">
        <v>19</v>
      </c>
      <c r="C8" s="43"/>
      <c r="D8" s="43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44" t="s">
        <v>20</v>
      </c>
      <c r="C9" s="44"/>
      <c r="D9" s="44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43" t="s">
        <v>24</v>
      </c>
      <c r="C10" s="43"/>
      <c r="D10" s="43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44" t="s">
        <v>23</v>
      </c>
      <c r="C11" s="44"/>
      <c r="D11" s="44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44" t="s">
        <v>26</v>
      </c>
      <c r="C13" s="44"/>
      <c r="D13" s="44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3" t="s">
        <v>27</v>
      </c>
      <c r="C14" s="43"/>
      <c r="D14" s="43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9"/>
      <c r="C15" s="49"/>
      <c r="D15" s="49"/>
      <c r="E15" s="1"/>
      <c r="F15" s="16"/>
      <c r="G15" s="4"/>
      <c r="H15" s="14"/>
    </row>
    <row r="16" spans="1:12" x14ac:dyDescent="0.3">
      <c r="A16" s="5" t="s">
        <v>48</v>
      </c>
      <c r="B16" s="43" t="s">
        <v>28</v>
      </c>
      <c r="C16" s="43"/>
      <c r="D16" s="43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44" t="s">
        <v>22</v>
      </c>
      <c r="C17" s="44"/>
      <c r="D17" s="44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43" t="s">
        <v>29</v>
      </c>
      <c r="C18" s="43"/>
      <c r="D18" s="43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44" t="s">
        <v>30</v>
      </c>
      <c r="C19" s="44"/>
      <c r="D19" s="44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4"/>
    </row>
    <row r="21" spans="1:10" x14ac:dyDescent="0.3">
      <c r="A21" s="2" t="s">
        <v>101</v>
      </c>
      <c r="B21" s="44" t="s">
        <v>33</v>
      </c>
      <c r="C21" s="44"/>
      <c r="D21" s="44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43" t="s">
        <v>31</v>
      </c>
      <c r="C22" s="43"/>
      <c r="D22" s="43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44" t="s">
        <v>50</v>
      </c>
      <c r="C23" s="44"/>
      <c r="D23" s="44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6"/>
      <c r="G25" s="4"/>
      <c r="H25" s="14"/>
      <c r="I25" s="12"/>
    </row>
    <row r="26" spans="1:10" x14ac:dyDescent="0.3">
      <c r="A26" s="5"/>
      <c r="B26" s="43" t="s">
        <v>37</v>
      </c>
      <c r="C26" s="43"/>
      <c r="D26" s="43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41"/>
    </row>
    <row r="28" spans="1:10" x14ac:dyDescent="0.3">
      <c r="G28" s="42"/>
      <c r="J28" s="18"/>
    </row>
    <row r="29" spans="1:10" x14ac:dyDescent="0.3">
      <c r="A29" s="20"/>
      <c r="B29" s="45" t="s">
        <v>52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7" priority="1" operator="equal">
      <formula>"Returned"</formula>
    </cfRule>
    <cfRule type="cellIs" dxfId="36" priority="4" operator="equal">
      <formula>"Ready To Order"</formula>
    </cfRule>
    <cfRule type="containsText" dxfId="35" priority="5" operator="containsText" text="UNP">
      <formula>NOT(ISERROR(SEARCH("UNP",G6)))</formula>
    </cfRule>
    <cfRule type="containsText" dxfId="34" priority="6" operator="containsText" text="Ordered">
      <formula>NOT(ISERROR(SEARCH("Ordered",G6)))</formula>
    </cfRule>
    <cfRule type="containsText" dxfId="33" priority="7" operator="containsText" text="Pick Up">
      <formula>NOT(ISERROR(SEARCH("Pick Up",G6)))</formula>
    </cfRule>
    <cfRule type="containsText" dxfId="32" priority="8" operator="containsText" text="Complete">
      <formula>NOT(ISERROR(SEARCH("Complete",G6)))</formula>
    </cfRule>
  </conditionalFormatting>
  <conditionalFormatting sqref="G30:G33">
    <cfRule type="containsText" dxfId="31" priority="3" operator="containsText" text="Given">
      <formula>NOT(ISERROR(SEARCH("Given",G30)))</formula>
    </cfRule>
  </conditionalFormatting>
  <conditionalFormatting sqref="G30:G34">
    <cfRule type="containsText" dxfId="3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5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topLeftCell="A13" workbookViewId="0">
      <selection activeCell="G27" sqref="G27:G28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51"/>
      <c r="B2" s="2" t="s">
        <v>43</v>
      </c>
      <c r="C2" s="44" t="s">
        <v>87</v>
      </c>
      <c r="D2" s="44"/>
      <c r="E2" s="44" t="s">
        <v>103</v>
      </c>
      <c r="F2" s="44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51</v>
      </c>
      <c r="F3" s="54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55">
        <v>4465777595</v>
      </c>
      <c r="C4" s="55"/>
      <c r="D4" s="55"/>
      <c r="E4" s="44" t="s">
        <v>58</v>
      </c>
      <c r="F4" s="44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43" t="s">
        <v>18</v>
      </c>
      <c r="C6" s="43"/>
      <c r="D6" s="43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44" t="s">
        <v>21</v>
      </c>
      <c r="C7" s="44"/>
      <c r="D7" s="44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43" t="s">
        <v>19</v>
      </c>
      <c r="C8" s="43"/>
      <c r="D8" s="43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44" t="s">
        <v>20</v>
      </c>
      <c r="C9" s="44"/>
      <c r="D9" s="44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43" t="s">
        <v>24</v>
      </c>
      <c r="C10" s="43"/>
      <c r="D10" s="43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44" t="s">
        <v>23</v>
      </c>
      <c r="C11" s="44"/>
      <c r="D11" s="44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3" t="s">
        <v>25</v>
      </c>
      <c r="C12" s="43"/>
      <c r="D12" s="43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44" t="s">
        <v>26</v>
      </c>
      <c r="C13" s="44"/>
      <c r="D13" s="44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43" t="s">
        <v>27</v>
      </c>
      <c r="C14" s="43"/>
      <c r="D14" s="43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9"/>
      <c r="C15" s="49"/>
      <c r="D15" s="49"/>
      <c r="E15" s="1"/>
      <c r="F15" s="16"/>
      <c r="G15" s="4"/>
      <c r="H15" s="14"/>
    </row>
    <row r="16" spans="1:12" x14ac:dyDescent="0.3">
      <c r="A16" s="5" t="s">
        <v>48</v>
      </c>
      <c r="B16" s="43" t="s">
        <v>28</v>
      </c>
      <c r="C16" s="43"/>
      <c r="D16" s="43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44" t="s">
        <v>22</v>
      </c>
      <c r="C17" s="44"/>
      <c r="D17" s="44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43" t="s">
        <v>29</v>
      </c>
      <c r="C18" s="43"/>
      <c r="D18" s="43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44" t="s">
        <v>30</v>
      </c>
      <c r="C19" s="44"/>
      <c r="D19" s="44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4"/>
    </row>
    <row r="21" spans="1:10" x14ac:dyDescent="0.3">
      <c r="A21" s="2" t="s">
        <v>118</v>
      </c>
      <c r="B21" s="44" t="s">
        <v>33</v>
      </c>
      <c r="C21" s="44"/>
      <c r="D21" s="44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43" t="s">
        <v>31</v>
      </c>
      <c r="C22" s="43"/>
      <c r="D22" s="43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44" t="s">
        <v>50</v>
      </c>
      <c r="C23" s="44"/>
      <c r="D23" s="44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43" t="s">
        <v>32</v>
      </c>
      <c r="C24" s="43"/>
      <c r="D24" s="43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6"/>
      <c r="G25" s="4"/>
      <c r="H25" s="14"/>
      <c r="I25" s="12"/>
    </row>
    <row r="26" spans="1:10" x14ac:dyDescent="0.3">
      <c r="A26" s="5"/>
      <c r="B26" s="43" t="s">
        <v>37</v>
      </c>
      <c r="C26" s="43"/>
      <c r="D26" s="43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41"/>
    </row>
    <row r="28" spans="1:10" x14ac:dyDescent="0.3">
      <c r="G28" s="42"/>
      <c r="J28" s="18"/>
    </row>
    <row r="29" spans="1:10" x14ac:dyDescent="0.3">
      <c r="A29" s="20"/>
      <c r="B29" s="45" t="s">
        <v>52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9" priority="1" operator="equal">
      <formula>"Returned"</formula>
    </cfRule>
    <cfRule type="cellIs" dxfId="28" priority="4" operator="equal">
      <formula>"Ready To Order"</formula>
    </cfRule>
    <cfRule type="containsText" dxfId="27" priority="5" operator="containsText" text="UNP">
      <formula>NOT(ISERROR(SEARCH("UNP",G6)))</formula>
    </cfRule>
    <cfRule type="containsText" dxfId="26" priority="6" operator="containsText" text="Ordered">
      <formula>NOT(ISERROR(SEARCH("Ordered",G6)))</formula>
    </cfRule>
    <cfRule type="containsText" dxfId="25" priority="7" operator="containsText" text="Pick Up">
      <formula>NOT(ISERROR(SEARCH("Pick Up",G6)))</formula>
    </cfRule>
    <cfRule type="containsText" dxfId="24" priority="8" operator="containsText" text="Complete">
      <formula>NOT(ISERROR(SEARCH("Complete",G6)))</formula>
    </cfRule>
  </conditionalFormatting>
  <conditionalFormatting sqref="G30:G33">
    <cfRule type="containsText" dxfId="23" priority="3" operator="containsText" text="Given">
      <formula>NOT(ISERROR(SEARCH("Given",G30)))</formula>
    </cfRule>
  </conditionalFormatting>
  <conditionalFormatting sqref="G30:G34">
    <cfRule type="containsText" dxfId="2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1" r:id="rId7" name="Button 7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J20" sqref="J20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51"/>
      <c r="B2" s="2" t="s">
        <v>43</v>
      </c>
      <c r="C2" s="44" t="s">
        <v>123</v>
      </c>
      <c r="D2" s="44"/>
      <c r="E2" s="44" t="s">
        <v>124</v>
      </c>
      <c r="F2" s="44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51</v>
      </c>
      <c r="F3" s="54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55">
        <v>7345806215</v>
      </c>
      <c r="C4" s="55"/>
      <c r="D4" s="55"/>
      <c r="E4" s="44" t="s">
        <v>58</v>
      </c>
      <c r="F4" s="44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43" t="s">
        <v>18</v>
      </c>
      <c r="C6" s="43"/>
      <c r="D6" s="43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44" t="s">
        <v>21</v>
      </c>
      <c r="C7" s="44"/>
      <c r="D7" s="44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43" t="s">
        <v>19</v>
      </c>
      <c r="C8" s="43"/>
      <c r="D8" s="43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44" t="s">
        <v>20</v>
      </c>
      <c r="C9" s="44"/>
      <c r="D9" s="44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43" t="s">
        <v>24</v>
      </c>
      <c r="C10" s="43"/>
      <c r="D10" s="43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44" t="s">
        <v>23</v>
      </c>
      <c r="C11" s="44"/>
      <c r="D11" s="44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3" t="s">
        <v>25</v>
      </c>
      <c r="C12" s="43"/>
      <c r="D12" s="43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44" t="s">
        <v>26</v>
      </c>
      <c r="C13" s="44"/>
      <c r="D13" s="44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43" t="s">
        <v>27</v>
      </c>
      <c r="C14" s="43"/>
      <c r="D14" s="43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9"/>
      <c r="C15" s="49"/>
      <c r="D15" s="49"/>
      <c r="E15" s="1"/>
      <c r="F15" s="16"/>
      <c r="G15" s="4"/>
      <c r="H15" s="14"/>
    </row>
    <row r="16" spans="1:12" x14ac:dyDescent="0.3">
      <c r="A16" s="5" t="s">
        <v>48</v>
      </c>
      <c r="B16" s="43" t="s">
        <v>28</v>
      </c>
      <c r="C16" s="43"/>
      <c r="D16" s="43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44" t="s">
        <v>22</v>
      </c>
      <c r="C17" s="44"/>
      <c r="D17" s="44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43" t="s">
        <v>29</v>
      </c>
      <c r="C18" s="43"/>
      <c r="D18" s="43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44" t="s">
        <v>30</v>
      </c>
      <c r="C19" s="44"/>
      <c r="D19" s="44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4"/>
    </row>
    <row r="21" spans="1:10" x14ac:dyDescent="0.3">
      <c r="A21" s="2" t="s">
        <v>135</v>
      </c>
      <c r="B21" s="44" t="s">
        <v>33</v>
      </c>
      <c r="C21" s="44"/>
      <c r="D21" s="44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43" t="s">
        <v>31</v>
      </c>
      <c r="C22" s="43"/>
      <c r="D22" s="43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44" t="s">
        <v>50</v>
      </c>
      <c r="C23" s="44"/>
      <c r="D23" s="44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43" t="s">
        <v>32</v>
      </c>
      <c r="C24" s="43"/>
      <c r="D24" s="43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6"/>
      <c r="G25" s="4"/>
      <c r="H25" s="14"/>
      <c r="I25" s="12"/>
    </row>
    <row r="26" spans="1:10" x14ac:dyDescent="0.3">
      <c r="A26" s="5"/>
      <c r="B26" s="43" t="s">
        <v>37</v>
      </c>
      <c r="C26" s="43"/>
      <c r="D26" s="43"/>
      <c r="E26" s="4" t="str">
        <f>C2</f>
        <v>White</v>
      </c>
      <c r="F26" s="4">
        <v>1</v>
      </c>
      <c r="G26" s="36" t="s">
        <v>47</v>
      </c>
      <c r="H26" s="24" t="str">
        <f>HYPERLINK("#G26",CHAR(128))</f>
        <v>€</v>
      </c>
    </row>
    <row r="27" spans="1:10" x14ac:dyDescent="0.3">
      <c r="G27" s="56"/>
    </row>
    <row r="28" spans="1:10" x14ac:dyDescent="0.3">
      <c r="G28" s="57"/>
      <c r="J28" s="18"/>
    </row>
    <row r="29" spans="1:10" x14ac:dyDescent="0.3">
      <c r="A29" s="20"/>
      <c r="B29" s="45" t="s">
        <v>52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1" priority="1" operator="equal">
      <formula>"Returned"</formula>
    </cfRule>
    <cfRule type="cellIs" dxfId="20" priority="4" operator="equal">
      <formula>"Ready To Order"</formula>
    </cfRule>
    <cfRule type="containsText" dxfId="19" priority="5" operator="containsText" text="UNP">
      <formula>NOT(ISERROR(SEARCH("UNP",G6)))</formula>
    </cfRule>
    <cfRule type="containsText" dxfId="18" priority="6" operator="containsText" text="Ordered">
      <formula>NOT(ISERROR(SEARCH("Ordered",G6)))</formula>
    </cfRule>
    <cfRule type="containsText" dxfId="17" priority="7" operator="containsText" text="Pick Up">
      <formula>NOT(ISERROR(SEARCH("Pick Up",G6)))</formula>
    </cfRule>
    <cfRule type="containsText" dxfId="16" priority="8" operator="containsText" text="Complete">
      <formula>NOT(ISERROR(SEARCH("Complete",G6)))</formula>
    </cfRule>
  </conditionalFormatting>
  <conditionalFormatting sqref="G30:G33">
    <cfRule type="containsText" dxfId="15" priority="3" operator="containsText" text="Given">
      <formula>NOT(ISERROR(SEARCH("Given",G30)))</formula>
    </cfRule>
  </conditionalFormatting>
  <conditionalFormatting sqref="G30:G34">
    <cfRule type="containsText" dxfId="1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1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38"/>
  <sheetViews>
    <sheetView topLeftCell="A21" zoomScaleNormal="100" workbookViewId="0">
      <selection activeCell="K39" sqref="K39"/>
    </sheetView>
  </sheetViews>
  <sheetFormatPr defaultRowHeight="14.4" x14ac:dyDescent="0.3"/>
  <cols>
    <col min="1" max="1" width="18.5546875" customWidth="1"/>
    <col min="2" max="2" width="9.88671875" customWidth="1"/>
    <col min="3" max="3" width="11.4414062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50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51"/>
      <c r="B2" s="2"/>
      <c r="C2" s="44"/>
      <c r="D2" s="44"/>
      <c r="E2" s="44"/>
      <c r="F2" s="44"/>
      <c r="G2" s="1"/>
      <c r="K2" s="4" t="s">
        <v>9</v>
      </c>
      <c r="L2" s="4"/>
    </row>
    <row r="3" spans="1:12" ht="17.25" customHeight="1" x14ac:dyDescent="0.3">
      <c r="A3" s="20" t="s">
        <v>1</v>
      </c>
      <c r="B3" s="52" t="s">
        <v>4</v>
      </c>
      <c r="C3" s="53"/>
      <c r="D3" s="54"/>
      <c r="E3" s="52" t="s">
        <v>51</v>
      </c>
      <c r="F3" s="54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55"/>
      <c r="C4" s="55"/>
      <c r="D4" s="55"/>
      <c r="E4" s="44"/>
      <c r="F4" s="44"/>
      <c r="G4" s="1"/>
      <c r="K4" s="4" t="s">
        <v>12</v>
      </c>
      <c r="L4" s="4"/>
    </row>
    <row r="5" spans="1:12" ht="17.25" customHeight="1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43" t="s">
        <v>18</v>
      </c>
      <c r="C6" s="43"/>
      <c r="D6" s="43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44" t="s">
        <v>21</v>
      </c>
      <c r="C7" s="44"/>
      <c r="D7" s="44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43" t="s">
        <v>19</v>
      </c>
      <c r="C8" s="43"/>
      <c r="D8" s="43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 t="s">
        <v>143</v>
      </c>
      <c r="B9" s="44" t="s">
        <v>20</v>
      </c>
      <c r="C9" s="44"/>
      <c r="D9" s="44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43" t="s">
        <v>24</v>
      </c>
      <c r="C10" s="43"/>
      <c r="D10" s="43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3">
      <c r="A11" s="2"/>
      <c r="B11" s="44" t="s">
        <v>23</v>
      </c>
      <c r="C11" s="44"/>
      <c r="D11" s="44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5" customHeight="1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5" customHeight="1" x14ac:dyDescent="0.3">
      <c r="A13" s="2"/>
      <c r="B13" s="44" t="s">
        <v>26</v>
      </c>
      <c r="C13" s="44"/>
      <c r="D13" s="44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5" customHeight="1" x14ac:dyDescent="0.3">
      <c r="A14" s="5"/>
      <c r="B14" s="43" t="s">
        <v>27</v>
      </c>
      <c r="C14" s="43"/>
      <c r="D14" s="43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5" customHeight="1" x14ac:dyDescent="0.3">
      <c r="A15" s="2"/>
      <c r="B15" s="49"/>
      <c r="C15" s="49"/>
      <c r="D15" s="49"/>
      <c r="E15" s="1"/>
      <c r="F15" s="16"/>
      <c r="G15" s="4"/>
      <c r="H15" s="14"/>
    </row>
    <row r="16" spans="1:12" ht="17.25" customHeight="1" x14ac:dyDescent="0.3">
      <c r="A16" s="5"/>
      <c r="B16" s="43" t="s">
        <v>28</v>
      </c>
      <c r="C16" s="43"/>
      <c r="D16" s="43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ht="17.25" customHeight="1" x14ac:dyDescent="0.3">
      <c r="A17" s="2"/>
      <c r="B17" s="44" t="s">
        <v>22</v>
      </c>
      <c r="C17" s="44"/>
      <c r="D17" s="44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ht="17.25" customHeight="1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ht="17.25" customHeight="1" x14ac:dyDescent="0.3">
      <c r="A19" s="2"/>
      <c r="B19" s="44" t="s">
        <v>30</v>
      </c>
      <c r="C19" s="44"/>
      <c r="D19" s="44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ht="17.25" customHeight="1" x14ac:dyDescent="0.3">
      <c r="A20" s="5"/>
      <c r="B20" s="46"/>
      <c r="C20" s="47"/>
      <c r="D20" s="48"/>
      <c r="E20" s="4"/>
      <c r="F20" s="4"/>
      <c r="G20" s="4"/>
      <c r="H20" s="14"/>
    </row>
    <row r="21" spans="1:10" x14ac:dyDescent="0.3">
      <c r="A21" s="2"/>
      <c r="B21" s="44" t="s">
        <v>33</v>
      </c>
      <c r="C21" s="44"/>
      <c r="D21" s="44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44" t="s">
        <v>50</v>
      </c>
      <c r="C23" s="44"/>
      <c r="D23" s="44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6"/>
      <c r="G25" s="4"/>
      <c r="H25" s="14"/>
      <c r="I25" s="12"/>
    </row>
    <row r="26" spans="1:10" x14ac:dyDescent="0.3">
      <c r="A26" s="5"/>
      <c r="B26" s="43" t="s">
        <v>37</v>
      </c>
      <c r="C26" s="43"/>
      <c r="D26" s="43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5" t="s">
        <v>52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142</v>
      </c>
      <c r="D37" s="37" t="s">
        <v>144</v>
      </c>
    </row>
    <row r="38" spans="1:8" x14ac:dyDescent="0.3">
      <c r="A38" s="38" t="s">
        <v>145</v>
      </c>
      <c r="B38" s="37" t="s">
        <v>18</v>
      </c>
      <c r="C38" s="37">
        <v>7030</v>
      </c>
      <c r="D38" s="37">
        <v>6830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13" priority="1" operator="equal">
      <formula>"Returned"</formula>
    </cfRule>
    <cfRule type="cellIs" dxfId="12" priority="11" operator="equal">
      <formula>"Ready To Order"</formula>
    </cfRule>
    <cfRule type="containsText" dxfId="11" priority="12" operator="containsText" text="UNP">
      <formula>NOT(ISERROR(SEARCH("UNP",G6)))</formula>
    </cfRule>
    <cfRule type="containsText" dxfId="10" priority="13" operator="containsText" text="Ordered">
      <formula>NOT(ISERROR(SEARCH("Ordered",G6)))</formula>
    </cfRule>
    <cfRule type="containsText" dxfId="9" priority="14" operator="containsText" text="Pick Up">
      <formula>NOT(ISERROR(SEARCH("Pick Up",G6)))</formula>
    </cfRule>
    <cfRule type="containsText" dxfId="8" priority="15" operator="containsText" text="Complete">
      <formula>NOT(ISERROR(SEARCH("Complete",G6)))</formula>
    </cfRule>
  </conditionalFormatting>
  <conditionalFormatting sqref="G30:G33">
    <cfRule type="containsText" dxfId="7" priority="3" operator="containsText" text="Given">
      <formula>NOT(ISERROR(SEARCH("Given",G30)))</formula>
    </cfRule>
  </conditionalFormatting>
  <conditionalFormatting sqref="G30:G34">
    <cfRule type="containsText" dxfId="6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7" name="Button 10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2023-12-26T22:34:09Z</dcterms:modified>
</cp:coreProperties>
</file>