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8.xml" ContentType="application/vnd.openxmlformats-officedocument.spreadsheetml.table+xml"/>
  <Override PartName="/xl/drawings/drawing21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tables/table19.xml" ContentType="application/vnd.openxmlformats-officedocument.spreadsheetml.table+xml"/>
  <Override PartName="/xl/drawings/drawing22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20.xml" ContentType="application/vnd.openxmlformats-officedocument.spreadsheetml.table+xml"/>
  <Override PartName="/xl/drawings/drawing23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2266" documentId="13_ncr:20001_{5D24EEE4-DD74-40E9-8C9A-0FB44D3CD763}" xr6:coauthVersionLast="47" xr6:coauthVersionMax="47" xr10:uidLastSave="{12FFE882-0D23-489F-AD17-6229232F59F2}"/>
  <bookViews>
    <workbookView xWindow="-108" yWindow="-108" windowWidth="23256" windowHeight="12456" tabRatio="856" xr2:uid="{01218C0E-FF84-42AC-8993-DD76AC11461D}"/>
  </bookViews>
  <sheets>
    <sheet name="Menu" sheetId="48" r:id="rId1"/>
    <sheet name="Importing" sheetId="124" r:id="rId2"/>
    <sheet name="Pickup" sheetId="181" r:id="rId3"/>
    <sheet name="Master" sheetId="227" r:id="rId4"/>
    <sheet name="Mia_Wilson_795DB783" sheetId="212" r:id="rId5"/>
    <sheet name="aaaa_aaa_F3E668A6" sheetId="213" r:id="rId6"/>
    <sheet name="Liam_Miller_A33FCEBC" sheetId="222" r:id="rId7"/>
    <sheet name="Quinn_Anderson_BF947EB3" sheetId="215" r:id="rId8"/>
    <sheet name="Sheet1" sheetId="245" r:id="rId9"/>
    <sheet name="Yvonne_Martinez_66AC1C8F" sheetId="225" r:id="rId10"/>
    <sheet name="Bob_Robinson_A77A6DA5" sheetId="226" r:id="rId11"/>
    <sheet name="Olivia_Taylor_637855B0" sheetId="228" r:id="rId12"/>
    <sheet name="Grace_Williams_5893D18F" sheetId="232" r:id="rId13"/>
    <sheet name="Liam_Brown_4CDA1BB2" sheetId="233" r:id="rId14"/>
    <sheet name="Henry_Taylor_36CEACB3" sheetId="234" r:id="rId15"/>
    <sheet name="Peter_Anderson_CA66BD9B" sheetId="235" r:id="rId16"/>
    <sheet name="Taylor_Harris_8659C0B1" sheetId="238" r:id="rId17"/>
    <sheet name="David_Lee_2F5AAE8D" sheetId="239" r:id="rId18"/>
    <sheet name="Quinn_Anderson_B8B3A5AF" sheetId="240" r:id="rId19"/>
    <sheet name="Xavier_Martinez_D413A2B4" sheetId="241" r:id="rId20"/>
    <sheet name="Rachel_Jackson_357ABDAE" sheetId="242" r:id="rId21"/>
    <sheet name="Charlie_Lewis_64D94E93" sheetId="243" r:id="rId22"/>
    <sheet name="Mia_Miller_62E6408F" sheetId="244" r:id="rId23"/>
    <sheet name="Template" sheetId="1" r:id="rId2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44" l="1"/>
  <c r="H33" i="244"/>
  <c r="H32" i="244"/>
  <c r="H31" i="244"/>
  <c r="H30" i="244"/>
  <c r="H26" i="244"/>
  <c r="E26" i="244"/>
  <c r="H24" i="244"/>
  <c r="H23" i="244"/>
  <c r="H22" i="244"/>
  <c r="H21" i="244"/>
  <c r="H19" i="244"/>
  <c r="H18" i="244"/>
  <c r="H17" i="244"/>
  <c r="H16" i="244"/>
  <c r="H14" i="244"/>
  <c r="H13" i="244"/>
  <c r="H12" i="244"/>
  <c r="H11" i="244"/>
  <c r="H10" i="244"/>
  <c r="H9" i="244"/>
  <c r="H8" i="244"/>
  <c r="H7" i="244"/>
  <c r="H6" i="244"/>
  <c r="H34" i="243"/>
  <c r="H33" i="243"/>
  <c r="H32" i="243"/>
  <c r="H31" i="243"/>
  <c r="H30" i="243"/>
  <c r="H26" i="243"/>
  <c r="E26" i="243"/>
  <c r="H24" i="243"/>
  <c r="H23" i="243"/>
  <c r="H22" i="243"/>
  <c r="H21" i="243"/>
  <c r="H19" i="243"/>
  <c r="H18" i="243"/>
  <c r="H17" i="243"/>
  <c r="H16" i="243"/>
  <c r="H14" i="243"/>
  <c r="H13" i="243"/>
  <c r="H12" i="243"/>
  <c r="H11" i="243"/>
  <c r="H10" i="243"/>
  <c r="H9" i="243"/>
  <c r="H8" i="243"/>
  <c r="H7" i="243"/>
  <c r="H6" i="243"/>
  <c r="H34" i="242"/>
  <c r="H33" i="242"/>
  <c r="H32" i="242"/>
  <c r="H31" i="242"/>
  <c r="H30" i="242"/>
  <c r="H26" i="242"/>
  <c r="E26" i="242"/>
  <c r="H24" i="242"/>
  <c r="H23" i="242"/>
  <c r="H22" i="242"/>
  <c r="H21" i="242"/>
  <c r="H19" i="242"/>
  <c r="H18" i="242"/>
  <c r="H17" i="242"/>
  <c r="H16" i="242"/>
  <c r="H14" i="242"/>
  <c r="H13" i="242"/>
  <c r="H12" i="242"/>
  <c r="H11" i="242"/>
  <c r="H10" i="242"/>
  <c r="H9" i="242"/>
  <c r="H8" i="242"/>
  <c r="H7" i="242"/>
  <c r="H6" i="242"/>
  <c r="H34" i="241"/>
  <c r="H33" i="241"/>
  <c r="H32" i="241"/>
  <c r="H31" i="241"/>
  <c r="H30" i="241"/>
  <c r="H26" i="241"/>
  <c r="E26" i="241"/>
  <c r="H24" i="241"/>
  <c r="H23" i="241"/>
  <c r="H22" i="241"/>
  <c r="H21" i="241"/>
  <c r="H19" i="241"/>
  <c r="H18" i="241"/>
  <c r="H17" i="241"/>
  <c r="H16" i="241"/>
  <c r="H14" i="241"/>
  <c r="H13" i="241"/>
  <c r="H12" i="241"/>
  <c r="H11" i="241"/>
  <c r="H10" i="241"/>
  <c r="H9" i="241"/>
  <c r="H8" i="241"/>
  <c r="H7" i="241"/>
  <c r="H6" i="241"/>
  <c r="H34" i="240"/>
  <c r="H33" i="240"/>
  <c r="H32" i="240"/>
  <c r="H31" i="240"/>
  <c r="H30" i="240"/>
  <c r="H26" i="240"/>
  <c r="E26" i="240"/>
  <c r="H24" i="240"/>
  <c r="H23" i="240"/>
  <c r="H22" i="240"/>
  <c r="H21" i="240"/>
  <c r="H19" i="240"/>
  <c r="H18" i="240"/>
  <c r="H17" i="240"/>
  <c r="H16" i="240"/>
  <c r="H14" i="240"/>
  <c r="H13" i="240"/>
  <c r="H12" i="240"/>
  <c r="H11" i="240"/>
  <c r="H10" i="240"/>
  <c r="H9" i="240"/>
  <c r="H8" i="240"/>
  <c r="H7" i="240"/>
  <c r="H6" i="240"/>
  <c r="H34" i="239"/>
  <c r="H33" i="239"/>
  <c r="H32" i="239"/>
  <c r="H31" i="239"/>
  <c r="H30" i="239"/>
  <c r="H26" i="239"/>
  <c r="E26" i="239"/>
  <c r="H24" i="239"/>
  <c r="H23" i="239"/>
  <c r="H22" i="239"/>
  <c r="H21" i="239"/>
  <c r="H19" i="239"/>
  <c r="H18" i="239"/>
  <c r="H17" i="239"/>
  <c r="H16" i="239"/>
  <c r="H14" i="239"/>
  <c r="H13" i="239"/>
  <c r="H12" i="239"/>
  <c r="H11" i="239"/>
  <c r="H10" i="239"/>
  <c r="H9" i="239"/>
  <c r="H8" i="239"/>
  <c r="H7" i="239"/>
  <c r="H6" i="239"/>
  <c r="H34" i="238"/>
  <c r="H33" i="238"/>
  <c r="H32" i="238"/>
  <c r="H31" i="238"/>
  <c r="H30" i="238"/>
  <c r="H26" i="238"/>
  <c r="E26" i="238"/>
  <c r="H24" i="238"/>
  <c r="H23" i="238"/>
  <c r="H22" i="238"/>
  <c r="H21" i="238"/>
  <c r="H19" i="238"/>
  <c r="H18" i="238"/>
  <c r="H17" i="238"/>
  <c r="H16" i="238"/>
  <c r="H14" i="238"/>
  <c r="H13" i="238"/>
  <c r="H12" i="238"/>
  <c r="H11" i="238"/>
  <c r="H10" i="238"/>
  <c r="H9" i="238"/>
  <c r="H8" i="238"/>
  <c r="H7" i="238"/>
  <c r="H6" i="238"/>
  <c r="H34" i="235"/>
  <c r="H33" i="235"/>
  <c r="H32" i="235"/>
  <c r="H31" i="235"/>
  <c r="H30" i="235"/>
  <c r="H26" i="235"/>
  <c r="E26" i="235"/>
  <c r="H24" i="235"/>
  <c r="H23" i="235"/>
  <c r="H22" i="235"/>
  <c r="H21" i="235"/>
  <c r="H19" i="235"/>
  <c r="H18" i="235"/>
  <c r="H17" i="235"/>
  <c r="H16" i="235"/>
  <c r="H14" i="235"/>
  <c r="H13" i="235"/>
  <c r="H12" i="235"/>
  <c r="H11" i="235"/>
  <c r="H10" i="235"/>
  <c r="H9" i="235"/>
  <c r="H8" i="235"/>
  <c r="H7" i="235"/>
  <c r="H6" i="235"/>
  <c r="H34" i="234"/>
  <c r="H33" i="234"/>
  <c r="H32" i="234"/>
  <c r="H31" i="234"/>
  <c r="H30" i="234"/>
  <c r="H26" i="234"/>
  <c r="E26" i="234"/>
  <c r="H24" i="234"/>
  <c r="H23" i="234"/>
  <c r="H22" i="234"/>
  <c r="H21" i="234"/>
  <c r="H19" i="234"/>
  <c r="H18" i="234"/>
  <c r="H17" i="234"/>
  <c r="H16" i="234"/>
  <c r="H14" i="234"/>
  <c r="H13" i="234"/>
  <c r="H12" i="234"/>
  <c r="H11" i="234"/>
  <c r="H10" i="234"/>
  <c r="H9" i="234"/>
  <c r="H8" i="234"/>
  <c r="H7" i="234"/>
  <c r="H6" i="234"/>
  <c r="H34" i="233"/>
  <c r="H33" i="233"/>
  <c r="H32" i="233"/>
  <c r="H31" i="233"/>
  <c r="H30" i="233"/>
  <c r="H26" i="233"/>
  <c r="E26" i="233"/>
  <c r="H24" i="233"/>
  <c r="H23" i="233"/>
  <c r="H22" i="233"/>
  <c r="H21" i="233"/>
  <c r="H19" i="233"/>
  <c r="H18" i="233"/>
  <c r="H17" i="233"/>
  <c r="H16" i="233"/>
  <c r="H14" i="233"/>
  <c r="H13" i="233"/>
  <c r="H12" i="233"/>
  <c r="H11" i="233"/>
  <c r="H10" i="233"/>
  <c r="H9" i="233"/>
  <c r="H8" i="233"/>
  <c r="H7" i="233"/>
  <c r="H6" i="233"/>
  <c r="H34" i="232"/>
  <c r="H33" i="232"/>
  <c r="H32" i="232"/>
  <c r="H31" i="232"/>
  <c r="H30" i="232"/>
  <c r="H26" i="232"/>
  <c r="E26" i="232"/>
  <c r="H24" i="232"/>
  <c r="H23" i="232"/>
  <c r="H22" i="232"/>
  <c r="H21" i="232"/>
  <c r="H19" i="232"/>
  <c r="H18" i="232"/>
  <c r="H17" i="232"/>
  <c r="H16" i="232"/>
  <c r="H14" i="232"/>
  <c r="H13" i="232"/>
  <c r="H12" i="232"/>
  <c r="H11" i="232"/>
  <c r="H10" i="232"/>
  <c r="H9" i="232"/>
  <c r="H8" i="232"/>
  <c r="H7" i="232"/>
  <c r="H6" i="232"/>
  <c r="H34" i="228"/>
  <c r="H33" i="228"/>
  <c r="H32" i="228"/>
  <c r="H31" i="228"/>
  <c r="H30" i="228"/>
  <c r="H26" i="228"/>
  <c r="E26" i="228"/>
  <c r="H24" i="228"/>
  <c r="H23" i="228"/>
  <c r="H22" i="228"/>
  <c r="H21" i="228"/>
  <c r="H19" i="228"/>
  <c r="H18" i="228"/>
  <c r="H17" i="228"/>
  <c r="H16" i="228"/>
  <c r="H14" i="228"/>
  <c r="H13" i="228"/>
  <c r="H12" i="228"/>
  <c r="H11" i="228"/>
  <c r="H10" i="228"/>
  <c r="H9" i="228"/>
  <c r="H8" i="228"/>
  <c r="H7" i="228"/>
  <c r="H6" i="228"/>
  <c r="H34" i="226"/>
  <c r="H33" i="226"/>
  <c r="H32" i="226"/>
  <c r="H31" i="226"/>
  <c r="H30" i="226"/>
  <c r="H26" i="226"/>
  <c r="E26" i="226"/>
  <c r="H24" i="226"/>
  <c r="H23" i="226"/>
  <c r="H22" i="226"/>
  <c r="H21" i="226"/>
  <c r="H19" i="226"/>
  <c r="H18" i="226"/>
  <c r="H17" i="226"/>
  <c r="H16" i="226"/>
  <c r="H14" i="226"/>
  <c r="H13" i="226"/>
  <c r="H12" i="226"/>
  <c r="H11" i="226"/>
  <c r="H10" i="226"/>
  <c r="H9" i="226"/>
  <c r="H8" i="226"/>
  <c r="H7" i="226"/>
  <c r="H6" i="226"/>
  <c r="H34" i="225"/>
  <c r="H33" i="225"/>
  <c r="H32" i="225"/>
  <c r="H31" i="225"/>
  <c r="H30" i="225"/>
  <c r="H26" i="225"/>
  <c r="E26" i="225"/>
  <c r="H24" i="225"/>
  <c r="H23" i="225"/>
  <c r="H22" i="225"/>
  <c r="H21" i="225"/>
  <c r="H19" i="225"/>
  <c r="H18" i="225"/>
  <c r="H17" i="225"/>
  <c r="H16" i="225"/>
  <c r="H14" i="225"/>
  <c r="H13" i="225"/>
  <c r="H12" i="225"/>
  <c r="H11" i="225"/>
  <c r="H10" i="225"/>
  <c r="H9" i="225"/>
  <c r="H8" i="225"/>
  <c r="H7" i="225"/>
  <c r="H6" i="225"/>
  <c r="H34" i="222"/>
  <c r="H33" i="222"/>
  <c r="H32" i="222"/>
  <c r="H31" i="222"/>
  <c r="H30" i="222"/>
  <c r="H26" i="222"/>
  <c r="E26" i="222"/>
  <c r="H24" i="222"/>
  <c r="H23" i="222"/>
  <c r="H22" i="222"/>
  <c r="H21" i="222"/>
  <c r="H19" i="222"/>
  <c r="H18" i="222"/>
  <c r="H17" i="222"/>
  <c r="H16" i="222"/>
  <c r="H14" i="222"/>
  <c r="H13" i="222"/>
  <c r="H12" i="222"/>
  <c r="H11" i="222"/>
  <c r="H10" i="222"/>
  <c r="H9" i="222"/>
  <c r="H8" i="222"/>
  <c r="H7" i="222"/>
  <c r="H6" i="222"/>
  <c r="H34" i="215"/>
  <c r="H33" i="215"/>
  <c r="H32" i="215"/>
  <c r="H31" i="215"/>
  <c r="H30" i="215"/>
  <c r="H26" i="215"/>
  <c r="E26" i="215"/>
  <c r="H24" i="215"/>
  <c r="H23" i="215"/>
  <c r="H22" i="215"/>
  <c r="H21" i="215"/>
  <c r="H19" i="215"/>
  <c r="H18" i="215"/>
  <c r="H17" i="215"/>
  <c r="H16" i="215"/>
  <c r="H14" i="215"/>
  <c r="H13" i="215"/>
  <c r="H12" i="215"/>
  <c r="H11" i="215"/>
  <c r="H10" i="215"/>
  <c r="H9" i="215"/>
  <c r="H8" i="215"/>
  <c r="H7" i="215"/>
  <c r="H6" i="215"/>
  <c r="H34" i="213"/>
  <c r="H33" i="213"/>
  <c r="H32" i="213"/>
  <c r="H31" i="213"/>
  <c r="H30" i="213"/>
  <c r="H26" i="213"/>
  <c r="H24" i="213"/>
  <c r="H23" i="213"/>
  <c r="H22" i="213"/>
  <c r="H21" i="213"/>
  <c r="H19" i="213"/>
  <c r="H18" i="213"/>
  <c r="H17" i="213"/>
  <c r="H16" i="213"/>
  <c r="H14" i="213"/>
  <c r="H13" i="213"/>
  <c r="H12" i="213"/>
  <c r="H11" i="213"/>
  <c r="H10" i="213"/>
  <c r="H9" i="213"/>
  <c r="H8" i="213"/>
  <c r="H7" i="213"/>
  <c r="H6" i="213"/>
  <c r="H34" i="212"/>
  <c r="H33" i="212"/>
  <c r="H32" i="212"/>
  <c r="H31" i="212"/>
  <c r="H30" i="212"/>
  <c r="H26" i="212"/>
  <c r="E26" i="212"/>
  <c r="H24" i="212"/>
  <c r="H23" i="212"/>
  <c r="H22" i="212"/>
  <c r="H21" i="212"/>
  <c r="H19" i="212"/>
  <c r="H18" i="212"/>
  <c r="H17" i="212"/>
  <c r="H16" i="212"/>
  <c r="H14" i="212"/>
  <c r="H13" i="212"/>
  <c r="H12" i="212"/>
  <c r="H11" i="212"/>
  <c r="H10" i="212"/>
  <c r="H9" i="212"/>
  <c r="H8" i="212"/>
  <c r="H7" i="212"/>
  <c r="H6" i="21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<sst xmlns="http://schemas.openxmlformats.org/spreadsheetml/2006/main" count="2248" uniqueCount="326">
  <si>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</si>
  <si>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</si>
  <si>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</si>
  <si>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</si>
  <si>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</si>
  <si>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</si>
  <si>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</si>
  <si>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</si>
  <si>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</si>
  <si>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</si>
  <si>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</si>
  <si>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</si>
  <si>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</si>
  <si>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</si>
  <si>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</si>
  <si>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</si>
  <si>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</si>
  <si>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</si>
  <si>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</si>
  <si>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</si>
  <si>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</si>
  <si>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</si>
  <si>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</si>
  <si>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</si>
  <si>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</si>
  <si>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</si>
  <si>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</si>
  <si>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</si>
  <si>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</si>
  <si>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</si>
  <si>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</si>
  <si>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</si>
  <si>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</si>
  <si>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</si>
  <si>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</si>
  <si>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</si>
  <si>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</si>
  <si>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</si>
  <si>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</si>
  <si>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</si>
  <si>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</si>
  <si>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</si>
  <si>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</si>
  <si>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</si>
  <si>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</si>
  <si>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</si>
  <si>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</si>
  <si>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</si>
  <si>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</si>
  <si>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</si>
  <si>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</si>
  <si>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</si>
  <si>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</si>
  <si>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</si>
  <si>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</si>
  <si>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</si>
  <si>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</si>
  <si>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</si>
  <si>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</si>
  <si>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</si>
  <si>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</si>
  <si>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</si>
  <si>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</si>
  <si>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</si>
  <si>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</si>
  <si>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</si>
  <si>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</si>
  <si>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</si>
  <si>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S</t>
  </si>
  <si>
    <t>New Size</t>
  </si>
  <si>
    <t>REG</t>
  </si>
  <si>
    <t>8440-20-008-7936</t>
  </si>
  <si>
    <t>Anderson</t>
  </si>
  <si>
    <t>1000-21-070-7060</t>
  </si>
  <si>
    <t>4XL</t>
  </si>
  <si>
    <t>1000-21-264-2550</t>
  </si>
  <si>
    <t>Pick Up</t>
  </si>
  <si>
    <t>XL/TG</t>
  </si>
  <si>
    <t>8440-20-006-6068</t>
  </si>
  <si>
    <t>(JR / JR)</t>
  </si>
  <si>
    <t>8415-20-006-8915</t>
  </si>
  <si>
    <t>UNP, In Stock</t>
  </si>
  <si>
    <t>Wilson</t>
  </si>
  <si>
    <t>Mia</t>
  </si>
  <si>
    <t>795DB783</t>
  </si>
  <si>
    <t>8405-20-001-4516</t>
  </si>
  <si>
    <t>XXXL</t>
  </si>
  <si>
    <t>8420-20-001-0735</t>
  </si>
  <si>
    <t>1000-21-070-7652</t>
  </si>
  <si>
    <t>XL (60 inch)</t>
  </si>
  <si>
    <t>8440-20-005-2931</t>
  </si>
  <si>
    <t>8440-20-006-6070</t>
  </si>
  <si>
    <t>250/94</t>
  </si>
  <si>
    <t>8430-20-006-2520</t>
  </si>
  <si>
    <t>8405-20-001-1049</t>
  </si>
  <si>
    <t>(L/XL - G/TG)</t>
  </si>
  <si>
    <t>8415-20-006-8917</t>
  </si>
  <si>
    <t>8405-20-004-7503</t>
  </si>
  <si>
    <t>7D</t>
  </si>
  <si>
    <t>8430-20-A0X-9048</t>
  </si>
  <si>
    <t>ac</t>
  </si>
  <si>
    <t>aaa</t>
  </si>
  <si>
    <t>aaaa</t>
  </si>
  <si>
    <t>F3E668A6</t>
  </si>
  <si>
    <t>1000-21-059-6140</t>
  </si>
  <si>
    <t>L</t>
  </si>
  <si>
    <t>---------</t>
  </si>
  <si>
    <t>8420-20-001-0734</t>
  </si>
  <si>
    <t>1000-21-070-6448</t>
  </si>
  <si>
    <t>8405-21-920-7101</t>
  </si>
  <si>
    <t>8405-20-004-7508</t>
  </si>
  <si>
    <t>15EEE</t>
  </si>
  <si>
    <t>8430-20-A0X-9354</t>
  </si>
  <si>
    <t>Wilson, Mia</t>
  </si>
  <si>
    <t>aaa, aaaa</t>
  </si>
  <si>
    <t xml:space="preserve">S </t>
  </si>
  <si>
    <t>Quinn</t>
  </si>
  <si>
    <t>BF947EB3</t>
  </si>
  <si>
    <t>1000-21-059-7054</t>
  </si>
  <si>
    <t>18-1/2</t>
  </si>
  <si>
    <t>8405-20-001-4517</t>
  </si>
  <si>
    <t>8405-20-003-5842</t>
  </si>
  <si>
    <t>265/112</t>
  </si>
  <si>
    <t>8430-20-006-2538</t>
  </si>
  <si>
    <t>8405-21-920-7279</t>
  </si>
  <si>
    <t>8405-20-013-1472</t>
  </si>
  <si>
    <t>8405-21-920-7276</t>
  </si>
  <si>
    <t>Miller</t>
  </si>
  <si>
    <t>Liam</t>
  </si>
  <si>
    <t>Female</t>
  </si>
  <si>
    <t>A33FCEBC</t>
  </si>
  <si>
    <t>8405-21-905-7820</t>
  </si>
  <si>
    <t>8L</t>
  </si>
  <si>
    <t>1000-21-165-723</t>
  </si>
  <si>
    <t>8420-20-001-0728</t>
  </si>
  <si>
    <t>8405-20-003-5845</t>
  </si>
  <si>
    <t>310/122</t>
  </si>
  <si>
    <t>8430-20-006-2568</t>
  </si>
  <si>
    <t>XL</t>
  </si>
  <si>
    <t>8405-21-920-7280</t>
  </si>
  <si>
    <t>8405-21-920-7094</t>
  </si>
  <si>
    <t>8405-20-013-1475</t>
  </si>
  <si>
    <t>8405-20-004-7486</t>
  </si>
  <si>
    <t>15D</t>
  </si>
  <si>
    <t>8430-20-A0X-9360</t>
  </si>
  <si>
    <t>7 2/3</t>
  </si>
  <si>
    <t>36 M</t>
  </si>
  <si>
    <t>1000-21-165-3600</t>
  </si>
  <si>
    <t>Martinez</t>
  </si>
  <si>
    <t>Yvonne</t>
  </si>
  <si>
    <t>66AC1C8F</t>
  </si>
  <si>
    <t>1000-21-059-7332</t>
  </si>
  <si>
    <t>8405-20-001-4503</t>
  </si>
  <si>
    <t>8405-20-003-5848</t>
  </si>
  <si>
    <t>1000-21-215-7652</t>
  </si>
  <si>
    <t>250/106</t>
  </si>
  <si>
    <t>8430-20-006-2523</t>
  </si>
  <si>
    <t>8405-21-920-7281</t>
  </si>
  <si>
    <t>(S/M - P/M)</t>
  </si>
  <si>
    <t>8415-20-006-8916</t>
  </si>
  <si>
    <t>8405-20-013-1478</t>
  </si>
  <si>
    <t>8405-20-004-7483</t>
  </si>
  <si>
    <t>8405-20-004-7512</t>
  </si>
  <si>
    <t>12EEE</t>
  </si>
  <si>
    <t>8430-20-A0X-9358</t>
  </si>
  <si>
    <t>8420-20-001-0732</t>
  </si>
  <si>
    <t>Robinson</t>
  </si>
  <si>
    <t>Bob</t>
  </si>
  <si>
    <t>A77A6DA5</t>
  </si>
  <si>
    <t>1000-21-059-6428</t>
  </si>
  <si>
    <t>XS</t>
  </si>
  <si>
    <t>8420-20-001-0711</t>
  </si>
  <si>
    <t>6334 (H44-1/2)</t>
  </si>
  <si>
    <t>8410-21-912-3638</t>
  </si>
  <si>
    <t>8405-21-920-7091</t>
  </si>
  <si>
    <t>(XS / TP)</t>
  </si>
  <si>
    <t>1001-21-154-2000</t>
  </si>
  <si>
    <t>14D</t>
  </si>
  <si>
    <t>8430-20-A0X-9352</t>
  </si>
  <si>
    <t>Anderson, Quinn</t>
  </si>
  <si>
    <t>Miller, Liam</t>
  </si>
  <si>
    <t>Martinez, Yvonne</t>
  </si>
  <si>
    <t>Robinson, Bob</t>
  </si>
  <si>
    <t>Complete</t>
  </si>
  <si>
    <t>Toggle Done</t>
  </si>
  <si>
    <t xml:space="preserve">In Stock </t>
  </si>
  <si>
    <t>Ready To Order</t>
  </si>
  <si>
    <t>Ordered</t>
  </si>
  <si>
    <t>Returned</t>
  </si>
  <si>
    <t>UNP, In Stock, Complete</t>
  </si>
  <si>
    <t>UNP, Complete</t>
  </si>
  <si>
    <t>Leave Blank</t>
  </si>
  <si>
    <t>Leave Blank2</t>
  </si>
  <si>
    <t>Pick Up, Ordered, Complete</t>
  </si>
  <si>
    <t>Taylor</t>
  </si>
  <si>
    <t>Olivia</t>
  </si>
  <si>
    <t>637855B0</t>
  </si>
  <si>
    <t>1000-21-059-6142</t>
  </si>
  <si>
    <t>Williams</t>
  </si>
  <si>
    <t>Grace</t>
  </si>
  <si>
    <t>5893D18F</t>
  </si>
  <si>
    <t>8405-21-905-7828</t>
  </si>
  <si>
    <t>24M</t>
  </si>
  <si>
    <t>8410-21-912-7794</t>
  </si>
  <si>
    <t>8420-20-001-0731</t>
  </si>
  <si>
    <t>6744 (H54-1/2)</t>
  </si>
  <si>
    <t>1000-21-198-6744</t>
  </si>
  <si>
    <t>8405-20-003-5837</t>
  </si>
  <si>
    <t>L/G</t>
  </si>
  <si>
    <t>8440-20-006-6069</t>
  </si>
  <si>
    <t>320/126</t>
  </si>
  <si>
    <t>8430-20-006-2569</t>
  </si>
  <si>
    <t>8405-21-920-7275</t>
  </si>
  <si>
    <t>8405-20-013-1466</t>
  </si>
  <si>
    <t>8405-20-004-7487</t>
  </si>
  <si>
    <t>8405-20-004-7517</t>
  </si>
  <si>
    <t>Brown</t>
  </si>
  <si>
    <t>4CDA1BB2</t>
  </si>
  <si>
    <t>8405-20-001-4542</t>
  </si>
  <si>
    <t>1000-21-316-1900</t>
  </si>
  <si>
    <t>1000-21-070-6456</t>
  </si>
  <si>
    <t>8405-20-003-5840</t>
  </si>
  <si>
    <t>S/P</t>
  </si>
  <si>
    <t>8440-20-006-6071</t>
  </si>
  <si>
    <t>8405-20-013-1470</t>
  </si>
  <si>
    <t>8405-20-004-7494</t>
  </si>
  <si>
    <t>8405-20-004-7511</t>
  </si>
  <si>
    <t>Taylor, Olivia</t>
  </si>
  <si>
    <t>Williams, Grace</t>
  </si>
  <si>
    <t>Brown, Liam</t>
  </si>
  <si>
    <t>1000-21-070-6458</t>
  </si>
  <si>
    <t>3XL</t>
  </si>
  <si>
    <t>1000-21-215-7662</t>
  </si>
  <si>
    <t>265/100</t>
  </si>
  <si>
    <t>8430-20-006-2535</t>
  </si>
  <si>
    <t>8405-20-004-7488</t>
  </si>
  <si>
    <t>9EEE</t>
  </si>
  <si>
    <t>8430-20-A0X-9131</t>
  </si>
  <si>
    <t>Henry</t>
  </si>
  <si>
    <t>36CEACB3</t>
  </si>
  <si>
    <t>1000-21-059-7330</t>
  </si>
  <si>
    <t>1000-21-070-7346</t>
  </si>
  <si>
    <t>8405-20-003-5843</t>
  </si>
  <si>
    <t>L (56 inch)</t>
  </si>
  <si>
    <t>8440-21-899-1182</t>
  </si>
  <si>
    <t>255/108</t>
  </si>
  <si>
    <t>8430-20-006-2528</t>
  </si>
  <si>
    <t>8405-21-920-7098</t>
  </si>
  <si>
    <t>8405-20-013-1473</t>
  </si>
  <si>
    <t>8405-20-004-7495</t>
  </si>
  <si>
    <t>8405-20-004-7522</t>
  </si>
  <si>
    <t>13EEE</t>
  </si>
  <si>
    <t>8430-20-A0X-9357</t>
  </si>
  <si>
    <t>UNP, In Stock, Pick Up</t>
  </si>
  <si>
    <t>UNP, In Stock, Pick Up, Ordered, Complete</t>
  </si>
  <si>
    <t>Taylor, Henry</t>
  </si>
  <si>
    <t>Column3</t>
  </si>
  <si>
    <t>NameTag</t>
  </si>
  <si>
    <t>Pick Up, Complete</t>
  </si>
  <si>
    <t>Peter</t>
  </si>
  <si>
    <t>CA66BD9B</t>
  </si>
  <si>
    <t>8405-21-907-9957</t>
  </si>
  <si>
    <t>7352 (H62-1/2)</t>
  </si>
  <si>
    <t>1000-21-198-7352</t>
  </si>
  <si>
    <t>260/110</t>
  </si>
  <si>
    <t>8430-20-006-2533</t>
  </si>
  <si>
    <t>8405-20-004-7492</t>
  </si>
  <si>
    <t>14EEE</t>
  </si>
  <si>
    <t>8430-20-A0X-9355</t>
  </si>
  <si>
    <t>Harris</t>
  </si>
  <si>
    <t>8659C0B1</t>
  </si>
  <si>
    <t>1000-21-059-7058</t>
  </si>
  <si>
    <t>1000-21-316-2000</t>
  </si>
  <si>
    <t>1000-21-070-7054</t>
  </si>
  <si>
    <t>285/104</t>
  </si>
  <si>
    <t>8430-20-006-2554</t>
  </si>
  <si>
    <t>11D</t>
  </si>
  <si>
    <t>8430-20-A0X-9206</t>
  </si>
  <si>
    <t>Lee</t>
  </si>
  <si>
    <t>David</t>
  </si>
  <si>
    <t>2F5AAE8D</t>
  </si>
  <si>
    <t>8405-21-905-7832</t>
  </si>
  <si>
    <t>15-1/2</t>
  </si>
  <si>
    <t>8405-20-001-4509</t>
  </si>
  <si>
    <t>1000-21-070-7660</t>
  </si>
  <si>
    <t>305/116</t>
  </si>
  <si>
    <t>8430-20-006-2567</t>
  </si>
  <si>
    <t>8405-20-013-1465</t>
  </si>
  <si>
    <t>8405-20-004-7496</t>
  </si>
  <si>
    <t>8405-20-004-7520</t>
  </si>
  <si>
    <t>B8B3A5AF</t>
  </si>
  <si>
    <t>1000-21-059-7060</t>
  </si>
  <si>
    <t>8405-21-920-7277</t>
  </si>
  <si>
    <t>Xavier</t>
  </si>
  <si>
    <t>D413A2B4</t>
  </si>
  <si>
    <t>8405-21-910-8340</t>
  </si>
  <si>
    <t>30 M</t>
  </si>
  <si>
    <t>1000-21-165-3000</t>
  </si>
  <si>
    <t>7332 (H42-1/2)</t>
  </si>
  <si>
    <t>1000-21-198-7332</t>
  </si>
  <si>
    <t>8405-20-004-7499</t>
  </si>
  <si>
    <t>8405-20-004-7519</t>
  </si>
  <si>
    <t>Jackson</t>
  </si>
  <si>
    <t>Rachel</t>
  </si>
  <si>
    <t>357ABDAE</t>
  </si>
  <si>
    <t>7348 (H58-1/2)</t>
  </si>
  <si>
    <t>1000-21-198-7348</t>
  </si>
  <si>
    <t>Lewis</t>
  </si>
  <si>
    <t>Charlie</t>
  </si>
  <si>
    <t>64D94E93</t>
  </si>
  <si>
    <t>8405-21-905-7823</t>
  </si>
  <si>
    <t>62E6408F</t>
  </si>
  <si>
    <t>8405-21-910-8157</t>
  </si>
  <si>
    <t>17-1/2</t>
  </si>
  <si>
    <t>8405-20-001-4515</t>
  </si>
  <si>
    <t>8405-20-003-5847</t>
  </si>
  <si>
    <t>245/88</t>
  </si>
  <si>
    <t>8430-20-006-2514</t>
  </si>
  <si>
    <t>8405-20-013-1477</t>
  </si>
  <si>
    <t>Anderson, Peter</t>
  </si>
  <si>
    <t>Harris, Taylor</t>
  </si>
  <si>
    <t>Lee, David</t>
  </si>
  <si>
    <t>Martinez, Xavier</t>
  </si>
  <si>
    <t>Jackson, Rachel</t>
  </si>
  <si>
    <t>Lewis, Charlie</t>
  </si>
  <si>
    <t>Miller, Mia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</si>
</sst>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9" borderId="0" xfId="0" applyFill="1"/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0" xfId="0" applyNumberFormat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2" borderId="1" xfId="1" applyFont="1" applyBorder="1" applyAlignment="1">
      <alignment horizontal="center"/>
    </xf>
    <xf numFmtId="49" fontId="0" fillId="0" borderId="0" xfId="0" applyNumberFormat="1"/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15" borderId="0" xfId="0" applyFill="1"/>
    <xf numFmtId="0" fontId="0" fillId="16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0" fontId="2" fillId="13" borderId="0" xfId="3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8" borderId="0" xfId="0" applyFill="1"/>
    <xf numFmtId="0" fontId="0" fillId="12" borderId="0" xfId="0" applyFill="1"/>
    <xf numFmtId="0" fontId="2" fillId="0" borderId="0" xfId="3"/>
    <xf numFmtId="11" fontId="0" fillId="0" borderId="1" xfId="0" applyNumberFormat="1" applyBorder="1" applyAlignment="1">
      <alignment horizontal="center"/>
    </xf>
    <xf numFmtId="11" fontId="0" fillId="0" borderId="9" xfId="0" applyNumberFormat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Fill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289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4B08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288"/>
      <tableStyleElement type="headerRow" dxfId="287"/>
      <tableStyleElement type="firstRowStripe" dxfId="286"/>
      <tableStyleElement type="secondRowStripe" dxfId="285"/>
    </tableStyle>
  </tableStyles>
  <colors>
    <mruColors>
      <color rgb="FF674EA7"/>
      <color rgb="FF00FF00"/>
      <color rgb="FFFB873F"/>
      <color rgb="FF808080"/>
      <color rgb="FF9BC2E6"/>
      <color rgb="FFFBA3FB"/>
      <color rgb="FFFF7575"/>
      <color rgb="FF66FF99"/>
      <color rgb="FFC39BE1"/>
      <color rgb="FF70AE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277908</xdr:colOff>
      <xdr:row>0</xdr:row>
      <xdr:rowOff>251011</xdr:rowOff>
    </xdr:from>
    <xdr:to>
      <xdr:col>7</xdr:col>
      <xdr:colOff>421342</xdr:colOff>
      <xdr:row>1</xdr:row>
      <xdr:rowOff>125506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251014</xdr:colOff>
      <xdr:row>2</xdr:row>
      <xdr:rowOff>286869</xdr:rowOff>
    </xdr:from>
    <xdr:to>
      <xdr:col>7</xdr:col>
      <xdr:colOff>439272</xdr:colOff>
      <xdr:row>4</xdr:row>
      <xdr:rowOff>0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251012</xdr:colOff>
      <xdr:row>8</xdr:row>
      <xdr:rowOff>170326</xdr:rowOff>
    </xdr:from>
    <xdr:to>
      <xdr:col>7</xdr:col>
      <xdr:colOff>448235</xdr:colOff>
      <xdr:row>10</xdr:row>
      <xdr:rowOff>44823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251013</xdr:colOff>
      <xdr:row>5</xdr:row>
      <xdr:rowOff>143434</xdr:rowOff>
    </xdr:from>
    <xdr:to>
      <xdr:col>7</xdr:col>
      <xdr:colOff>430306</xdr:colOff>
      <xdr:row>7</xdr:row>
      <xdr:rowOff>44822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161364</xdr:colOff>
      <xdr:row>0</xdr:row>
      <xdr:rowOff>89644</xdr:rowOff>
    </xdr:from>
    <xdr:to>
      <xdr:col>16</xdr:col>
      <xdr:colOff>179294</xdr:colOff>
      <xdr:row>0</xdr:row>
      <xdr:rowOff>519951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0</xdr:row>
          <xdr:rowOff>53340</xdr:rowOff>
        </xdr:from>
        <xdr:to>
          <xdr:col>24</xdr:col>
          <xdr:colOff>533400</xdr:colOff>
          <xdr:row>0</xdr:row>
          <xdr:rowOff>441960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64195" name="Complete1" hidden="1">
              <a:extLst>
                <a:ext uri="{63B3BB69-23CF-44E3-9099-C40C66FF867C}">
                  <a14:compatExt spid="_x0000_s164195"/>
                </a:ext>
                <a:ext uri="{FF2B5EF4-FFF2-40B4-BE49-F238E27FC236}">
                  <a16:creationId xmlns:a16="http://schemas.microsoft.com/office/drawing/2014/main" id="{6E2C81A2-93F8-8493-A085-D3B471546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64196" name="Complete2" hidden="1">
              <a:extLst>
                <a:ext uri="{63B3BB69-23CF-44E3-9099-C40C66FF867C}">
                  <a14:compatExt spid="_x0000_s164196"/>
                </a:ext>
                <a:ext uri="{FF2B5EF4-FFF2-40B4-BE49-F238E27FC236}">
                  <a16:creationId xmlns:a16="http://schemas.microsoft.com/office/drawing/2014/main" id="{E9A4E0F3-31E6-212B-BB00-E6DD44C84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64197" name="Complete3" hidden="1">
              <a:extLst>
                <a:ext uri="{63B3BB69-23CF-44E3-9099-C40C66FF867C}">
                  <a14:compatExt spid="_x0000_s164197"/>
                </a:ext>
                <a:ext uri="{FF2B5EF4-FFF2-40B4-BE49-F238E27FC236}">
                  <a16:creationId xmlns:a16="http://schemas.microsoft.com/office/drawing/2014/main" id="{E6698ACB-702E-06A7-FA1A-3D4074C80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164198" name="Complete4" hidden="1">
              <a:extLst>
                <a:ext uri="{63B3BB69-23CF-44E3-9099-C40C66FF867C}">
                  <a14:compatExt spid="_x0000_s164198"/>
                </a:ext>
                <a:ext uri="{FF2B5EF4-FFF2-40B4-BE49-F238E27FC236}">
                  <a16:creationId xmlns:a16="http://schemas.microsoft.com/office/drawing/2014/main" id="{567190F7-26BE-7DEF-4455-03A9D4FF8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5</xdr:row>
          <xdr:rowOff>0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164199" name="Complete5" hidden="1">
              <a:extLst>
                <a:ext uri="{63B3BB69-23CF-44E3-9099-C40C66FF867C}">
                  <a14:compatExt spid="_x0000_s164199"/>
                </a:ext>
                <a:ext uri="{FF2B5EF4-FFF2-40B4-BE49-F238E27FC236}">
                  <a16:creationId xmlns:a16="http://schemas.microsoft.com/office/drawing/2014/main" id="{9B6DA2DE-C68C-15A6-5A8C-CDEA9F4A2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164200" name="Complete6" hidden="1">
              <a:extLst>
                <a:ext uri="{63B3BB69-23CF-44E3-9099-C40C66FF867C}">
                  <a14:compatExt spid="_x0000_s164200"/>
                </a:ext>
                <a:ext uri="{FF2B5EF4-FFF2-40B4-BE49-F238E27FC236}">
                  <a16:creationId xmlns:a16="http://schemas.microsoft.com/office/drawing/2014/main" id="{211C13F5-F727-BCE2-0409-C3AFD3A4F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17929</xdr:rowOff>
    </xdr:from>
    <xdr:to>
      <xdr:col>22</xdr:col>
      <xdr:colOff>842682</xdr:colOff>
      <xdr:row>0</xdr:row>
      <xdr:rowOff>313765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27214" name="Toggle2" hidden="1">
              <a:extLst>
                <a:ext uri="{63B3BB69-23CF-44E3-9099-C40C66FF867C}">
                  <a14:compatExt spid="_x0000_s227214"/>
                </a:ext>
                <a:ext uri="{FF2B5EF4-FFF2-40B4-BE49-F238E27FC236}">
                  <a16:creationId xmlns:a16="http://schemas.microsoft.com/office/drawing/2014/main" id="{F3353422-D7C0-4CD4-8D63-2442ADE1D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27215" name="Toggle3" hidden="1">
              <a:extLst>
                <a:ext uri="{63B3BB69-23CF-44E3-9099-C40C66FF867C}">
                  <a14:compatExt spid="_x0000_s227215"/>
                </a:ext>
                <a:ext uri="{FF2B5EF4-FFF2-40B4-BE49-F238E27FC236}">
                  <a16:creationId xmlns:a16="http://schemas.microsoft.com/office/drawing/2014/main" id="{36F4F0D6-2D3B-D10D-C391-B1CFE22F4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227216" name="Toggle4" hidden="1">
              <a:extLst>
                <a:ext uri="{63B3BB69-23CF-44E3-9099-C40C66FF867C}">
                  <a14:compatExt spid="_x0000_s227216"/>
                </a:ext>
                <a:ext uri="{FF2B5EF4-FFF2-40B4-BE49-F238E27FC236}">
                  <a16:creationId xmlns:a16="http://schemas.microsoft.com/office/drawing/2014/main" id="{BC1F151F-B938-463A-36DB-BB0AEFA19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5</xdr:row>
          <xdr:rowOff>0</xdr:rowOff>
        </xdr:from>
        <xdr:to>
          <xdr:col>23</xdr:col>
          <xdr:colOff>0</xdr:colOff>
          <xdr:row>6</xdr:row>
          <xdr:rowOff>0</xdr:rowOff>
        </xdr:to>
        <xdr:sp macro="" textlink="">
          <xdr:nvSpPr>
            <xdr:cNvPr id="227217" name="Toggle5" hidden="1">
              <a:extLst>
                <a:ext uri="{63B3BB69-23CF-44E3-9099-C40C66FF867C}">
                  <a14:compatExt spid="_x0000_s227217"/>
                </a:ext>
                <a:ext uri="{FF2B5EF4-FFF2-40B4-BE49-F238E27FC236}">
                  <a16:creationId xmlns:a16="http://schemas.microsoft.com/office/drawing/2014/main" id="{984C465F-8734-38DB-A2BD-EEA297F2B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27218" name="Toggle6" hidden="1">
              <a:extLst>
                <a:ext uri="{63B3BB69-23CF-44E3-9099-C40C66FF867C}">
                  <a14:compatExt spid="_x0000_s227218"/>
                </a:ext>
                <a:ext uri="{FF2B5EF4-FFF2-40B4-BE49-F238E27FC236}">
                  <a16:creationId xmlns:a16="http://schemas.microsoft.com/office/drawing/2014/main" id="{1F8C78F2-AD40-F226-978D-FFD63FD6F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227219" name="Toggle7" hidden="1">
              <a:extLst>
                <a:ext uri="{63B3BB69-23CF-44E3-9099-C40C66FF867C}">
                  <a14:compatExt spid="_x0000_s227219"/>
                </a:ext>
                <a:ext uri="{FF2B5EF4-FFF2-40B4-BE49-F238E27FC236}">
                  <a16:creationId xmlns:a16="http://schemas.microsoft.com/office/drawing/2014/main" id="{AD775C07-E796-2333-6295-3EA4DDD0C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227220" name="Toggle8" hidden="1">
              <a:extLst>
                <a:ext uri="{63B3BB69-23CF-44E3-9099-C40C66FF867C}">
                  <a14:compatExt spid="_x0000_s227220"/>
                </a:ext>
                <a:ext uri="{FF2B5EF4-FFF2-40B4-BE49-F238E27FC236}">
                  <a16:creationId xmlns:a16="http://schemas.microsoft.com/office/drawing/2014/main" id="{1DB48427-2515-B30D-7AB9-11B77593C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9</xdr:row>
          <xdr:rowOff>0</xdr:rowOff>
        </xdr:from>
        <xdr:to>
          <xdr:col>23</xdr:col>
          <xdr:colOff>0</xdr:colOff>
          <xdr:row>10</xdr:row>
          <xdr:rowOff>0</xdr:rowOff>
        </xdr:to>
        <xdr:sp macro="" textlink="">
          <xdr:nvSpPr>
            <xdr:cNvPr id="227221" name="Toggle9" hidden="1">
              <a:extLst>
                <a:ext uri="{63B3BB69-23CF-44E3-9099-C40C66FF867C}">
                  <a14:compatExt spid="_x0000_s227221"/>
                </a:ext>
                <a:ext uri="{FF2B5EF4-FFF2-40B4-BE49-F238E27FC236}">
                  <a16:creationId xmlns:a16="http://schemas.microsoft.com/office/drawing/2014/main" id="{F6C86EA2-E08B-1C34-D20A-6F2E33D0E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227222" name="Toggle10" hidden="1">
              <a:extLst>
                <a:ext uri="{63B3BB69-23CF-44E3-9099-C40C66FF867C}">
                  <a14:compatExt spid="_x0000_s227222"/>
                </a:ext>
                <a:ext uri="{FF2B5EF4-FFF2-40B4-BE49-F238E27FC236}">
                  <a16:creationId xmlns:a16="http://schemas.microsoft.com/office/drawing/2014/main" id="{008FA069-56FA-F168-4FA5-EC1F1CD98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11</xdr:row>
          <xdr:rowOff>0</xdr:rowOff>
        </xdr:from>
        <xdr:to>
          <xdr:col>23</xdr:col>
          <xdr:colOff>0</xdr:colOff>
          <xdr:row>12</xdr:row>
          <xdr:rowOff>0</xdr:rowOff>
        </xdr:to>
        <xdr:sp macro="" textlink="">
          <xdr:nvSpPr>
            <xdr:cNvPr id="227223" name="Toggle11" hidden="1">
              <a:extLst>
                <a:ext uri="{63B3BB69-23CF-44E3-9099-C40C66FF867C}">
                  <a14:compatExt spid="_x0000_s227223"/>
                </a:ext>
                <a:ext uri="{FF2B5EF4-FFF2-40B4-BE49-F238E27FC236}">
                  <a16:creationId xmlns:a16="http://schemas.microsoft.com/office/drawing/2014/main" id="{DF75F3C9-8C90-D236-A5E1-5EFCCA9B7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12</xdr:row>
          <xdr:rowOff>0</xdr:rowOff>
        </xdr:from>
        <xdr:to>
          <xdr:col>23</xdr:col>
          <xdr:colOff>0</xdr:colOff>
          <xdr:row>13</xdr:row>
          <xdr:rowOff>0</xdr:rowOff>
        </xdr:to>
        <xdr:sp macro="" textlink="">
          <xdr:nvSpPr>
            <xdr:cNvPr id="227224" name="Toggle12" hidden="1">
              <a:extLst>
                <a:ext uri="{63B3BB69-23CF-44E3-9099-C40C66FF867C}">
                  <a14:compatExt spid="_x0000_s227224"/>
                </a:ext>
                <a:ext uri="{FF2B5EF4-FFF2-40B4-BE49-F238E27FC236}">
                  <a16:creationId xmlns:a16="http://schemas.microsoft.com/office/drawing/2014/main" id="{97F151E8-1A5B-F604-97A7-2A0C22C7C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13</xdr:row>
          <xdr:rowOff>0</xdr:rowOff>
        </xdr:from>
        <xdr:to>
          <xdr:col>23</xdr:col>
          <xdr:colOff>0</xdr:colOff>
          <xdr:row>14</xdr:row>
          <xdr:rowOff>0</xdr:rowOff>
        </xdr:to>
        <xdr:sp macro="" textlink="">
          <xdr:nvSpPr>
            <xdr:cNvPr id="227225" name="Toggle13" hidden="1">
              <a:extLst>
                <a:ext uri="{63B3BB69-23CF-44E3-9099-C40C66FF867C}">
                  <a14:compatExt spid="_x0000_s227225"/>
                </a:ext>
                <a:ext uri="{FF2B5EF4-FFF2-40B4-BE49-F238E27FC236}">
                  <a16:creationId xmlns:a16="http://schemas.microsoft.com/office/drawing/2014/main" id="{CA109B8E-D8DE-A99B-A66D-4D83524D3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14</xdr:row>
          <xdr:rowOff>0</xdr:rowOff>
        </xdr:from>
        <xdr:to>
          <xdr:col>23</xdr:col>
          <xdr:colOff>0</xdr:colOff>
          <xdr:row>15</xdr:row>
          <xdr:rowOff>0</xdr:rowOff>
        </xdr:to>
        <xdr:sp macro="" textlink="">
          <xdr:nvSpPr>
            <xdr:cNvPr id="227226" name="Toggle14" hidden="1">
              <a:extLst>
                <a:ext uri="{63B3BB69-23CF-44E3-9099-C40C66FF867C}">
                  <a14:compatExt spid="_x0000_s227226"/>
                </a:ext>
                <a:ext uri="{FF2B5EF4-FFF2-40B4-BE49-F238E27FC236}">
                  <a16:creationId xmlns:a16="http://schemas.microsoft.com/office/drawing/2014/main" id="{D1FED414-06E6-E3F0-8975-E6379E2BA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15</xdr:row>
          <xdr:rowOff>0</xdr:rowOff>
        </xdr:from>
        <xdr:to>
          <xdr:col>23</xdr:col>
          <xdr:colOff>0</xdr:colOff>
          <xdr:row>16</xdr:row>
          <xdr:rowOff>0</xdr:rowOff>
        </xdr:to>
        <xdr:sp macro="" textlink="">
          <xdr:nvSpPr>
            <xdr:cNvPr id="227227" name="Toggle15" hidden="1">
              <a:extLst>
                <a:ext uri="{63B3BB69-23CF-44E3-9099-C40C66FF867C}">
                  <a14:compatExt spid="_x0000_s227227"/>
                </a:ext>
                <a:ext uri="{FF2B5EF4-FFF2-40B4-BE49-F238E27FC236}">
                  <a16:creationId xmlns:a16="http://schemas.microsoft.com/office/drawing/2014/main" id="{3433D18E-E99B-A64B-6606-52B1437AA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16</xdr:row>
          <xdr:rowOff>0</xdr:rowOff>
        </xdr:from>
        <xdr:to>
          <xdr:col>23</xdr:col>
          <xdr:colOff>0</xdr:colOff>
          <xdr:row>17</xdr:row>
          <xdr:rowOff>0</xdr:rowOff>
        </xdr:to>
        <xdr:sp macro="" textlink="">
          <xdr:nvSpPr>
            <xdr:cNvPr id="227228" name="Toggle16" hidden="1">
              <a:extLst>
                <a:ext uri="{63B3BB69-23CF-44E3-9099-C40C66FF867C}">
                  <a14:compatExt spid="_x0000_s227228"/>
                </a:ext>
                <a:ext uri="{FF2B5EF4-FFF2-40B4-BE49-F238E27FC236}">
                  <a16:creationId xmlns:a16="http://schemas.microsoft.com/office/drawing/2014/main" id="{DEB73B77-2104-1CE9-255A-AEFF85441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17</xdr:row>
          <xdr:rowOff>0</xdr:rowOff>
        </xdr:from>
        <xdr:to>
          <xdr:col>23</xdr:col>
          <xdr:colOff>0</xdr:colOff>
          <xdr:row>18</xdr:row>
          <xdr:rowOff>0</xdr:rowOff>
        </xdr:to>
        <xdr:sp macro="" textlink="">
          <xdr:nvSpPr>
            <xdr:cNvPr id="227229" name="Toggle17" hidden="1">
              <a:extLst>
                <a:ext uri="{63B3BB69-23CF-44E3-9099-C40C66FF867C}">
                  <a14:compatExt spid="_x0000_s227229"/>
                </a:ext>
                <a:ext uri="{FF2B5EF4-FFF2-40B4-BE49-F238E27FC236}">
                  <a16:creationId xmlns:a16="http://schemas.microsoft.com/office/drawing/2014/main" id="{EBB91647-E49B-2804-C337-A9EE12223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18</xdr:row>
          <xdr:rowOff>0</xdr:rowOff>
        </xdr:from>
        <xdr:to>
          <xdr:col>23</xdr:col>
          <xdr:colOff>0</xdr:colOff>
          <xdr:row>19</xdr:row>
          <xdr:rowOff>0</xdr:rowOff>
        </xdr:to>
        <xdr:sp macro="" textlink="">
          <xdr:nvSpPr>
            <xdr:cNvPr id="227230" name="Toggle18" hidden="1">
              <a:extLst>
                <a:ext uri="{63B3BB69-23CF-44E3-9099-C40C66FF867C}">
                  <a14:compatExt spid="_x0000_s227230"/>
                </a:ext>
                <a:ext uri="{FF2B5EF4-FFF2-40B4-BE49-F238E27FC236}">
                  <a16:creationId xmlns:a16="http://schemas.microsoft.com/office/drawing/2014/main" id="{ABED3706-375A-45B1-9137-6BBEE8D07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19</xdr:row>
          <xdr:rowOff>0</xdr:rowOff>
        </xdr:from>
        <xdr:to>
          <xdr:col>23</xdr:col>
          <xdr:colOff>0</xdr:colOff>
          <xdr:row>20</xdr:row>
          <xdr:rowOff>0</xdr:rowOff>
        </xdr:to>
        <xdr:sp macro="" textlink="">
          <xdr:nvSpPr>
            <xdr:cNvPr id="227231" name="Toggle19" hidden="1">
              <a:extLst>
                <a:ext uri="{63B3BB69-23CF-44E3-9099-C40C66FF867C}">
                  <a14:compatExt spid="_x0000_s227231"/>
                </a:ext>
                <a:ext uri="{FF2B5EF4-FFF2-40B4-BE49-F238E27FC236}">
                  <a16:creationId xmlns:a16="http://schemas.microsoft.com/office/drawing/2014/main" id="{43C21205-6AD8-85CB-3C92-D5E9B076C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4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4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5827" name="Button 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4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5828" name="Button 4" hidden="1">
              <a:extLst>
                <a:ext uri="{63B3BB69-23CF-44E3-9099-C40C66FF867C}">
                  <a14:compatExt spid="_x0000_s205828"/>
                </a:ext>
                <a:ext uri="{FF2B5EF4-FFF2-40B4-BE49-F238E27FC236}">
                  <a16:creationId xmlns:a16="http://schemas.microsoft.com/office/drawing/2014/main" id="{00000000-0008-0000-0400-00000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5829" name="Button 5" hidden="1">
              <a:extLst>
                <a:ext uri="{63B3BB69-23CF-44E3-9099-C40C66FF867C}">
                  <a14:compatExt spid="_x0000_s205829"/>
                </a:ext>
                <a:ext uri="{FF2B5EF4-FFF2-40B4-BE49-F238E27FC236}">
                  <a16:creationId xmlns:a16="http://schemas.microsoft.com/office/drawing/2014/main" id="{00000000-0008-0000-0400-00000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5830" name="Button 6" hidden="1">
              <a:extLst>
                <a:ext uri="{63B3BB69-23CF-44E3-9099-C40C66FF867C}">
                  <a14:compatExt spid="_x0000_s205830"/>
                </a:ext>
                <a:ext uri="{FF2B5EF4-FFF2-40B4-BE49-F238E27FC236}">
                  <a16:creationId xmlns:a16="http://schemas.microsoft.com/office/drawing/2014/main" id="{00000000-0008-0000-0400-00000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05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05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05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00000000-0008-0000-0500-00000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6853" name="Button 5" hidden="1">
              <a:extLst>
                <a:ext uri="{63B3BB69-23CF-44E3-9099-C40C66FF867C}">
                  <a14:compatExt spid="_x0000_s206853"/>
                </a:ext>
                <a:ext uri="{FF2B5EF4-FFF2-40B4-BE49-F238E27FC236}">
                  <a16:creationId xmlns:a16="http://schemas.microsoft.com/office/drawing/2014/main" id="{00000000-0008-0000-0500-00000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6854" name="Button 6" hidden="1">
              <a:extLst>
                <a:ext uri="{63B3BB69-23CF-44E3-9099-C40C66FF867C}">
                  <a14:compatExt spid="_x0000_s206854"/>
                </a:ext>
                <a:ext uri="{FF2B5EF4-FFF2-40B4-BE49-F238E27FC236}">
                  <a16:creationId xmlns:a16="http://schemas.microsoft.com/office/drawing/2014/main" id="{00000000-0008-0000-0500-00000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7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18114" name="Button 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7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18115" name="Button 3" hidden="1">
              <a:extLst>
                <a:ext uri="{63B3BB69-23CF-44E3-9099-C40C66FF867C}">
                  <a14:compatExt spid="_x0000_s218115"/>
                </a:ext>
                <a:ext uri="{FF2B5EF4-FFF2-40B4-BE49-F238E27FC236}">
                  <a16:creationId xmlns:a16="http://schemas.microsoft.com/office/drawing/2014/main" id="{00000000-0008-0000-0700-00000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18116" name="Button 4" hidden="1">
              <a:extLst>
                <a:ext uri="{63B3BB69-23CF-44E3-9099-C40C66FF867C}">
                  <a14:compatExt spid="_x0000_s218116"/>
                </a:ext>
                <a:ext uri="{FF2B5EF4-FFF2-40B4-BE49-F238E27FC236}">
                  <a16:creationId xmlns:a16="http://schemas.microsoft.com/office/drawing/2014/main" id="{00000000-0008-0000-0700-00000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8117" name="Button 5" hidden="1">
              <a:extLst>
                <a:ext uri="{63B3BB69-23CF-44E3-9099-C40C66FF867C}">
                  <a14:compatExt spid="_x0000_s218117"/>
                </a:ext>
                <a:ext uri="{FF2B5EF4-FFF2-40B4-BE49-F238E27FC236}">
                  <a16:creationId xmlns:a16="http://schemas.microsoft.com/office/drawing/2014/main" id="{00000000-0008-0000-0700-00000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18118" name="Button 6" hidden="1">
              <a:extLst>
                <a:ext uri="{63B3BB69-23CF-44E3-9099-C40C66FF867C}">
                  <a14:compatExt spid="_x0000_s218118"/>
                </a:ext>
                <a:ext uri="{FF2B5EF4-FFF2-40B4-BE49-F238E27FC236}">
                  <a16:creationId xmlns:a16="http://schemas.microsoft.com/office/drawing/2014/main" id="{00000000-0008-0000-0700-00000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6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6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6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8900" name="Button 4" hidden="1">
              <a:extLst>
                <a:ext uri="{63B3BB69-23CF-44E3-9099-C40C66FF867C}">
                  <a14:compatExt spid="_x0000_s208900"/>
                </a:ext>
                <a:ext uri="{FF2B5EF4-FFF2-40B4-BE49-F238E27FC236}">
                  <a16:creationId xmlns:a16="http://schemas.microsoft.com/office/drawing/2014/main" id="{00000000-0008-0000-0600-00000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8901" name="Button 5" hidden="1">
              <a:extLst>
                <a:ext uri="{63B3BB69-23CF-44E3-9099-C40C66FF867C}">
                  <a14:compatExt spid="_x0000_s208901"/>
                </a:ext>
                <a:ext uri="{FF2B5EF4-FFF2-40B4-BE49-F238E27FC236}">
                  <a16:creationId xmlns:a16="http://schemas.microsoft.com/office/drawing/2014/main" id="{00000000-0008-0000-0600-00000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8902" name="Button 6" hidden="1">
              <a:extLst>
                <a:ext uri="{63B3BB69-23CF-44E3-9099-C40C66FF867C}">
                  <a14:compatExt spid="_x0000_s208902"/>
                </a:ext>
                <a:ext uri="{FF2B5EF4-FFF2-40B4-BE49-F238E27FC236}">
                  <a16:creationId xmlns:a16="http://schemas.microsoft.com/office/drawing/2014/main" id="{00000000-0008-0000-0600-00000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0800-000001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0800-000002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23235" name="Button 3" hidden="1">
              <a:extLst>
                <a:ext uri="{63B3BB69-23CF-44E3-9099-C40C66FF867C}">
                  <a14:compatExt spid="_x0000_s223235"/>
                </a:ext>
                <a:ext uri="{FF2B5EF4-FFF2-40B4-BE49-F238E27FC236}">
                  <a16:creationId xmlns:a16="http://schemas.microsoft.com/office/drawing/2014/main" id="{00000000-0008-0000-0800-000003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23236" name="Button 4" hidden="1">
              <a:extLst>
                <a:ext uri="{63B3BB69-23CF-44E3-9099-C40C66FF867C}">
                  <a14:compatExt spid="_x0000_s223236"/>
                </a:ext>
                <a:ext uri="{FF2B5EF4-FFF2-40B4-BE49-F238E27FC236}">
                  <a16:creationId xmlns:a16="http://schemas.microsoft.com/office/drawing/2014/main" id="{00000000-0008-0000-0800-000004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3237" name="Button 5" hidden="1">
              <a:extLst>
                <a:ext uri="{63B3BB69-23CF-44E3-9099-C40C66FF867C}">
                  <a14:compatExt spid="_x0000_s223237"/>
                </a:ext>
                <a:ext uri="{FF2B5EF4-FFF2-40B4-BE49-F238E27FC236}">
                  <a16:creationId xmlns:a16="http://schemas.microsoft.com/office/drawing/2014/main" id="{00000000-0008-0000-0800-000005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23238" name="Button 6" hidden="1">
              <a:extLst>
                <a:ext uri="{63B3BB69-23CF-44E3-9099-C40C66FF867C}">
                  <a14:compatExt spid="_x0000_s223238"/>
                </a:ext>
                <a:ext uri="{FF2B5EF4-FFF2-40B4-BE49-F238E27FC236}">
                  <a16:creationId xmlns:a16="http://schemas.microsoft.com/office/drawing/2014/main" id="{00000000-0008-0000-0800-000006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24257" name="Button 1" hidden="1">
              <a:extLst>
                <a:ext uri="{63B3BB69-23CF-44E3-9099-C40C66FF867C}">
                  <a14:compatExt spid="_x0000_s224257"/>
                </a:ext>
                <a:ext uri="{FF2B5EF4-FFF2-40B4-BE49-F238E27FC236}">
                  <a16:creationId xmlns:a16="http://schemas.microsoft.com/office/drawing/2014/main" id="{00000000-0008-0000-0900-000001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24258" name="Button 2" hidden="1">
              <a:extLst>
                <a:ext uri="{63B3BB69-23CF-44E3-9099-C40C66FF867C}">
                  <a14:compatExt spid="_x0000_s224258"/>
                </a:ext>
                <a:ext uri="{FF2B5EF4-FFF2-40B4-BE49-F238E27FC236}">
                  <a16:creationId xmlns:a16="http://schemas.microsoft.com/office/drawing/2014/main" id="{00000000-0008-0000-0900-000002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24259" name="Button 3" hidden="1">
              <a:extLst>
                <a:ext uri="{63B3BB69-23CF-44E3-9099-C40C66FF867C}">
                  <a14:compatExt spid="_x0000_s224259"/>
                </a:ext>
                <a:ext uri="{FF2B5EF4-FFF2-40B4-BE49-F238E27FC236}">
                  <a16:creationId xmlns:a16="http://schemas.microsoft.com/office/drawing/2014/main" id="{00000000-0008-0000-0900-000003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24260" name="Button 4" hidden="1">
              <a:extLst>
                <a:ext uri="{63B3BB69-23CF-44E3-9099-C40C66FF867C}">
                  <a14:compatExt spid="_x0000_s224260"/>
                </a:ext>
                <a:ext uri="{FF2B5EF4-FFF2-40B4-BE49-F238E27FC236}">
                  <a16:creationId xmlns:a16="http://schemas.microsoft.com/office/drawing/2014/main" id="{00000000-0008-0000-0900-000004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4261" name="Button 5" hidden="1">
              <a:extLst>
                <a:ext uri="{63B3BB69-23CF-44E3-9099-C40C66FF867C}">
                  <a14:compatExt spid="_x0000_s224261"/>
                </a:ext>
                <a:ext uri="{FF2B5EF4-FFF2-40B4-BE49-F238E27FC236}">
                  <a16:creationId xmlns:a16="http://schemas.microsoft.com/office/drawing/2014/main" id="{00000000-0008-0000-0900-000005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24262" name="Button 6" hidden="1">
              <a:extLst>
                <a:ext uri="{63B3BB69-23CF-44E3-9099-C40C66FF867C}">
                  <a14:compatExt spid="_x0000_s224262"/>
                </a:ext>
                <a:ext uri="{FF2B5EF4-FFF2-40B4-BE49-F238E27FC236}">
                  <a16:creationId xmlns:a16="http://schemas.microsoft.com/office/drawing/2014/main" id="{00000000-0008-0000-0900-000006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594360</xdr:colOff>
          <xdr:row>10</xdr:row>
          <xdr:rowOff>152400</xdr:rowOff>
        </xdr:from>
        <xdr:to>
          <xdr:col>11</xdr:col>
          <xdr:colOff>891540</xdr:colOff>
          <xdr:row>12</xdr:row>
          <xdr:rowOff>152400</xdr:rowOff>
        </xdr:to>
        <xdr:sp macro="" textlink="">
          <xdr:nvSpPr>
            <xdr:cNvPr id="235522" name="Button 2" hidden="1">
              <a:extLst>
                <a:ext uri="{63B3BB69-23CF-44E3-9099-C40C66FF867C}">
                  <a14:compatExt spid="_x0000_s235522"/>
                </a:ext>
                <a:ext uri="{FF2B5EF4-FFF2-40B4-BE49-F238E27FC236}">
                  <a16:creationId xmlns:a16="http://schemas.microsoft.com/office/drawing/2014/main" id="{00000000-0008-0000-0A00-000002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563880</xdr:colOff>
          <xdr:row>19</xdr:row>
          <xdr:rowOff>144780</xdr:rowOff>
        </xdr:from>
        <xdr:to>
          <xdr:col>11</xdr:col>
          <xdr:colOff>891540</xdr:colOff>
          <xdr:row>22</xdr:row>
          <xdr:rowOff>121920</xdr:rowOff>
        </xdr:to>
        <xdr:sp macro="" textlink="">
          <xdr:nvSpPr>
            <xdr:cNvPr id="235523" name="Button 3" hidden="1">
              <a:extLst>
                <a:ext uri="{63B3BB69-23CF-44E3-9099-C40C66FF867C}">
                  <a14:compatExt spid="_x0000_s235523"/>
                </a:ext>
                <a:ext uri="{FF2B5EF4-FFF2-40B4-BE49-F238E27FC236}">
                  <a16:creationId xmlns:a16="http://schemas.microsoft.com/office/drawing/2014/main" id="{00000000-0008-0000-0A00-000003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35524" name="Button 4" hidden="1">
              <a:extLst>
                <a:ext uri="{63B3BB69-23CF-44E3-9099-C40C66FF867C}">
                  <a14:compatExt spid="_x0000_s235524"/>
                </a:ext>
                <a:ext uri="{FF2B5EF4-FFF2-40B4-BE49-F238E27FC236}">
                  <a16:creationId xmlns:a16="http://schemas.microsoft.com/office/drawing/2014/main" id="{00000000-0008-0000-0A00-000004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35525" name="Button 5" hidden="1">
              <a:extLst>
                <a:ext uri="{63B3BB69-23CF-44E3-9099-C40C66FF867C}">
                  <a14:compatExt spid="_x0000_s235525"/>
                </a:ext>
                <a:ext uri="{FF2B5EF4-FFF2-40B4-BE49-F238E27FC236}">
                  <a16:creationId xmlns:a16="http://schemas.microsoft.com/office/drawing/2014/main" id="{00000000-0008-0000-0A00-000005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35526" name="Button 6" hidden="1">
              <a:extLst>
                <a:ext uri="{63B3BB69-23CF-44E3-9099-C40C66FF867C}">
                  <a14:compatExt spid="_x0000_s235526"/>
                </a:ext>
                <a:ext uri="{FF2B5EF4-FFF2-40B4-BE49-F238E27FC236}">
                  <a16:creationId xmlns:a16="http://schemas.microsoft.com/office/drawing/2014/main" id="{00000000-0008-0000-0A00-000006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0B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0B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41667" name="Button 3" hidden="1">
              <a:extLst>
                <a:ext uri="{63B3BB69-23CF-44E3-9099-C40C66FF867C}">
                  <a14:compatExt spid="_x0000_s241667"/>
                </a:ext>
                <a:ext uri="{FF2B5EF4-FFF2-40B4-BE49-F238E27FC236}">
                  <a16:creationId xmlns:a16="http://schemas.microsoft.com/office/drawing/2014/main" id="{00000000-0008-0000-0B00-000003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41668" name="Button 4" hidden="1">
              <a:extLst>
                <a:ext uri="{63B3BB69-23CF-44E3-9099-C40C66FF867C}">
                  <a14:compatExt spid="_x0000_s241668"/>
                </a:ext>
                <a:ext uri="{FF2B5EF4-FFF2-40B4-BE49-F238E27FC236}">
                  <a16:creationId xmlns:a16="http://schemas.microsoft.com/office/drawing/2014/main" id="{00000000-0008-0000-0B00-000004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41669" name="Button 5" hidden="1">
              <a:extLst>
                <a:ext uri="{63B3BB69-23CF-44E3-9099-C40C66FF867C}">
                  <a14:compatExt spid="_x0000_s241669"/>
                </a:ext>
                <a:ext uri="{FF2B5EF4-FFF2-40B4-BE49-F238E27FC236}">
                  <a16:creationId xmlns:a16="http://schemas.microsoft.com/office/drawing/2014/main" id="{00000000-0008-0000-0B00-000005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41670" name="Button 6" hidden="1">
              <a:extLst>
                <a:ext uri="{63B3BB69-23CF-44E3-9099-C40C66FF867C}">
                  <a14:compatExt spid="_x0000_s241670"/>
                </a:ext>
                <a:ext uri="{FF2B5EF4-FFF2-40B4-BE49-F238E27FC236}">
                  <a16:creationId xmlns:a16="http://schemas.microsoft.com/office/drawing/2014/main" id="{00000000-0008-0000-0B00-000006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  <a:ext uri="{FF2B5EF4-FFF2-40B4-BE49-F238E27FC236}">
                  <a16:creationId xmlns:a16="http://schemas.microsoft.com/office/drawing/2014/main" id="{00000000-0008-0000-0C00-000001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42690" name="Button 2" hidden="1">
              <a:extLst>
                <a:ext uri="{63B3BB69-23CF-44E3-9099-C40C66FF867C}">
                  <a14:compatExt spid="_x0000_s242690"/>
                </a:ext>
                <a:ext uri="{FF2B5EF4-FFF2-40B4-BE49-F238E27FC236}">
                  <a16:creationId xmlns:a16="http://schemas.microsoft.com/office/drawing/2014/main" id="{00000000-0008-0000-0C00-000002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42691" name="Button 3" hidden="1">
              <a:extLst>
                <a:ext uri="{63B3BB69-23CF-44E3-9099-C40C66FF867C}">
                  <a14:compatExt spid="_x0000_s242691"/>
                </a:ext>
                <a:ext uri="{FF2B5EF4-FFF2-40B4-BE49-F238E27FC236}">
                  <a16:creationId xmlns:a16="http://schemas.microsoft.com/office/drawing/2014/main" id="{00000000-0008-0000-0C00-000003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42692" name="Button 4" hidden="1">
              <a:extLst>
                <a:ext uri="{63B3BB69-23CF-44E3-9099-C40C66FF867C}">
                  <a14:compatExt spid="_x0000_s242692"/>
                </a:ext>
                <a:ext uri="{FF2B5EF4-FFF2-40B4-BE49-F238E27FC236}">
                  <a16:creationId xmlns:a16="http://schemas.microsoft.com/office/drawing/2014/main" id="{00000000-0008-0000-0C00-000004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42693" name="Button 5" hidden="1">
              <a:extLst>
                <a:ext uri="{63B3BB69-23CF-44E3-9099-C40C66FF867C}">
                  <a14:compatExt spid="_x0000_s242693"/>
                </a:ext>
                <a:ext uri="{FF2B5EF4-FFF2-40B4-BE49-F238E27FC236}">
                  <a16:creationId xmlns:a16="http://schemas.microsoft.com/office/drawing/2014/main" id="{00000000-0008-0000-0C00-000005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42694" name="Button 6" hidden="1">
              <a:extLst>
                <a:ext uri="{63B3BB69-23CF-44E3-9099-C40C66FF867C}">
                  <a14:compatExt spid="_x0000_s242694"/>
                </a:ext>
                <a:ext uri="{FF2B5EF4-FFF2-40B4-BE49-F238E27FC236}">
                  <a16:creationId xmlns:a16="http://schemas.microsoft.com/office/drawing/2014/main" id="{00000000-0008-0000-0C00-000006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43713" name="Button 1" hidden="1">
              <a:extLst>
                <a:ext uri="{63B3BB69-23CF-44E3-9099-C40C66FF867C}">
                  <a14:compatExt spid="_x0000_s243713"/>
                </a:ext>
                <a:ext uri="{FF2B5EF4-FFF2-40B4-BE49-F238E27FC236}">
                  <a16:creationId xmlns:a16="http://schemas.microsoft.com/office/drawing/2014/main" id="{00000000-0008-0000-0D00-00000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43714" name="Button 2" hidden="1">
              <a:extLst>
                <a:ext uri="{63B3BB69-23CF-44E3-9099-C40C66FF867C}">
                  <a14:compatExt spid="_x0000_s243714"/>
                </a:ext>
                <a:ext uri="{FF2B5EF4-FFF2-40B4-BE49-F238E27FC236}">
                  <a16:creationId xmlns:a16="http://schemas.microsoft.com/office/drawing/2014/main" id="{00000000-0008-0000-0D00-00000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43715" name="Button 3" hidden="1">
              <a:extLst>
                <a:ext uri="{63B3BB69-23CF-44E3-9099-C40C66FF867C}">
                  <a14:compatExt spid="_x0000_s243715"/>
                </a:ext>
                <a:ext uri="{FF2B5EF4-FFF2-40B4-BE49-F238E27FC236}">
                  <a16:creationId xmlns:a16="http://schemas.microsoft.com/office/drawing/2014/main" id="{00000000-0008-0000-0D00-00000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43716" name="Button 4" hidden="1">
              <a:extLst>
                <a:ext uri="{63B3BB69-23CF-44E3-9099-C40C66FF867C}">
                  <a14:compatExt spid="_x0000_s243716"/>
                </a:ext>
                <a:ext uri="{FF2B5EF4-FFF2-40B4-BE49-F238E27FC236}">
                  <a16:creationId xmlns:a16="http://schemas.microsoft.com/office/drawing/2014/main" id="{00000000-0008-0000-0D00-00000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43717" name="Button 5" hidden="1">
              <a:extLst>
                <a:ext uri="{63B3BB69-23CF-44E3-9099-C40C66FF867C}">
                  <a14:compatExt spid="_x0000_s243717"/>
                </a:ext>
                <a:ext uri="{FF2B5EF4-FFF2-40B4-BE49-F238E27FC236}">
                  <a16:creationId xmlns:a16="http://schemas.microsoft.com/office/drawing/2014/main" id="{00000000-0008-0000-0D00-000005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E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45762" name="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E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45763" name="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E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45764" name="Button 4" hidden="1">
              <a:extLst>
                <a:ext uri="{63B3BB69-23CF-44E3-9099-C40C66FF867C}">
                  <a14:compatExt spid="_x0000_s245764"/>
                </a:ext>
                <a:ext uri="{FF2B5EF4-FFF2-40B4-BE49-F238E27FC236}">
                  <a16:creationId xmlns:a16="http://schemas.microsoft.com/office/drawing/2014/main" id="{00000000-0008-0000-0E00-00000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45765" name="Button 5" hidden="1">
              <a:extLst>
                <a:ext uri="{63B3BB69-23CF-44E3-9099-C40C66FF867C}">
                  <a14:compatExt spid="_x0000_s245765"/>
                </a:ext>
                <a:ext uri="{FF2B5EF4-FFF2-40B4-BE49-F238E27FC236}">
                  <a16:creationId xmlns:a16="http://schemas.microsoft.com/office/drawing/2014/main" id="{00000000-0008-0000-0E00-00000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  <a:ext uri="{FF2B5EF4-FFF2-40B4-BE49-F238E27FC236}">
                  <a16:creationId xmlns:a16="http://schemas.microsoft.com/office/drawing/2014/main" id="{00000000-0008-0000-0F00-000001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48834" name="Button 2" hidden="1">
              <a:extLst>
                <a:ext uri="{63B3BB69-23CF-44E3-9099-C40C66FF867C}">
                  <a14:compatExt spid="_x0000_s248834"/>
                </a:ext>
                <a:ext uri="{FF2B5EF4-FFF2-40B4-BE49-F238E27FC236}">
                  <a16:creationId xmlns:a16="http://schemas.microsoft.com/office/drawing/2014/main" id="{00000000-0008-0000-0F00-000002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48835" name="Button 3" hidden="1">
              <a:extLst>
                <a:ext uri="{63B3BB69-23CF-44E3-9099-C40C66FF867C}">
                  <a14:compatExt spid="_x0000_s248835"/>
                </a:ext>
                <a:ext uri="{FF2B5EF4-FFF2-40B4-BE49-F238E27FC236}">
                  <a16:creationId xmlns:a16="http://schemas.microsoft.com/office/drawing/2014/main" id="{00000000-0008-0000-0F00-000003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48836" name="Button 4" hidden="1">
              <a:extLst>
                <a:ext uri="{63B3BB69-23CF-44E3-9099-C40C66FF867C}">
                  <a14:compatExt spid="_x0000_s248836"/>
                </a:ext>
                <a:ext uri="{FF2B5EF4-FFF2-40B4-BE49-F238E27FC236}">
                  <a16:creationId xmlns:a16="http://schemas.microsoft.com/office/drawing/2014/main" id="{00000000-0008-0000-0F00-000004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48837" name="Button 5" hidden="1">
              <a:extLst>
                <a:ext uri="{63B3BB69-23CF-44E3-9099-C40C66FF867C}">
                  <a14:compatExt spid="_x0000_s248837"/>
                </a:ext>
                <a:ext uri="{FF2B5EF4-FFF2-40B4-BE49-F238E27FC236}">
                  <a16:creationId xmlns:a16="http://schemas.microsoft.com/office/drawing/2014/main" id="{00000000-0008-0000-0F00-000005C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  <a:ext uri="{FF2B5EF4-FFF2-40B4-BE49-F238E27FC236}">
                  <a16:creationId xmlns:a16="http://schemas.microsoft.com/office/drawing/2014/main" id="{00000000-0008-0000-1000-000001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49858" name="Button 2" hidden="1">
              <a:extLst>
                <a:ext uri="{63B3BB69-23CF-44E3-9099-C40C66FF867C}">
                  <a14:compatExt spid="_x0000_s249858"/>
                </a:ext>
                <a:ext uri="{FF2B5EF4-FFF2-40B4-BE49-F238E27FC236}">
                  <a16:creationId xmlns:a16="http://schemas.microsoft.com/office/drawing/2014/main" id="{00000000-0008-0000-1000-000002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49859" name="Button 3" hidden="1">
              <a:extLst>
                <a:ext uri="{63B3BB69-23CF-44E3-9099-C40C66FF867C}">
                  <a14:compatExt spid="_x0000_s249859"/>
                </a:ext>
                <a:ext uri="{FF2B5EF4-FFF2-40B4-BE49-F238E27FC236}">
                  <a16:creationId xmlns:a16="http://schemas.microsoft.com/office/drawing/2014/main" id="{00000000-0008-0000-1000-000003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49860" name="Button 4" hidden="1">
              <a:extLst>
                <a:ext uri="{63B3BB69-23CF-44E3-9099-C40C66FF867C}">
                  <a14:compatExt spid="_x0000_s249860"/>
                </a:ext>
                <a:ext uri="{FF2B5EF4-FFF2-40B4-BE49-F238E27FC236}">
                  <a16:creationId xmlns:a16="http://schemas.microsoft.com/office/drawing/2014/main" id="{00000000-0008-0000-1000-000004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49861" name="Button 5" hidden="1">
              <a:extLst>
                <a:ext uri="{63B3BB69-23CF-44E3-9099-C40C66FF867C}">
                  <a14:compatExt spid="_x0000_s249861"/>
                </a:ext>
                <a:ext uri="{FF2B5EF4-FFF2-40B4-BE49-F238E27FC236}">
                  <a16:creationId xmlns:a16="http://schemas.microsoft.com/office/drawing/2014/main" id="{00000000-0008-0000-1000-000005D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50881" name="Button 1" hidden="1">
              <a:extLst>
                <a:ext uri="{63B3BB69-23CF-44E3-9099-C40C66FF867C}">
                  <a14:compatExt spid="_x0000_s250881"/>
                </a:ext>
                <a:ext uri="{FF2B5EF4-FFF2-40B4-BE49-F238E27FC236}">
                  <a16:creationId xmlns:a16="http://schemas.microsoft.com/office/drawing/2014/main" id="{00000000-0008-0000-1100-000001D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50882" name="Button 2" hidden="1">
              <a:extLst>
                <a:ext uri="{63B3BB69-23CF-44E3-9099-C40C66FF867C}">
                  <a14:compatExt spid="_x0000_s250882"/>
                </a:ext>
                <a:ext uri="{FF2B5EF4-FFF2-40B4-BE49-F238E27FC236}">
                  <a16:creationId xmlns:a16="http://schemas.microsoft.com/office/drawing/2014/main" id="{00000000-0008-0000-1100-000002D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50883" name="Button 3" hidden="1">
              <a:extLst>
                <a:ext uri="{63B3BB69-23CF-44E3-9099-C40C66FF867C}">
                  <a14:compatExt spid="_x0000_s250883"/>
                </a:ext>
                <a:ext uri="{FF2B5EF4-FFF2-40B4-BE49-F238E27FC236}">
                  <a16:creationId xmlns:a16="http://schemas.microsoft.com/office/drawing/2014/main" id="{00000000-0008-0000-1100-000003D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0884" name="Button 4" hidden="1">
              <a:extLst>
                <a:ext uri="{63B3BB69-23CF-44E3-9099-C40C66FF867C}">
                  <a14:compatExt spid="_x0000_s250884"/>
                </a:ext>
                <a:ext uri="{FF2B5EF4-FFF2-40B4-BE49-F238E27FC236}">
                  <a16:creationId xmlns:a16="http://schemas.microsoft.com/office/drawing/2014/main" id="{00000000-0008-0000-1100-000004D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50885" name="Button 5" hidden="1">
              <a:extLst>
                <a:ext uri="{63B3BB69-23CF-44E3-9099-C40C66FF867C}">
                  <a14:compatExt spid="_x0000_s250885"/>
                </a:ext>
                <a:ext uri="{FF2B5EF4-FFF2-40B4-BE49-F238E27FC236}">
                  <a16:creationId xmlns:a16="http://schemas.microsoft.com/office/drawing/2014/main" id="{00000000-0008-0000-1100-000005D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51905" name="Button 1" hidden="1">
              <a:extLst>
                <a:ext uri="{63B3BB69-23CF-44E3-9099-C40C66FF867C}">
                  <a14:compatExt spid="_x0000_s251905"/>
                </a:ext>
                <a:ext uri="{FF2B5EF4-FFF2-40B4-BE49-F238E27FC236}">
                  <a16:creationId xmlns:a16="http://schemas.microsoft.com/office/drawing/2014/main" id="{00000000-0008-0000-1200-000001D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51906" name="Button 2" hidden="1">
              <a:extLst>
                <a:ext uri="{63B3BB69-23CF-44E3-9099-C40C66FF867C}">
                  <a14:compatExt spid="_x0000_s251906"/>
                </a:ext>
                <a:ext uri="{FF2B5EF4-FFF2-40B4-BE49-F238E27FC236}">
                  <a16:creationId xmlns:a16="http://schemas.microsoft.com/office/drawing/2014/main" id="{00000000-0008-0000-1200-000002D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51907" name="Button 3" hidden="1">
              <a:extLst>
                <a:ext uri="{63B3BB69-23CF-44E3-9099-C40C66FF867C}">
                  <a14:compatExt spid="_x0000_s251907"/>
                </a:ext>
                <a:ext uri="{FF2B5EF4-FFF2-40B4-BE49-F238E27FC236}">
                  <a16:creationId xmlns:a16="http://schemas.microsoft.com/office/drawing/2014/main" id="{00000000-0008-0000-1200-000003D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1908" name="Button 4" hidden="1">
              <a:extLst>
                <a:ext uri="{63B3BB69-23CF-44E3-9099-C40C66FF867C}">
                  <a14:compatExt spid="_x0000_s251908"/>
                </a:ext>
                <a:ext uri="{FF2B5EF4-FFF2-40B4-BE49-F238E27FC236}">
                  <a16:creationId xmlns:a16="http://schemas.microsoft.com/office/drawing/2014/main" id="{00000000-0008-0000-1200-000004D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51909" name="Button 5" hidden="1">
              <a:extLst>
                <a:ext uri="{63B3BB69-23CF-44E3-9099-C40C66FF867C}">
                  <a14:compatExt spid="_x0000_s251909"/>
                </a:ext>
                <a:ext uri="{FF2B5EF4-FFF2-40B4-BE49-F238E27FC236}">
                  <a16:creationId xmlns:a16="http://schemas.microsoft.com/office/drawing/2014/main" id="{00000000-0008-0000-1200-000005D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52929" name="Button 1" hidden="1">
              <a:extLst>
                <a:ext uri="{63B3BB69-23CF-44E3-9099-C40C66FF867C}">
                  <a14:compatExt spid="_x0000_s252929"/>
                </a:ext>
                <a:ext uri="{FF2B5EF4-FFF2-40B4-BE49-F238E27FC236}">
                  <a16:creationId xmlns:a16="http://schemas.microsoft.com/office/drawing/2014/main" id="{00000000-0008-0000-1300-000001D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52930" name="Button 2" hidden="1">
              <a:extLst>
                <a:ext uri="{63B3BB69-23CF-44E3-9099-C40C66FF867C}">
                  <a14:compatExt spid="_x0000_s252930"/>
                </a:ext>
                <a:ext uri="{FF2B5EF4-FFF2-40B4-BE49-F238E27FC236}">
                  <a16:creationId xmlns:a16="http://schemas.microsoft.com/office/drawing/2014/main" id="{00000000-0008-0000-1300-000002D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52931" name="Button 3" hidden="1">
              <a:extLst>
                <a:ext uri="{63B3BB69-23CF-44E3-9099-C40C66FF867C}">
                  <a14:compatExt spid="_x0000_s252931"/>
                </a:ext>
                <a:ext uri="{FF2B5EF4-FFF2-40B4-BE49-F238E27FC236}">
                  <a16:creationId xmlns:a16="http://schemas.microsoft.com/office/drawing/2014/main" id="{00000000-0008-0000-1300-000003D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2932" name="Button 4" hidden="1">
              <a:extLst>
                <a:ext uri="{63B3BB69-23CF-44E3-9099-C40C66FF867C}">
                  <a14:compatExt spid="_x0000_s252932"/>
                </a:ext>
                <a:ext uri="{FF2B5EF4-FFF2-40B4-BE49-F238E27FC236}">
                  <a16:creationId xmlns:a16="http://schemas.microsoft.com/office/drawing/2014/main" id="{00000000-0008-0000-1300-000004D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52933" name="Button 5" hidden="1">
              <a:extLst>
                <a:ext uri="{63B3BB69-23CF-44E3-9099-C40C66FF867C}">
                  <a14:compatExt spid="_x0000_s252933"/>
                </a:ext>
                <a:ext uri="{FF2B5EF4-FFF2-40B4-BE49-F238E27FC236}">
                  <a16:creationId xmlns:a16="http://schemas.microsoft.com/office/drawing/2014/main" id="{00000000-0008-0000-1300-000005D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14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14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14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14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53957" name="Button 5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14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54977" name="Button 1" hidden="1">
              <a:extLst>
                <a:ext uri="{63B3BB69-23CF-44E3-9099-C40C66FF867C}">
                  <a14:compatExt spid="_x0000_s254977"/>
                </a:ext>
                <a:ext uri="{FF2B5EF4-FFF2-40B4-BE49-F238E27FC236}">
                  <a16:creationId xmlns:a16="http://schemas.microsoft.com/office/drawing/2014/main" id="{00000000-0008-0000-1500-000001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54978" name="Button 2" hidden="1">
              <a:extLst>
                <a:ext uri="{63B3BB69-23CF-44E3-9099-C40C66FF867C}">
                  <a14:compatExt spid="_x0000_s254978"/>
                </a:ext>
                <a:ext uri="{FF2B5EF4-FFF2-40B4-BE49-F238E27FC236}">
                  <a16:creationId xmlns:a16="http://schemas.microsoft.com/office/drawing/2014/main" id="{00000000-0008-0000-1500-000002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54979" name="Button 3" hidden="1">
              <a:extLst>
                <a:ext uri="{63B3BB69-23CF-44E3-9099-C40C66FF867C}">
                  <a14:compatExt spid="_x0000_s254979"/>
                </a:ext>
                <a:ext uri="{FF2B5EF4-FFF2-40B4-BE49-F238E27FC236}">
                  <a16:creationId xmlns:a16="http://schemas.microsoft.com/office/drawing/2014/main" id="{00000000-0008-0000-1500-000003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4980" name="Button 4" hidden="1">
              <a:extLst>
                <a:ext uri="{63B3BB69-23CF-44E3-9099-C40C66FF867C}">
                  <a14:compatExt spid="_x0000_s254980"/>
                </a:ext>
                <a:ext uri="{FF2B5EF4-FFF2-40B4-BE49-F238E27FC236}">
                  <a16:creationId xmlns:a16="http://schemas.microsoft.com/office/drawing/2014/main" id="{00000000-0008-0000-1500-000004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54981" name="Button 5" hidden="1">
              <a:extLst>
                <a:ext uri="{63B3BB69-23CF-44E3-9099-C40C66FF867C}">
                  <a14:compatExt spid="_x0000_s254981"/>
                </a:ext>
                <a:ext uri="{FF2B5EF4-FFF2-40B4-BE49-F238E27FC236}">
                  <a16:creationId xmlns:a16="http://schemas.microsoft.com/office/drawing/2014/main" id="{00000000-0008-0000-1500-000005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6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6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9" totalsRowShown="0" headerRowDxfId="284" dataDxfId="282" headerRowBorderDxfId="283" tableBorderDxfId="281" totalsRowBorderDxfId="280" headerRowCellStyle="60% - Accent5">
  <autoFilter ref="A1:E19" xr:uid="{7E3155DF-3CB2-4063-8346-D3006162EB2E}"/>
  <tableColumns count="5">
    <tableColumn id="1" xr3:uid="{4A3C96D4-74F9-46DA-B54B-0CD347E35136}" name="Surname" dataDxfId="279" dataCellStyle="Hyperlink"/>
    <tableColumn id="2" xr3:uid="{2B90B92F-5F96-4EDA-9BBB-0E797162ECC4}" name="First Name" dataDxfId="278" dataCellStyle="Hyperlink"/>
    <tableColumn id="8" xr3:uid="{CFE0A41F-FE26-4CF3-BAA8-F6CEC7B006D4}" name="Status" dataDxfId="277" dataCellStyle="Hyperlink"/>
    <tableColumn id="3" xr3:uid="{EBBDE5FC-4AD9-4996-A6CE-25D9B52D4D03}" name="Date" dataDxfId="276"/>
    <tableColumn id="4" xr3:uid="{854BBB0E-E50E-4F6C-90CC-6180E0CE5D32}" name="ID" dataDxfId="27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W20" totalsRowShown="0" headerRowDxfId="274" dataDxfId="273">
  <autoFilter ref="A2:W20" xr:uid="{BBE43AA0-FEFE-4953-BA96-A0217731DC97}"/>
  <sortState xmlns:xlrd2="http://schemas.microsoft.com/office/spreadsheetml/2017/richdata2" ref="A2:W2">
    <sortCondition ref="A2"/>
  </sortState>
  <tableColumns count="23">
    <tableColumn id="1" xr3:uid="{77C7B428-E99D-49B8-8796-47FEBA3B8CD2}" name="Name" dataDxfId="179" dataCellStyle="Hyperlink"/>
    <tableColumn id="2" xr3:uid="{36FC8A03-C285-4FA4-AEC4-647B7067D01E}" name="Tunic" dataDxfId="180"/>
    <tableColumn id="3" xr3:uid="{E2B75A82-055F-492D-97B2-03C8E9C74CBF}" name="Collar Shirt" dataDxfId="200"/>
    <tableColumn id="4" xr3:uid="{89128C49-0667-4328-9CC8-935C76EB5CFF}" name="T-Shirt" dataDxfId="199"/>
    <tableColumn id="5" xr3:uid="{58E02DDF-FF68-4A85-A160-1478AFFC5301}" name="Dress Pants" dataDxfId="198"/>
    <tableColumn id="6" xr3:uid="{3C885A6D-7C6D-47FE-9D20-7FB555626C24}" name="Wedge" dataDxfId="197"/>
    <tableColumn id="7" xr3:uid="{650E09C5-6A05-4527-A321-E6D98102B309}" name="Tie" dataDxfId="196"/>
    <tableColumn id="8" xr3:uid="{B5F54AB4-5997-4EA8-AF06-4966A756DE93}" name="Belt" dataDxfId="195"/>
    <tableColumn id="9" xr3:uid="{8136261F-5775-4352-A73E-8E659AD02B53}" name="Socks" dataDxfId="194"/>
    <tableColumn id="10" xr3:uid="{9DEA83F4-EB2F-4D7E-9C9C-751F43044531}" name="Leather Boots" dataDxfId="193"/>
    <tableColumn id="11" xr3:uid="{1CEE23EA-B0BC-483E-BE3B-570F93C07C1A}" name="Leave Blank" dataDxfId="192"/>
    <tableColumn id="12" xr3:uid="{1D45495D-88A2-4A94-96C4-B047B6ED62D3}" name="Toque" dataDxfId="191"/>
    <tableColumn id="13" xr3:uid="{5954CB37-ED15-4CF3-A1FD-DCA35E0B036C}" name="Tilly" dataDxfId="190"/>
    <tableColumn id="14" xr3:uid="{4EB0159F-D44E-4237-807C-59C05B43CC3A}" name="Parka" dataDxfId="189"/>
    <tableColumn id="15" xr3:uid="{2D7F5042-3E7C-429C-8AFF-8601B19B8A0F}" name="Gloves" dataDxfId="188"/>
    <tableColumn id="16" xr3:uid="{D45A8E58-834C-42E4-980C-B85C418519A9}" name="Leave Blank2" dataDxfId="187"/>
    <tableColumn id="17" xr3:uid="{433672DD-A406-4334-A746-FB02B994A2E4}" name="Beret" dataDxfId="186"/>
    <tableColumn id="18" xr3:uid="{EE18EFD7-E877-490B-B14E-3FC28D0B1264}" name="FTU Tunic" dataDxfId="185"/>
    <tableColumn id="19" xr3:uid="{29AC551F-F02C-4401-9F86-D5A21F3B8962}" name="FTU Pants" dataDxfId="184"/>
    <tableColumn id="20" xr3:uid="{6DB4DDF9-B627-4BC2-B983-0DA0719B49B1}" name="FTU Boots" dataDxfId="183"/>
    <tableColumn id="27" xr3:uid="{84909A50-96B7-4616-B421-ACD5823BBA6B}" name="Column3"/>
    <tableColumn id="26" xr3:uid="{0EFD58A3-59A1-406F-A3FD-C3E38DB387F2}" name="NameTag" dataDxfId="181"/>
    <tableColumn id="21" xr3:uid="{AEFDE823-D276-4BBA-8AAC-39096CA09601}" name="Toggle Done" dataDxfId="18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E4FF29-238F-4282-BF0D-2AE6E318C4D2}" name="Mia_Wilson_795DB783ExchangeTable" displayName="Mia_Wilson_795DB783ExchangeTable" ref="A37:D39" totalsRowShown="0">
  <autoFilter ref="A37:D39" xr:uid="{6FE4FF29-238F-4282-BF0D-2AE6E318C4D2}"/>
  <tableColumns count="4">
    <tableColumn id="1" xr3:uid="{A273C31D-8974-4B1C-B818-5D68CE626B6C}" name="Date"/>
    <tableColumn id="2" xr3:uid="{D68340BE-E5C3-46F5-9F4E-B12BC40E0A43}" name="Item"/>
    <tableColumn id="3" xr3:uid="{DB3A997A-942E-4771-830A-92579AAB258F}" name="Old Size"/>
    <tableColumn id="4" xr3:uid="{DDDE9B8C-2EE8-405C-88A9-2B19EC23F569}" name="New Size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644CD-AC6E-4079-9073-937A6C916236}" name="aaaa_aaa_F3E668A6ExchangeTable" displayName="aaaa_aaa_F3E668A6ExchangeTable" ref="A37:D38" totalsRowShown="0">
  <autoFilter ref="A37:D38" xr:uid="{65D644CD-AC6E-4079-9073-937A6C916236}"/>
  <tableColumns count="4">
    <tableColumn id="1" xr3:uid="{B45FD0D5-3323-4313-A905-FE5D5A2D7375}" name="Date"/>
    <tableColumn id="2" xr3:uid="{C470C874-E413-4C2D-A48D-9B2B68A28C30}" name="Item"/>
    <tableColumn id="3" xr3:uid="{B21B9665-E936-4815-B8A2-926E8E570397}" name="Old Size"/>
    <tableColumn id="4" xr3:uid="{44A76371-C4ED-49AE-A16E-FE2E7B0C2873}" name="New Size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E9AA11-1132-4D7A-B1CC-231355B19241}" name="Liam_Miller_A33FCEBCExchangeTable" displayName="Liam_Miller_A33FCEBCExchangeTable" ref="A37:D38" insertRow="1" totalsRowShown="0">
  <autoFilter ref="A37:D38" xr:uid="{7BE9AA11-1132-4D7A-B1CC-231355B19241}"/>
  <tableColumns count="4">
    <tableColumn id="1" xr3:uid="{F6E73920-74C2-4EEA-903C-7B1912223F64}" name="Date"/>
    <tableColumn id="2" xr3:uid="{3360DB5A-0E55-4666-933A-8B0187479A92}" name="Item"/>
    <tableColumn id="3" xr3:uid="{A31BEBF8-B2B9-4600-8966-4029F15404B6}" name="Old Size"/>
    <tableColumn id="4" xr3:uid="{1888082C-1F5E-4691-9654-1A4CA214CEE2}" name="New Size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95624B-5AF6-46AC-B2DA-EC86E277F28D}" name="Quinn_Anderson_BF947EB3ExchangeTable" displayName="Quinn_Anderson_BF947EB3ExchangeTable" ref="A37:D38" totalsRowShown="0">
  <autoFilter ref="A37:D38" xr:uid="{CC95624B-5AF6-46AC-B2DA-EC86E277F28D}"/>
  <tableColumns count="4">
    <tableColumn id="1" xr3:uid="{BF076273-6F88-4F1A-99F3-34B35F939A6A}" name="Date"/>
    <tableColumn id="2" xr3:uid="{E4966B22-4CB8-4281-B7F8-6CF313BEE831}" name="Item"/>
    <tableColumn id="3" xr3:uid="{FB4104A9-694E-4816-8539-AE0F7AC19815}" name="Old Size"/>
    <tableColumn id="4" xr3:uid="{211E4848-DE82-40FC-90AD-39E240A9CB30}" name="New Size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10D9498-E413-450F-92B1-BACCE063620A}" name="Yvonne_Martinez_66AC1C8FExchangeTable" displayName="Yvonne_Martinez_66AC1C8FExchangeTable" ref="A37:D38" totalsRowShown="0">
  <autoFilter ref="A37:D38" xr:uid="{C10D9498-E413-450F-92B1-BACCE063620A}"/>
  <tableColumns count="4">
    <tableColumn id="1" xr3:uid="{67ADBF02-C722-4C87-B957-B9B220CC0311}" name="Date"/>
    <tableColumn id="2" xr3:uid="{E4784BD5-1DAA-496D-8053-CD26BEBDB9C1}" name="Item"/>
    <tableColumn id="3" xr3:uid="{942CFB4B-11D7-4B90-B308-C91261D8DE5A}" name="Old Size"/>
    <tableColumn id="4" xr3:uid="{BEAE6B99-01AC-45C2-8438-3A2DC0A37512}" name="New Size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6E1929-A12B-491D-AF90-C72D5ACECCC6}" name="Bob_Robinson_A77A6DA5ExchangeTable" displayName="Bob_Robinson_A77A6DA5ExchangeTable" ref="A37:D38" insertRow="1" totalsRowShown="0">
  <autoFilter ref="A37:D38" xr:uid="{176E1929-A12B-491D-AF90-C72D5ACECCC6}"/>
  <tableColumns count="4">
    <tableColumn id="1" xr3:uid="{D44EDA49-2367-4FFA-BC75-5A86449B607B}" name="Date"/>
    <tableColumn id="2" xr3:uid="{B22AE27B-0218-4588-A3B1-5EED326244A1}" name="Item"/>
    <tableColumn id="3" xr3:uid="{6E9EBD1E-6188-4D1F-AF83-0E1675F58C5E}" name="Old Size"/>
    <tableColumn id="4" xr3:uid="{C916034D-3C9F-42EC-B56B-E32551D49AFF}" name="New Size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944AAA-9CAB-4A65-85BD-307E9C069049}" name="Olivia_Taylor_637855B0ExchangeTable" displayName="Olivia_Taylor_637855B0ExchangeTable" ref="A37:D53" totalsRowShown="0" headerRowDxfId="272" dataDxfId="271">
  <autoFilter ref="A37:D53" xr:uid="{12944AAA-9CAB-4A65-85BD-307E9C069049}"/>
  <tableColumns count="4">
    <tableColumn id="1" xr3:uid="{A2950830-3B11-41CF-85CE-4B88130F5285}" name="Date" dataDxfId="270"/>
    <tableColumn id="2" xr3:uid="{D6F409FC-DD66-4DF2-89D8-0D90A404C562}" name="Item" dataDxfId="269"/>
    <tableColumn id="3" xr3:uid="{472ED1C4-78CB-4E42-BBAB-155A95A75877}" name="Old Size" dataDxfId="268"/>
    <tableColumn id="4" xr3:uid="{F6C15685-9DB1-4B0D-BBD2-1CCABCF4C118}" name="New Size" dataDxfId="267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EC3E-EEEC-47E6-B97D-172C5047027A}" name="Grace_Williams_5893D18FExchangeTable" displayName="Grace_Williams_5893D18FExchangeTable" ref="A37:D38" insertRow="1" totalsRowShown="0" headerRowDxfId="266" dataDxfId="265">
  <autoFilter ref="A37:D38" xr:uid="{27AAEC3E-EEEC-47E6-B97D-172C5047027A}"/>
  <tableColumns count="4">
    <tableColumn id="1" xr3:uid="{B08BB274-12DA-4D32-AE0D-766039E5FEF1}" name="Date" dataDxfId="264"/>
    <tableColumn id="2" xr3:uid="{6AE51AC5-70CF-460E-8B17-CFFC3435FFA8}" name="Item" dataDxfId="263"/>
    <tableColumn id="3" xr3:uid="{E956713F-EB4B-4820-BC5F-10B29411A49D}" name="Old Size" dataDxfId="262"/>
    <tableColumn id="4" xr3:uid="{6A04B68D-009E-427D-99AF-9D65EAE9DE12}" name="New Size" dataDxfId="261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BEF0CA-A279-4628-B4B2-482970C3B683}" name="Liam_Brown_4CDA1BB2ExchangeTable" displayName="Liam_Brown_4CDA1BB2ExchangeTable" ref="A37:D38" insertRow="1" totalsRowShown="0" headerRowDxfId="260" dataDxfId="259">
  <autoFilter ref="A37:D38" xr:uid="{94BEF0CA-A279-4628-B4B2-482970C3B683}"/>
  <tableColumns count="4">
    <tableColumn id="1" xr3:uid="{E2CE2D31-124A-4369-83B0-C7FADA49F04D}" name="Date" dataDxfId="258"/>
    <tableColumn id="2" xr3:uid="{3A96843D-A73A-4865-8084-94E0D583D383}" name="Item" dataDxfId="257"/>
    <tableColumn id="3" xr3:uid="{D2263018-EEC7-4DC3-8FE3-3FB37368F4DC}" name="Old Size" dataDxfId="256"/>
    <tableColumn id="4" xr3:uid="{1D01C06B-3DAB-4D38-BFDC-600C30A2BB89}" name="New Size" dataDxfId="255"/>
  </tableColumns>
  <tableStyleInfo name="ExchangeTableSty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9D5430A-8127-4212-A4D4-A551510A7DAC}" name="Henry_Taylor_36CEACB3ExchangeTable" displayName="Henry_Taylor_36CEACB3ExchangeTable" ref="A37:D38" insertRow="1" totalsRowShown="0" headerRowDxfId="254" dataDxfId="253">
  <autoFilter ref="A37:D38" xr:uid="{49D5430A-8127-4212-A4D4-A551510A7DAC}"/>
  <tableColumns count="4">
    <tableColumn id="1" xr3:uid="{E0B3415D-DDCE-4DE6-9AEF-996036209B7A}" name="Date" dataDxfId="252"/>
    <tableColumn id="2" xr3:uid="{CED164B9-BC0A-4795-A3DA-957FB2F5E6B4}" name="Item" dataDxfId="251"/>
    <tableColumn id="3" xr3:uid="{81EA257E-2EE9-4B79-AC9D-E94A04C2E4F0}" name="Old Size" dataDxfId="250"/>
    <tableColumn id="4" xr3:uid="{E405A7E0-7AED-4EF0-947C-5FC5B6541D9B}" name="New Size" dataDxfId="249"/>
  </tableColumns>
  <tableStyleInfo name="ExchangeTableSty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62BF4A-A8B9-452B-B18A-15EE4D91EAB2}" name="Peter_Anderson_CA66BD9BExchangeTable" displayName="Peter_Anderson_CA66BD9BExchangeTable" ref="A37:D38" insertRow="1" totalsRowShown="0" headerRowDxfId="248" dataDxfId="247">
  <autoFilter ref="A37:D38" xr:uid="{A362BF4A-A8B9-452B-B18A-15EE4D91EAB2}"/>
  <tableColumns count="4">
    <tableColumn id="1" xr3:uid="{F497C6AD-F755-43B4-A8DC-4487C3686203}" name="Date" dataDxfId="246"/>
    <tableColumn id="2" xr3:uid="{EA377544-02C3-4F57-ACA3-4B5492AD462B}" name="Item" dataDxfId="245"/>
    <tableColumn id="3" xr3:uid="{A3BB1793-17EE-4E5C-A454-DC4BBAE867D0}" name="Old Size" dataDxfId="244"/>
    <tableColumn id="4" xr3:uid="{28F912F6-3447-422A-93B8-54509EAC001C}" name="New Size" dataDxfId="243"/>
  </tableColumns>
  <tableStyleInfo name="ExchangeTableSty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F5F57E-8B10-4837-A746-0E134B591FD3}" name="Taylor_Harris_8659C0B1ExchangeTable" displayName="Taylor_Harris_8659C0B1ExchangeTable" ref="A37:D38" insertRow="1" totalsRowShown="0" headerRowDxfId="242" dataDxfId="241">
  <autoFilter ref="A37:D38" xr:uid="{A2F5F57E-8B10-4837-A746-0E134B591FD3}"/>
  <tableColumns count="4">
    <tableColumn id="1" xr3:uid="{D5C2C5EA-E1AF-4C3C-9B61-50011017D04F}" name="Date" dataDxfId="240"/>
    <tableColumn id="2" xr3:uid="{EE3B3696-7BC8-48D4-AB58-E98CED501398}" name="Item" dataDxfId="239"/>
    <tableColumn id="3" xr3:uid="{A5831D28-EFF9-4C1B-A906-B19BFBE532F3}" name="Old Size" dataDxfId="238"/>
    <tableColumn id="4" xr3:uid="{65EC6390-4B29-48D7-81F9-19EC17C8842E}" name="New Size" dataDxfId="237"/>
  </tableColumns>
  <tableStyleInfo name="ExchangeTableSty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1EF6F2-79F6-41AC-9D07-9F9FCCBEA9AE}" name="David_Lee_2F5AAE8DExchangeTable" displayName="David_Lee_2F5AAE8DExchangeTable" ref="A37:D38" insertRow="1" totalsRowShown="0" headerRowDxfId="236" dataDxfId="235">
  <autoFilter ref="A37:D38" xr:uid="{211EF6F2-79F6-41AC-9D07-9F9FCCBEA9AE}"/>
  <tableColumns count="4">
    <tableColumn id="1" xr3:uid="{690865D4-57DB-4EB8-A885-6CAE103FFACE}" name="Date" dataDxfId="234"/>
    <tableColumn id="2" xr3:uid="{978B3296-FEDB-4D23-9B07-64AC789F98AE}" name="Item" dataDxfId="233"/>
    <tableColumn id="3" xr3:uid="{C9E1CE25-411C-4887-B964-8EF0E63B8852}" name="Old Size" dataDxfId="232"/>
    <tableColumn id="4" xr3:uid="{3F1EDF15-7975-462F-A2DB-3241014FEAFE}" name="New Size" dataDxfId="231"/>
  </tableColumns>
  <tableStyleInfo name="ExchangeTableSty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52946A6-9F1E-4AA3-87C9-AEACD9E86C06}" name="Quinn_Anderson_B8B3A5AFExchangeTable" displayName="Quinn_Anderson_B8B3A5AFExchangeTable" ref="A37:D38" insertRow="1" totalsRowShown="0" headerRowDxfId="230" dataDxfId="229">
  <autoFilter ref="A37:D38" xr:uid="{C52946A6-9F1E-4AA3-87C9-AEACD9E86C06}"/>
  <tableColumns count="4">
    <tableColumn id="1" xr3:uid="{3F7CEA03-294F-4FD0-B25C-7AE33B1C8128}" name="Date" dataDxfId="228"/>
    <tableColumn id="2" xr3:uid="{61E268E5-5D22-42AF-81AB-071ACD982B57}" name="Item" dataDxfId="227"/>
    <tableColumn id="3" xr3:uid="{3606829D-F4B3-4CD4-8936-CE5E98E48ADC}" name="Old Size" dataDxfId="226"/>
    <tableColumn id="4" xr3:uid="{388407D4-6938-4FB8-9C9D-5ABAD15D68D7}" name="New Size" dataDxfId="225"/>
  </tableColumns>
  <tableStyleInfo name="ExchangeTableSty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151EE69-21F8-41F2-8AE1-61797AE75C8E}" name="Xavier_Martinez_D413A2B4ExchangeTable" displayName="Xavier_Martinez_D413A2B4ExchangeTable" ref="A37:D38" insertRow="1" totalsRowShown="0" headerRowDxfId="224" dataDxfId="223">
  <autoFilter ref="A37:D38" xr:uid="{F151EE69-21F8-41F2-8AE1-61797AE75C8E}"/>
  <tableColumns count="4">
    <tableColumn id="1" xr3:uid="{2DEB7081-9558-4197-808C-EC990D82D14C}" name="Date" dataDxfId="222"/>
    <tableColumn id="2" xr3:uid="{0ADE55E6-2928-4A67-8E2B-1263E8D62812}" name="Item" dataDxfId="221"/>
    <tableColumn id="3" xr3:uid="{F0206364-A00F-4B99-9488-A98979B50939}" name="Old Size" dataDxfId="220"/>
    <tableColumn id="4" xr3:uid="{96BD9F14-51B5-49D1-AF55-01B3EE03014E}" name="New Size" dataDxfId="219"/>
  </tableColumns>
  <tableStyleInfo name="ExchangeTableSty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C786B1B-1294-451A-BBD0-D0290162ED69}" name="Rachel_Jackson_357ABDAEExchangeTable" displayName="Rachel_Jackson_357ABDAEExchangeTable" ref="A37:D38" insertRow="1" totalsRowShown="0" headerRowDxfId="218" dataDxfId="217">
  <autoFilter ref="A37:D38" xr:uid="{9C786B1B-1294-451A-BBD0-D0290162ED69}"/>
  <tableColumns count="4">
    <tableColumn id="1" xr3:uid="{AC61A9E4-24E9-414A-BEFA-135A2D23E768}" name="Date" dataDxfId="216"/>
    <tableColumn id="2" xr3:uid="{BF4F71BB-02A3-40F5-BA08-FD79431FCF0D}" name="Item" dataDxfId="215"/>
    <tableColumn id="3" xr3:uid="{5230A2B1-2D83-4CC5-91DE-1A66F8396B35}" name="Old Size" dataDxfId="214"/>
    <tableColumn id="4" xr3:uid="{EC966A62-343C-48E7-A062-6AE02A956869}" name="New Size" dataDxfId="213"/>
  </tableColumns>
  <tableStyleInfo name="ExchangeTableSty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FD8E263-F4E6-4C4D-978D-EDFF38B91D69}" name="Charlie_Lewis_64D94E93ExchangeTable" displayName="Charlie_Lewis_64D94E93ExchangeTable" ref="A37:D38" insertRow="1" totalsRowShown="0" headerRowDxfId="212" dataDxfId="211">
  <autoFilter ref="A37:D38" xr:uid="{0FD8E263-F4E6-4C4D-978D-EDFF38B91D69}"/>
  <tableColumns count="4">
    <tableColumn id="1" xr3:uid="{37BDCA9D-A32B-4DB5-95F0-3AB3D4D80C11}" name="Date" dataDxfId="210"/>
    <tableColumn id="2" xr3:uid="{DF056841-5CBA-4DB0-BA47-B2B50ACA7473}" name="Item" dataDxfId="209"/>
    <tableColumn id="3" xr3:uid="{A8EE4D70-1C34-417A-9E33-618DCCFD5FAE}" name="Old Size" dataDxfId="208"/>
    <tableColumn id="4" xr3:uid="{C3D46C6D-1D62-49E5-AB98-8EB24A139A76}" name="New Size" dataDxfId="207"/>
  </tableColumns>
  <tableStyleInfo name="ExchangeTableSty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FE5F56C-0626-43D2-98EB-AD8182F0DF06}" name="Mia_Miller_62E6408FExchangeTable" displayName="Mia_Miller_62E6408FExchangeTable" ref="A37:D38" insertRow="1" totalsRowShown="0" headerRowDxfId="206" dataDxfId="205">
  <autoFilter ref="A37:D38" xr:uid="{5FE5F56C-0626-43D2-98EB-AD8182F0DF06}"/>
  <tableColumns count="4">
    <tableColumn id="1" xr3:uid="{4B152ECF-9870-45C5-8BC9-01EFF4F50C72}" name="Date" dataDxfId="204"/>
    <tableColumn id="2" xr3:uid="{3B97B68C-764C-4D84-AC5E-0AAE145B76FA}" name="Item" dataDxfId="203"/>
    <tableColumn id="3" xr3:uid="{A3EF8F48-4710-4C3C-BCDE-2D70C20C31FC}" name="Old Size" dataDxfId="202"/>
    <tableColumn id="4" xr3:uid="{39018D7D-A9E5-4ADF-8ABE-8DC1BC740781}" name="New Size" dataDxfId="201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21" Type="http://schemas.openxmlformats.org/officeDocument/2006/relationships/table" Target="../tables/table2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2.xml"/><Relationship Id="rId20" Type="http://schemas.openxmlformats.org/officeDocument/2006/relationships/ctrlProp" Target="../ctrlProps/ctrlProp2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9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ctrlProp" Target="../ctrlProps/ctrlProp51.xml"/><Relationship Id="rId7" Type="http://schemas.openxmlformats.org/officeDocument/2006/relationships/ctrlProp" Target="../ctrlProps/ctrlProp5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9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9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63.xml"/><Relationship Id="rId7" Type="http://schemas.openxmlformats.org/officeDocument/2006/relationships/ctrlProp" Target="../ctrlProps/ctrlProp6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3" Type="http://schemas.openxmlformats.org/officeDocument/2006/relationships/ctrlProp" Target="../ctrlProps/ctrlProp68.xml"/><Relationship Id="rId7" Type="http://schemas.openxmlformats.org/officeDocument/2006/relationships/ctrlProp" Target="../ctrlProps/ctrlProp7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Relationship Id="rId9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9.xml"/><Relationship Id="rId3" Type="http://schemas.openxmlformats.org/officeDocument/2006/relationships/ctrlProp" Target="../ctrlProps/ctrlProp74.xml"/><Relationship Id="rId7" Type="http://schemas.openxmlformats.org/officeDocument/2006/relationships/ctrlProp" Target="../ctrlProps/ctrlProp7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Relationship Id="rId9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ctrlProp" Target="../ctrlProps/ctrlProp80.xml"/><Relationship Id="rId7" Type="http://schemas.openxmlformats.org/officeDocument/2006/relationships/ctrlProp" Target="../ctrlProps/ctrlProp8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85.xml"/><Relationship Id="rId7" Type="http://schemas.openxmlformats.org/officeDocument/2006/relationships/ctrlProp" Target="../ctrlProps/ctrlProp8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ctrlProp" Target="../ctrlProps/ctrlProp90.xml"/><Relationship Id="rId7" Type="http://schemas.openxmlformats.org/officeDocument/2006/relationships/ctrlProp" Target="../ctrlProps/ctrlProp9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93.xml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ctrlProp" Target="../ctrlProps/ctrlProp95.xml"/><Relationship Id="rId7" Type="http://schemas.openxmlformats.org/officeDocument/2006/relationships/ctrlProp" Target="../ctrlProps/ctrlProp9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ctrlProp" Target="../ctrlProps/ctrlProp100.xml"/><Relationship Id="rId7" Type="http://schemas.openxmlformats.org/officeDocument/2006/relationships/ctrlProp" Target="../ctrlProps/ctrlProp10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103.xml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ctrlProp" Target="../ctrlProps/ctrlProp105.xml"/><Relationship Id="rId7" Type="http://schemas.openxmlformats.org/officeDocument/2006/relationships/ctrlProp" Target="../ctrlProps/ctrlProp10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ctrlProp" Target="../ctrlProps/ctrlProp110.xml"/><Relationship Id="rId7" Type="http://schemas.openxmlformats.org/officeDocument/2006/relationships/ctrlProp" Target="../ctrlProps/ctrlProp114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ctrlProp" Target="../ctrlProps/ctrlProp115.xml"/><Relationship Id="rId7" Type="http://schemas.openxmlformats.org/officeDocument/2006/relationships/ctrlProp" Target="../ctrlProps/ctrlProp11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118.xml"/><Relationship Id="rId5" Type="http://schemas.openxmlformats.org/officeDocument/2006/relationships/ctrlProp" Target="../ctrlProps/ctrlProp117.xml"/><Relationship Id="rId4" Type="http://schemas.openxmlformats.org/officeDocument/2006/relationships/ctrlProp" Target="../ctrlProps/ctrlProp116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20.xml"/><Relationship Id="rId7" Type="http://schemas.openxmlformats.org/officeDocument/2006/relationships/ctrlProp" Target="../ctrlProps/ctrlProp12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23.xml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5.xml"/><Relationship Id="rId7" Type="http://schemas.openxmlformats.org/officeDocument/2006/relationships/ctrlProp" Target="../ctrlProps/ctrlProp129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28.xml"/><Relationship Id="rId5" Type="http://schemas.openxmlformats.org/officeDocument/2006/relationships/ctrlProp" Target="../ctrlProps/ctrlProp127.xml"/><Relationship Id="rId4" Type="http://schemas.openxmlformats.org/officeDocument/2006/relationships/ctrlProp" Target="../ctrlProps/ctrlProp1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9"/>
  <sheetViews>
    <sheetView tabSelected="1" zoomScale="85" zoomScaleNormal="85" workbookViewId="0"/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66</v>
      </c>
    </row>
    <row r="2" spans="1:15" x14ac:dyDescent="0.3">
      <c r="A2" s="32" t="s">
        <v>101</v>
      </c>
      <c r="B2" s="30" t="s">
        <v>102</v>
      </c>
      <c r="C2" s="31" t="s">
        <v>258</v>
      </c>
      <c r="D2" s="34">
        <v>45287.871180555558</v>
      </c>
      <c r="E2" s="35" t="s">
        <v>103</v>
      </c>
    </row>
    <row r="3" spans="1:15" ht="28.8" x14ac:dyDescent="0.3">
      <c r="A3" s="32" t="s">
        <v>72</v>
      </c>
      <c r="B3" s="30" t="s">
        <v>116</v>
      </c>
      <c r="C3" s="31" t="s">
        <v>189</v>
      </c>
      <c r="D3" s="34">
        <v>45287.92046296296</v>
      </c>
      <c r="E3" s="35" t="s">
        <v>117</v>
      </c>
    </row>
    <row r="4" spans="1:15" ht="28.8" x14ac:dyDescent="0.3">
      <c r="A4" s="32" t="s">
        <v>216</v>
      </c>
      <c r="B4" s="30" t="s">
        <v>128</v>
      </c>
      <c r="C4" s="31" t="s">
        <v>254</v>
      </c>
      <c r="D4" s="34">
        <v>45297.782152777778</v>
      </c>
      <c r="E4" s="35" t="s">
        <v>217</v>
      </c>
    </row>
    <row r="5" spans="1:15" x14ac:dyDescent="0.3">
      <c r="A5" s="32" t="s">
        <v>148</v>
      </c>
      <c r="B5" s="30" t="s">
        <v>149</v>
      </c>
      <c r="C5" s="31" t="s">
        <v>81</v>
      </c>
      <c r="D5" s="34">
        <v>45290.682685185187</v>
      </c>
      <c r="E5" s="35" t="s">
        <v>150</v>
      </c>
    </row>
    <row r="6" spans="1:15" x14ac:dyDescent="0.3">
      <c r="A6" s="32" t="s">
        <v>127</v>
      </c>
      <c r="B6" s="30" t="s">
        <v>128</v>
      </c>
      <c r="C6" s="31" t="s">
        <v>190</v>
      </c>
      <c r="D6" s="34">
        <v>45290.647974537038</v>
      </c>
      <c r="E6" s="35" t="s">
        <v>130</v>
      </c>
    </row>
    <row r="7" spans="1:15" ht="28.8" x14ac:dyDescent="0.3">
      <c r="A7" s="32" t="s">
        <v>166</v>
      </c>
      <c r="B7" s="30" t="s">
        <v>167</v>
      </c>
      <c r="C7" s="31" t="s">
        <v>189</v>
      </c>
      <c r="D7" s="34">
        <v>45290.719259259262</v>
      </c>
      <c r="E7" s="35" t="s">
        <v>168</v>
      </c>
    </row>
    <row r="8" spans="1:15" x14ac:dyDescent="0.3">
      <c r="A8" s="32" t="s">
        <v>194</v>
      </c>
      <c r="B8" s="30" t="s">
        <v>238</v>
      </c>
      <c r="C8" s="31" t="s">
        <v>253</v>
      </c>
      <c r="D8" s="34">
        <v>45297.786678240744</v>
      </c>
      <c r="E8" s="35" t="s">
        <v>239</v>
      </c>
    </row>
    <row r="9" spans="1:15" x14ac:dyDescent="0.3">
      <c r="A9" s="32" t="s">
        <v>198</v>
      </c>
      <c r="B9" s="30" t="s">
        <v>199</v>
      </c>
      <c r="C9" s="31" t="s">
        <v>253</v>
      </c>
      <c r="D9" s="34">
        <v>45297.78193287037</v>
      </c>
      <c r="E9" s="35" t="s">
        <v>200</v>
      </c>
    </row>
    <row r="10" spans="1:15" ht="28.8" x14ac:dyDescent="0.3">
      <c r="A10" s="32" t="s">
        <v>82</v>
      </c>
      <c r="B10" s="30" t="s">
        <v>83</v>
      </c>
      <c r="C10" s="31" t="s">
        <v>193</v>
      </c>
      <c r="D10" s="34">
        <v>45287.865833333337</v>
      </c>
      <c r="E10" s="35" t="s">
        <v>84</v>
      </c>
    </row>
    <row r="11" spans="1:15" x14ac:dyDescent="0.3">
      <c r="A11" s="32"/>
      <c r="B11" s="30"/>
      <c r="C11" s="31"/>
      <c r="D11" s="34"/>
      <c r="E11" s="35"/>
    </row>
    <row r="12" spans="1:15" x14ac:dyDescent="0.3">
      <c r="A12" s="32"/>
      <c r="B12" s="30"/>
      <c r="C12" s="31"/>
      <c r="D12" s="34"/>
      <c r="E12" s="35"/>
    </row>
    <row r="13" spans="1:15" x14ac:dyDescent="0.3">
      <c r="A13" s="32" t="s">
        <v>72</v>
      </c>
      <c r="B13" s="30" t="s">
        <v>259</v>
      </c>
      <c r="C13" s="31" t="s">
        <v>81</v>
      </c>
      <c r="D13" s="34">
        <v>45297.867013888892</v>
      </c>
      <c r="E13" s="35" t="s">
        <v>260</v>
      </c>
    </row>
    <row r="14" spans="1:15" x14ac:dyDescent="0.3">
      <c r="A14" s="32" t="s">
        <v>269</v>
      </c>
      <c r="B14" s="30" t="s">
        <v>194</v>
      </c>
      <c r="C14" s="31" t="s">
        <v>81</v>
      </c>
      <c r="D14" s="34">
        <v>45297.868368055555</v>
      </c>
      <c r="E14" s="35" t="s">
        <v>270</v>
      </c>
    </row>
    <row r="15" spans="1:15" x14ac:dyDescent="0.3">
      <c r="A15" s="32" t="s">
        <v>278</v>
      </c>
      <c r="B15" s="30" t="s">
        <v>279</v>
      </c>
      <c r="C15" s="31" t="s">
        <v>81</v>
      </c>
      <c r="D15" s="34">
        <v>45297.869467592594</v>
      </c>
      <c r="E15" s="35" t="s">
        <v>280</v>
      </c>
    </row>
    <row r="16" spans="1:15" x14ac:dyDescent="0.3">
      <c r="A16" s="32" t="s">
        <v>72</v>
      </c>
      <c r="B16" s="30" t="s">
        <v>116</v>
      </c>
      <c r="C16" s="31" t="s">
        <v>81</v>
      </c>
      <c r="D16" s="34">
        <v>45297.870381944442</v>
      </c>
      <c r="E16" s="35" t="s">
        <v>290</v>
      </c>
    </row>
    <row r="17" spans="1:5" x14ac:dyDescent="0.3">
      <c r="A17" s="32" t="s">
        <v>148</v>
      </c>
      <c r="B17" s="30" t="s">
        <v>293</v>
      </c>
      <c r="C17" s="31" t="s">
        <v>81</v>
      </c>
      <c r="D17" s="34">
        <v>45297.872847222221</v>
      </c>
      <c r="E17" s="35" t="s">
        <v>294</v>
      </c>
    </row>
    <row r="18" spans="1:5" x14ac:dyDescent="0.3">
      <c r="A18" s="32" t="s">
        <v>302</v>
      </c>
      <c r="B18" s="30" t="s">
        <v>303</v>
      </c>
      <c r="C18" s="31" t="s">
        <v>81</v>
      </c>
      <c r="D18" s="34">
        <v>45297.873506944445</v>
      </c>
      <c r="E18" s="35" t="s">
        <v>304</v>
      </c>
    </row>
    <row r="19" spans="1:5" x14ac:dyDescent="0.3">
      <c r="A19" s="32" t="s">
        <v>127</v>
      </c>
      <c r="B19" s="30" t="s">
        <v>83</v>
      </c>
      <c r="C19" s="31" t="s">
        <v>81</v>
      </c>
      <c r="D19" s="34">
        <v>45297.87427083333</v>
      </c>
      <c r="E19" s="59" t="s">
        <v>311</v>
      </c>
    </row>
  </sheetData>
  <conditionalFormatting sqref="C2:C19">
    <cfRule type="cellIs" dxfId="178" priority="1" operator="equal">
      <formula>"S.O.S"</formula>
    </cfRule>
    <cfRule type="containsText" dxfId="177" priority="2" operator="containsText" text="UNP">
      <formula>NOT(ISERROR(SEARCH("UNP",C2)))</formula>
    </cfRule>
    <cfRule type="cellIs" dxfId="176" priority="3" operator="equal">
      <formula>"In Stock"</formula>
    </cfRule>
    <cfRule type="containsText" dxfId="175" priority="4" operator="containsText" text="Pick Up">
      <formula>NOT(ISERROR(SEARCH("Pick Up",C2)))</formula>
    </cfRule>
    <cfRule type="cellIs" dxfId="174" priority="9" operator="equal">
      <formula>"Ready To Order"</formula>
    </cfRule>
    <cfRule type="containsText" dxfId="173" priority="10" operator="containsText" text="Ordered">
      <formula>NOT(ISERROR(SEARCH("Ordered",C2)))</formula>
    </cfRule>
    <cfRule type="containsText" dxfId="172" priority="11" operator="containsText" text="Complete">
      <formula>NOT(ISERROR(SEARCH("Complete",C2)))</formula>
    </cfRule>
    <cfRule type="cellIs" dxfId="171" priority="12" operator="equal">
      <formula>"Returned"</formula>
    </cfRule>
  </conditionalFormatting>
  <hyperlinks>
    <hyperlink ref="A10" location="'Mia_Wilson_795DB783'!A1" display="Wilson" xr:uid="{87DDCC41-71EC-4317-9D96-407828C7634C}"/>
    <hyperlink ref="A2" location="'aaaa_aaa_F3E668A6'!A1" display="aaa" xr:uid="{A711CC3A-AAAC-44BC-8206-F6B3CB104A53}"/>
    <hyperlink ref="A3" location="'Quinn_Anderson_BF947EB3'!A1" display="Anderson" xr:uid="{E3D264E0-ABB3-49DB-9EF6-6684ACB43E1E}"/>
    <hyperlink ref="A6" location="'Liam_Miller_A33FCEBC'!A1" display="Miller" xr:uid="{B9BBEB94-D196-4C2A-9A86-C492549C560B}"/>
    <hyperlink ref="A5" location="'Yvonne_Martinez_66AC1C8F'!A1" display="Martinez" xr:uid="{388CCEF0-EB50-4EAA-B839-2F27A72943AA}"/>
    <hyperlink ref="A7" location="'Bob_Robinson_A77A6DA5'!A1" display="Robinson" xr:uid="{D3D96896-4349-45CE-8537-D42691D44715}"/>
    <hyperlink ref="A9" location="'Grace_Williams_5893D18F'!A1" display="Williams" xr:uid="{A80CF1F6-5750-4F11-A83C-4FC4B1938A2E}"/>
    <hyperlink ref="A4" location="'Liam_Brown_4CDA1BB2'!A1" display="Brown" xr:uid="{2B6122BB-BB16-4CDA-976B-AE1CDA6C7C0B}"/>
    <hyperlink ref="A8" location="'Henry_Taylor_36CEACB3'!A1" display="Taylor" xr:uid="{69412F76-D3A0-437A-BA68-7F49E1C9573B}"/>
    <hyperlink ref="A13" location="'Peter_Anderson_CA66BD9B'!A1" display="Anderson" xr:uid="{90B45A92-B3A9-41B1-9A58-6509CA6DF349}"/>
    <hyperlink ref="A14" location="'Taylor_Harris_8659C0B1'!A1" display="Harris" xr:uid="{575B04E7-853C-4F3C-A256-227C2C9E28A5}"/>
    <hyperlink ref="A15" location="'David_Lee_2F5AAE8D'!A1" display="Lee" xr:uid="{F7CD9CAA-7A87-4C03-8226-F9B15D8583C9}"/>
    <hyperlink ref="A16" location="'Quinn_Anderson_B8B3A5AF'!A1" display="Anderson" xr:uid="{1CEB2BED-5715-467E-BAD2-12EB3A09941B}"/>
    <hyperlink ref="A17" location="'Xavier_Martinez_D413A2B4'!A1" display="Martinez" xr:uid="{64F337D1-0EFD-4B3A-BC3A-4301A51E07DA}"/>
    <hyperlink ref="A18" location="'Rachel_Jackson_357ABDAE'!A1" display="Jackson" xr:uid="{1E59BCFB-EA77-4974-9BC2-3206590DAA68}"/>
    <hyperlink ref="A19" location="'Mia_Miller_62E6408F'!A1" display="Miller" xr:uid="{53B24C54-CBE6-4DB3-9DB3-27AF4D1A3AB3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M24" sqref="M24"/>
    </sheetView>
  </sheetViews>
  <sheetFormatPr defaultRowHeight="14.4" x14ac:dyDescent="0.3"/>
  <cols>
    <col min="2" max="2" width="10.5546875" customWidth="1"/>
    <col min="3" max="3" width="10.6640625" customWidth="1"/>
    <col min="12" max="12" width="12.109375" customWidth="1"/>
  </cols>
  <sheetData>
    <row r="1" spans="1:13" ht="37.950000000000003" customHeight="1" x14ac:dyDescent="0.3">
      <c r="A1" s="37" t="s">
        <v>49</v>
      </c>
      <c r="B1" s="37" t="s">
        <v>53</v>
      </c>
      <c r="C1" s="37" t="s">
        <v>2</v>
      </c>
      <c r="D1" s="37" t="s">
        <v>54</v>
      </c>
      <c r="E1" s="37" t="s">
        <v>9</v>
      </c>
      <c r="F1" s="37" t="s">
        <v>11</v>
      </c>
      <c r="G1" s="37" t="s">
        <v>12</v>
      </c>
      <c r="H1" s="37" t="s">
        <v>13</v>
      </c>
      <c r="I1" s="37" t="s">
        <v>55</v>
      </c>
      <c r="J1" s="37" t="s">
        <v>15</v>
      </c>
      <c r="K1" s="37" t="s">
        <v>56</v>
      </c>
      <c r="L1" s="37" t="s">
        <v>57</v>
      </c>
      <c r="M1" s="37" t="s">
        <v>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7"/>
  <sheetViews>
    <sheetView workbookViewId="0">
      <selection activeCell="L16" sqref="L16"/>
    </sheetView>
  </sheetViews>
  <sheetFormatPr defaultRowHeight="14.4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" customHeight="1" x14ac:dyDescent="0.3">
      <c r="A1" s="38" t="s">
        <v>64</v>
      </c>
      <c r="B1" s="38" t="s">
        <v>18</v>
      </c>
      <c r="C1" s="38" t="s">
        <v>21</v>
      </c>
      <c r="D1" s="38" t="s">
        <v>19</v>
      </c>
      <c r="E1" s="38" t="s">
        <v>20</v>
      </c>
      <c r="F1" s="38" t="s">
        <v>24</v>
      </c>
      <c r="G1" s="38" t="s">
        <v>23</v>
      </c>
      <c r="H1" s="38" t="s">
        <v>25</v>
      </c>
      <c r="I1" s="38" t="s">
        <v>26</v>
      </c>
      <c r="J1" s="38" t="s">
        <v>27</v>
      </c>
      <c r="K1" s="38"/>
      <c r="L1" s="38" t="s">
        <v>28</v>
      </c>
      <c r="M1" s="38" t="s">
        <v>22</v>
      </c>
      <c r="N1" s="38" t="s">
        <v>29</v>
      </c>
      <c r="O1" s="38" t="s">
        <v>30</v>
      </c>
      <c r="P1" s="38"/>
      <c r="Q1" s="38" t="s">
        <v>33</v>
      </c>
      <c r="R1" s="38" t="s">
        <v>31</v>
      </c>
      <c r="S1" s="38" t="s">
        <v>48</v>
      </c>
      <c r="T1" s="38" t="s">
        <v>32</v>
      </c>
      <c r="U1" s="38"/>
      <c r="V1" s="38" t="s">
        <v>257</v>
      </c>
      <c r="W1" s="33"/>
      <c r="X1" s="33"/>
      <c r="Y1" s="33"/>
    </row>
    <row r="2" spans="1:25" x14ac:dyDescent="0.3">
      <c r="A2" s="57" t="s">
        <v>113</v>
      </c>
      <c r="E2" s="55">
        <v>7346</v>
      </c>
      <c r="F2" s="55">
        <v>7.125</v>
      </c>
      <c r="G2" s="55" t="s">
        <v>243</v>
      </c>
      <c r="H2" s="55" t="s">
        <v>138</v>
      </c>
      <c r="I2" s="55" t="s">
        <v>222</v>
      </c>
      <c r="J2" s="55" t="s">
        <v>245</v>
      </c>
      <c r="V2" s="55" t="s">
        <v>82</v>
      </c>
    </row>
    <row r="3" spans="1:25" x14ac:dyDescent="0.3">
      <c r="A3" s="57" t="s">
        <v>114</v>
      </c>
      <c r="B3" s="55">
        <v>6140</v>
      </c>
    </row>
    <row r="4" spans="1:25" x14ac:dyDescent="0.3">
      <c r="A4" s="57" t="s">
        <v>227</v>
      </c>
      <c r="B4" s="55">
        <v>6142</v>
      </c>
      <c r="D4" s="55" t="s">
        <v>138</v>
      </c>
      <c r="E4" s="55">
        <v>6458</v>
      </c>
      <c r="F4" s="55">
        <v>6.375</v>
      </c>
      <c r="G4" s="55" t="s">
        <v>62</v>
      </c>
      <c r="H4" s="55" t="s">
        <v>231</v>
      </c>
      <c r="I4" s="55" t="s">
        <v>208</v>
      </c>
      <c r="J4" s="55" t="s">
        <v>233</v>
      </c>
    </row>
    <row r="5" spans="1:25" x14ac:dyDescent="0.3">
      <c r="A5" s="57" t="s">
        <v>228</v>
      </c>
      <c r="Q5" s="55">
        <v>6.25</v>
      </c>
      <c r="R5" s="55">
        <v>6740</v>
      </c>
      <c r="S5" s="55">
        <v>7046</v>
      </c>
      <c r="V5" s="55" t="s">
        <v>198</v>
      </c>
    </row>
    <row r="6" spans="1:25" x14ac:dyDescent="0.3">
      <c r="A6" s="57" t="s">
        <v>229</v>
      </c>
      <c r="Q6" s="55">
        <v>6.75</v>
      </c>
    </row>
    <row r="7" spans="1:25" x14ac:dyDescent="0.3">
      <c r="A7" s="57" t="s">
        <v>255</v>
      </c>
      <c r="E7" s="55">
        <v>7346</v>
      </c>
      <c r="F7" s="55">
        <v>7.125</v>
      </c>
      <c r="G7" s="55" t="s">
        <v>243</v>
      </c>
      <c r="H7" s="55" t="s">
        <v>138</v>
      </c>
      <c r="I7" s="55" t="s">
        <v>222</v>
      </c>
      <c r="J7" s="55" t="s">
        <v>245</v>
      </c>
    </row>
  </sheetData>
  <hyperlinks>
    <hyperlink ref="A2" location="Mia_Wilson_795DB783!A1" display="Wilson, Mia" xr:uid="{D961DB2C-CB1D-47EB-9899-19B842318D9A}"/>
    <hyperlink ref="A3" location="aaaa_aaa_F3E668A6!A1" display="aaa, aaaa" xr:uid="{11C483C5-9B7F-4E7E-A2AC-25FEDBDEE650}"/>
    <hyperlink ref="A4" location="Olivia_Taylor_637855B0!A1" display="Taylor, Olivia" xr:uid="{19AD1A0A-F803-4F99-8E99-EB6B6930DE81}"/>
    <hyperlink ref="A5" location="Grace_Williams_5893D18F!A1" display="Williams, Grace" xr:uid="{98A2D975-8420-4943-8248-D3F1A8D9FED9}"/>
    <hyperlink ref="A6" location="Liam_Brown_4CDA1BB2!A1" display="Brown, Liam" xr:uid="{E9F82B0E-320E-4E67-9B3A-E6B3D0D82F8D}"/>
    <hyperlink ref="A7" location="Henry_Taylor_36CEACB3!A1" display="Taylor, Henry" xr:uid="{08A610FA-45A3-4DA9-8711-FD282DF8C1C0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152400</xdr:colOff>
                    <xdr:row>0</xdr:row>
                    <xdr:rowOff>53340</xdr:rowOff>
                  </from>
                  <to>
                    <xdr:col>24</xdr:col>
                    <xdr:colOff>533400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5" r:id="rId5" name="Complete1">
              <controlPr defaultSize="0" print="0" autoFill="0" autoPict="0" macro="[0]!'markPickUpAsComplete &quot;Mia_Wilson_795DB783&quot;, 1'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6" r:id="rId6" name="Complete2">
              <controlPr defaultSize="0" print="0" autoFill="0" autoPict="0" macro="[0]!'markPickUpAsComplete &quot;aaaa_aaa_F3E668A6&quot;, 2'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7" r:id="rId7" name="Complete3">
              <controlPr defaultSize="0" print="0" autoFill="0" autoPict="0" macro="[0]!'markPickUpAsComplete &quot;Olivia_Taylor_637855B0&quot;, 3'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8" r:id="rId8" name="Complete4">
              <controlPr defaultSize="0" print="0" autoFill="0" autoPict="0" macro="[0]!'markPickUpAsComplete &quot;Grace_Williams_5893D18F&quot;, 4'">
                <anchor moveWithCells="1" sizeWithCells="1">
                  <from>
                    <xdr:col>23</xdr:col>
                    <xdr:colOff>0</xdr:colOff>
                    <xdr:row>4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9" r:id="rId9" name="Complete5">
              <controlPr defaultSize="0" print="0" autoFill="0" autoPict="0" macro="[0]!'markPickUpAsComplete &quot;Liam_Brown_4CDA1BB2&quot;, 5'">
                <anchor moveWithCells="1" sizeWithCells="1">
                  <from>
                    <xdr:col>23</xdr:col>
                    <xdr:colOff>0</xdr:colOff>
                    <xdr:row>5</xdr:row>
                    <xdr:rowOff>0</xdr:rowOff>
                  </from>
                  <to>
                    <xdr:col>24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0" r:id="rId10" name="Complete6">
              <controlPr defaultSize="0" print="0" autoFill="0" autoPict="0" macro="[0]!'markPickUpAsComplete &quot;Henry_Taylor_36CEACB3&quot;, 6'">
                <anchor moveWithCells="1" siz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W20"/>
  <sheetViews>
    <sheetView zoomScale="85" zoomScaleNormal="85" workbookViewId="0">
      <selection activeCell="Z11" sqref="Z11"/>
    </sheetView>
  </sheetViews>
  <sheetFormatPr defaultRowHeight="14.4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</cols>
  <sheetData>
    <row r="1" spans="1:23" ht="27.6" customHeight="1" x14ac:dyDescent="0.3">
      <c r="A1" s="45" t="s">
        <v>42</v>
      </c>
      <c r="B1" s="41" t="s">
        <v>45</v>
      </c>
      <c r="C1" s="42" t="s">
        <v>185</v>
      </c>
      <c r="D1" s="60" t="s">
        <v>186</v>
      </c>
      <c r="E1" s="60"/>
      <c r="F1" s="49" t="s">
        <v>187</v>
      </c>
      <c r="G1" s="43" t="s">
        <v>183</v>
      </c>
      <c r="H1" s="44" t="s">
        <v>188</v>
      </c>
    </row>
    <row r="2" spans="1:23" ht="37.35" customHeight="1" x14ac:dyDescent="0.3">
      <c r="A2" s="38" t="s">
        <v>64</v>
      </c>
      <c r="B2" s="38" t="s">
        <v>18</v>
      </c>
      <c r="C2" s="38" t="s">
        <v>21</v>
      </c>
      <c r="D2" s="38" t="s">
        <v>19</v>
      </c>
      <c r="E2" s="38" t="s">
        <v>20</v>
      </c>
      <c r="F2" s="38" t="s">
        <v>24</v>
      </c>
      <c r="G2" s="38" t="s">
        <v>23</v>
      </c>
      <c r="H2" s="38" t="s">
        <v>25</v>
      </c>
      <c r="I2" s="38" t="s">
        <v>26</v>
      </c>
      <c r="J2" s="38" t="s">
        <v>27</v>
      </c>
      <c r="K2" s="38" t="s">
        <v>191</v>
      </c>
      <c r="L2" s="38" t="s">
        <v>28</v>
      </c>
      <c r="M2" s="38" t="s">
        <v>22</v>
      </c>
      <c r="N2" s="38" t="s">
        <v>29</v>
      </c>
      <c r="O2" s="38" t="s">
        <v>30</v>
      </c>
      <c r="P2" s="38" t="s">
        <v>192</v>
      </c>
      <c r="Q2" s="38" t="s">
        <v>33</v>
      </c>
      <c r="R2" s="38" t="s">
        <v>31</v>
      </c>
      <c r="S2" s="38" t="s">
        <v>48</v>
      </c>
      <c r="T2" s="38" t="s">
        <v>32</v>
      </c>
      <c r="U2" s="38" t="s">
        <v>256</v>
      </c>
      <c r="V2" s="38" t="s">
        <v>257</v>
      </c>
      <c r="W2" s="38" t="s">
        <v>184</v>
      </c>
    </row>
    <row r="3" spans="1:23" x14ac:dyDescent="0.3">
      <c r="A3" s="52" t="s">
        <v>113</v>
      </c>
      <c r="B3" s="43">
        <v>6732</v>
      </c>
      <c r="C3" s="53">
        <v>18</v>
      </c>
      <c r="D3" s="43" t="s">
        <v>86</v>
      </c>
      <c r="E3" s="43">
        <v>7652</v>
      </c>
      <c r="F3" s="43">
        <v>7.5</v>
      </c>
      <c r="G3" s="43" t="s">
        <v>89</v>
      </c>
      <c r="H3" s="43" t="s">
        <v>58</v>
      </c>
      <c r="I3" s="43" t="s">
        <v>115</v>
      </c>
      <c r="J3" s="43" t="s">
        <v>92</v>
      </c>
      <c r="K3" s="46"/>
      <c r="L3" s="43" t="s">
        <v>51</v>
      </c>
      <c r="M3" s="43" t="s">
        <v>74</v>
      </c>
      <c r="N3" s="43">
        <v>7656</v>
      </c>
      <c r="O3" s="43" t="s">
        <v>95</v>
      </c>
      <c r="P3" s="46"/>
      <c r="Q3" s="43">
        <v>7</v>
      </c>
      <c r="R3" s="43">
        <v>7652</v>
      </c>
      <c r="S3" s="43">
        <v>7047</v>
      </c>
      <c r="T3" s="43" t="s">
        <v>98</v>
      </c>
      <c r="U3" s="43"/>
      <c r="V3" s="54" t="s">
        <v>82</v>
      </c>
      <c r="W3" s="46"/>
    </row>
    <row r="4" spans="1:23" x14ac:dyDescent="0.3">
      <c r="A4" s="52" t="s">
        <v>114</v>
      </c>
      <c r="B4" s="54">
        <v>6140</v>
      </c>
      <c r="C4" s="43" t="s">
        <v>106</v>
      </c>
      <c r="D4" s="43" t="s">
        <v>106</v>
      </c>
      <c r="E4" s="43" t="s">
        <v>106</v>
      </c>
      <c r="F4" s="43" t="s">
        <v>106</v>
      </c>
      <c r="G4" s="43" t="s">
        <v>106</v>
      </c>
      <c r="H4" s="43" t="s">
        <v>106</v>
      </c>
      <c r="I4" s="43" t="s">
        <v>106</v>
      </c>
      <c r="J4" s="43" t="s">
        <v>106</v>
      </c>
      <c r="K4" s="74"/>
      <c r="L4" s="43" t="s">
        <v>106</v>
      </c>
      <c r="M4" s="43" t="s">
        <v>106</v>
      </c>
      <c r="N4" s="43" t="s">
        <v>106</v>
      </c>
      <c r="O4" s="43" t="s">
        <v>106</v>
      </c>
      <c r="P4" s="74"/>
      <c r="Q4" s="43" t="s">
        <v>106</v>
      </c>
      <c r="R4" s="43" t="s">
        <v>106</v>
      </c>
      <c r="S4" s="43" t="s">
        <v>106</v>
      </c>
      <c r="T4" s="43" t="s">
        <v>106</v>
      </c>
      <c r="U4" s="56" t="s">
        <v>106</v>
      </c>
      <c r="V4" s="56" t="s">
        <v>106</v>
      </c>
      <c r="W4" s="74"/>
    </row>
    <row r="5" spans="1:23" x14ac:dyDescent="0.3">
      <c r="A5" s="52" t="s">
        <v>179</v>
      </c>
      <c r="B5" s="42">
        <v>7054</v>
      </c>
      <c r="C5" s="42" t="s">
        <v>119</v>
      </c>
      <c r="D5" s="41" t="s">
        <v>68</v>
      </c>
      <c r="E5" s="42">
        <v>7060</v>
      </c>
      <c r="F5" s="42">
        <v>7</v>
      </c>
      <c r="G5" s="42" t="s">
        <v>62</v>
      </c>
      <c r="H5" s="43"/>
      <c r="I5" s="42" t="s">
        <v>60</v>
      </c>
      <c r="J5" s="42" t="s">
        <v>122</v>
      </c>
      <c r="K5" s="74"/>
      <c r="L5" s="43" t="s">
        <v>51</v>
      </c>
      <c r="M5" s="43" t="s">
        <v>105</v>
      </c>
      <c r="N5" s="42">
        <v>7656</v>
      </c>
      <c r="O5" s="42" t="s">
        <v>95</v>
      </c>
      <c r="P5" s="74"/>
      <c r="Q5" s="43">
        <v>7</v>
      </c>
      <c r="R5" s="43"/>
      <c r="S5" s="43"/>
      <c r="T5" s="43" t="s">
        <v>111</v>
      </c>
      <c r="V5" s="47" t="s">
        <v>72</v>
      </c>
      <c r="W5" s="74"/>
    </row>
    <row r="6" spans="1:23" x14ac:dyDescent="0.3">
      <c r="A6" s="52" t="s">
        <v>180</v>
      </c>
      <c r="B6" s="41">
        <v>6732</v>
      </c>
      <c r="C6" s="41" t="s">
        <v>132</v>
      </c>
      <c r="D6" s="41" t="s">
        <v>68</v>
      </c>
      <c r="E6" s="43"/>
      <c r="F6" s="41">
        <v>7.375</v>
      </c>
      <c r="G6" s="41" t="s">
        <v>62</v>
      </c>
      <c r="H6" s="43"/>
      <c r="I6" s="41" t="s">
        <v>77</v>
      </c>
      <c r="J6" s="41" t="s">
        <v>136</v>
      </c>
      <c r="K6" s="74"/>
      <c r="L6" s="41" t="s">
        <v>51</v>
      </c>
      <c r="M6" s="41" t="s">
        <v>138</v>
      </c>
      <c r="N6" s="41">
        <v>7040</v>
      </c>
      <c r="O6" s="41" t="s">
        <v>95</v>
      </c>
      <c r="P6" s="74"/>
      <c r="Q6" s="41">
        <v>7.375</v>
      </c>
      <c r="R6" s="41">
        <v>6736</v>
      </c>
      <c r="S6" s="43"/>
      <c r="T6" s="41" t="s">
        <v>143</v>
      </c>
      <c r="V6" s="47" t="s">
        <v>127</v>
      </c>
      <c r="W6" s="74"/>
    </row>
    <row r="7" spans="1:23" x14ac:dyDescent="0.3">
      <c r="A7" s="52" t="s">
        <v>181</v>
      </c>
      <c r="B7" s="42">
        <v>7332</v>
      </c>
      <c r="C7" s="42">
        <v>14</v>
      </c>
      <c r="D7" s="41" t="s">
        <v>138</v>
      </c>
      <c r="E7" s="42">
        <v>6448</v>
      </c>
      <c r="F7" s="42">
        <v>7.75</v>
      </c>
      <c r="G7" s="42" t="s">
        <v>62</v>
      </c>
      <c r="H7" s="42" t="s">
        <v>138</v>
      </c>
      <c r="I7" s="42" t="s">
        <v>60</v>
      </c>
      <c r="J7" s="42" t="s">
        <v>155</v>
      </c>
      <c r="K7" s="74"/>
      <c r="L7" s="42" t="s">
        <v>51</v>
      </c>
      <c r="M7" s="42" t="s">
        <v>58</v>
      </c>
      <c r="N7" s="42">
        <v>7652</v>
      </c>
      <c r="O7" s="42" t="s">
        <v>158</v>
      </c>
      <c r="P7" s="74"/>
      <c r="Q7" s="42">
        <v>7.75</v>
      </c>
      <c r="R7" s="42">
        <v>6432</v>
      </c>
      <c r="S7" s="42">
        <v>6742</v>
      </c>
      <c r="T7" s="42" t="s">
        <v>163</v>
      </c>
      <c r="V7" s="47" t="s">
        <v>148</v>
      </c>
      <c r="W7" s="74"/>
    </row>
    <row r="8" spans="1:23" x14ac:dyDescent="0.3">
      <c r="A8" s="52" t="s">
        <v>182</v>
      </c>
      <c r="B8" s="42">
        <v>6428</v>
      </c>
      <c r="C8" s="43" t="s">
        <v>146</v>
      </c>
      <c r="D8" s="43" t="s">
        <v>170</v>
      </c>
      <c r="E8" s="43" t="s">
        <v>172</v>
      </c>
      <c r="F8" s="43">
        <v>7.375</v>
      </c>
      <c r="G8" s="42" t="s">
        <v>62</v>
      </c>
      <c r="H8" s="42" t="s">
        <v>70</v>
      </c>
      <c r="I8" s="41" t="s">
        <v>77</v>
      </c>
      <c r="J8" s="42" t="s">
        <v>136</v>
      </c>
      <c r="K8" s="74"/>
      <c r="L8" s="42" t="s">
        <v>51</v>
      </c>
      <c r="M8" s="42" t="s">
        <v>105</v>
      </c>
      <c r="N8" s="42">
        <v>6440</v>
      </c>
      <c r="O8" s="42" t="s">
        <v>175</v>
      </c>
      <c r="P8" s="74"/>
      <c r="Q8" s="43">
        <v>7.375</v>
      </c>
      <c r="R8" s="42">
        <v>6432</v>
      </c>
      <c r="S8" s="42">
        <v>6434</v>
      </c>
      <c r="T8" s="42" t="s">
        <v>177</v>
      </c>
      <c r="V8" s="47" t="s">
        <v>166</v>
      </c>
      <c r="W8" s="74"/>
    </row>
    <row r="9" spans="1:23" x14ac:dyDescent="0.3">
      <c r="A9" s="52" t="s">
        <v>227</v>
      </c>
      <c r="B9" s="54">
        <v>6142</v>
      </c>
      <c r="C9" s="42" t="s">
        <v>119</v>
      </c>
      <c r="D9" s="54" t="s">
        <v>138</v>
      </c>
      <c r="E9" s="54">
        <v>6458</v>
      </c>
      <c r="F9" s="54">
        <v>6.375</v>
      </c>
      <c r="G9" s="54" t="s">
        <v>62</v>
      </c>
      <c r="H9" s="54" t="s">
        <v>231</v>
      </c>
      <c r="I9" s="54" t="s">
        <v>208</v>
      </c>
      <c r="J9" s="54" t="s">
        <v>233</v>
      </c>
      <c r="K9" s="74"/>
      <c r="L9" s="41" t="s">
        <v>51</v>
      </c>
      <c r="M9" s="41" t="s">
        <v>170</v>
      </c>
      <c r="N9" s="41">
        <v>7656</v>
      </c>
      <c r="O9" s="41" t="s">
        <v>79</v>
      </c>
      <c r="P9" s="74"/>
      <c r="Q9" s="41">
        <v>6.25</v>
      </c>
      <c r="R9" s="41">
        <v>6744</v>
      </c>
      <c r="S9" s="43"/>
      <c r="T9" s="41" t="s">
        <v>236</v>
      </c>
      <c r="V9" s="47" t="s">
        <v>194</v>
      </c>
      <c r="W9" s="74"/>
    </row>
    <row r="10" spans="1:23" x14ac:dyDescent="0.3">
      <c r="A10" s="52" t="s">
        <v>228</v>
      </c>
      <c r="B10" s="42">
        <v>7040</v>
      </c>
      <c r="C10" s="42" t="s">
        <v>202</v>
      </c>
      <c r="D10" s="42" t="s">
        <v>105</v>
      </c>
      <c r="E10" s="42" t="s">
        <v>205</v>
      </c>
      <c r="F10" s="42">
        <v>6.375</v>
      </c>
      <c r="G10" s="42" t="s">
        <v>62</v>
      </c>
      <c r="H10" s="42" t="s">
        <v>138</v>
      </c>
      <c r="I10" s="42" t="s">
        <v>208</v>
      </c>
      <c r="J10" s="42" t="s">
        <v>210</v>
      </c>
      <c r="K10" s="74"/>
      <c r="L10" s="42" t="s">
        <v>51</v>
      </c>
      <c r="M10" s="42" t="s">
        <v>170</v>
      </c>
      <c r="N10" s="42">
        <v>7652</v>
      </c>
      <c r="O10" s="42" t="s">
        <v>175</v>
      </c>
      <c r="P10" s="74"/>
      <c r="Q10" s="54">
        <v>6.25</v>
      </c>
      <c r="R10" s="54">
        <v>6740</v>
      </c>
      <c r="S10" s="54">
        <v>7046</v>
      </c>
      <c r="T10" s="43"/>
      <c r="V10" s="48" t="s">
        <v>198</v>
      </c>
      <c r="W10" s="74"/>
    </row>
    <row r="11" spans="1:23" x14ac:dyDescent="0.3">
      <c r="A11" s="52" t="s">
        <v>229</v>
      </c>
      <c r="B11" s="43">
        <v>7052</v>
      </c>
      <c r="C11" s="43">
        <v>19</v>
      </c>
      <c r="D11" s="43" t="s">
        <v>86</v>
      </c>
      <c r="E11" s="42">
        <v>6456</v>
      </c>
      <c r="F11" s="53">
        <v>6.75</v>
      </c>
      <c r="G11" s="42" t="s">
        <v>62</v>
      </c>
      <c r="H11" s="42" t="s">
        <v>70</v>
      </c>
      <c r="I11" s="42" t="s">
        <v>222</v>
      </c>
      <c r="J11" s="42" t="s">
        <v>136</v>
      </c>
      <c r="K11" s="74"/>
      <c r="L11" s="42" t="s">
        <v>51</v>
      </c>
      <c r="M11" s="42" t="s">
        <v>68</v>
      </c>
      <c r="N11" s="43"/>
      <c r="O11" s="42" t="s">
        <v>158</v>
      </c>
      <c r="P11" s="74"/>
      <c r="Q11" s="54">
        <v>6.75</v>
      </c>
      <c r="R11" s="42">
        <v>7052</v>
      </c>
      <c r="S11" s="42">
        <v>6738</v>
      </c>
      <c r="T11" s="43"/>
      <c r="V11" s="47" t="s">
        <v>216</v>
      </c>
      <c r="W11" s="74"/>
    </row>
    <row r="12" spans="1:23" x14ac:dyDescent="0.3">
      <c r="A12" s="52" t="s">
        <v>255</v>
      </c>
      <c r="B12" s="42">
        <v>7330</v>
      </c>
      <c r="C12" s="42">
        <v>19</v>
      </c>
      <c r="D12" s="42" t="s">
        <v>170</v>
      </c>
      <c r="E12" s="54">
        <v>7346</v>
      </c>
      <c r="F12" s="54">
        <v>7.125</v>
      </c>
      <c r="G12" s="54" t="s">
        <v>243</v>
      </c>
      <c r="H12" s="54" t="s">
        <v>138</v>
      </c>
      <c r="I12" s="54" t="s">
        <v>222</v>
      </c>
      <c r="J12" s="54" t="s">
        <v>245</v>
      </c>
      <c r="K12" s="74"/>
      <c r="L12" s="42" t="s">
        <v>51</v>
      </c>
      <c r="M12" s="42" t="s">
        <v>105</v>
      </c>
      <c r="N12" s="42">
        <v>7640</v>
      </c>
      <c r="O12" s="42" t="s">
        <v>95</v>
      </c>
      <c r="P12" s="74"/>
      <c r="Q12" s="42">
        <v>7.125</v>
      </c>
      <c r="R12" s="42">
        <v>7336</v>
      </c>
      <c r="S12" s="42">
        <v>7346</v>
      </c>
      <c r="T12" s="42" t="s">
        <v>251</v>
      </c>
      <c r="V12" s="47" t="s">
        <v>194</v>
      </c>
      <c r="W12" s="74"/>
    </row>
    <row r="13" spans="1:23" x14ac:dyDescent="0.3">
      <c r="A13" s="52" t="s">
        <v>319</v>
      </c>
      <c r="B13" s="42">
        <v>7042</v>
      </c>
      <c r="C13" s="42" t="s">
        <v>202</v>
      </c>
      <c r="D13" s="42" t="s">
        <v>138</v>
      </c>
      <c r="E13" s="42" t="s">
        <v>262</v>
      </c>
      <c r="F13" s="43"/>
      <c r="G13" s="41" t="s">
        <v>243</v>
      </c>
      <c r="H13" s="42" t="s">
        <v>58</v>
      </c>
      <c r="I13" s="42" t="s">
        <v>60</v>
      </c>
      <c r="J13" s="41" t="s">
        <v>264</v>
      </c>
      <c r="K13" s="74"/>
      <c r="L13" s="42" t="s">
        <v>51</v>
      </c>
      <c r="M13" s="42" t="s">
        <v>74</v>
      </c>
      <c r="N13" s="43"/>
      <c r="O13" s="42" t="s">
        <v>175</v>
      </c>
      <c r="P13" s="74"/>
      <c r="Q13" s="43"/>
      <c r="R13" s="42">
        <v>7044</v>
      </c>
      <c r="S13" s="43"/>
      <c r="T13" s="42" t="s">
        <v>267</v>
      </c>
      <c r="V13" s="47" t="s">
        <v>72</v>
      </c>
      <c r="W13" s="74"/>
    </row>
    <row r="14" spans="1:23" x14ac:dyDescent="0.3">
      <c r="A14" s="52" t="s">
        <v>320</v>
      </c>
      <c r="B14" s="42">
        <v>7058</v>
      </c>
      <c r="C14" s="42">
        <v>20</v>
      </c>
      <c r="D14" s="43"/>
      <c r="E14" s="42">
        <v>7054</v>
      </c>
      <c r="F14" s="42">
        <v>7.375</v>
      </c>
      <c r="G14" s="42" t="s">
        <v>62</v>
      </c>
      <c r="H14" s="42" t="s">
        <v>231</v>
      </c>
      <c r="I14" s="41" t="s">
        <v>77</v>
      </c>
      <c r="J14" s="42" t="s">
        <v>274</v>
      </c>
      <c r="K14" s="74"/>
      <c r="L14" s="42" t="s">
        <v>51</v>
      </c>
      <c r="M14" s="42" t="s">
        <v>138</v>
      </c>
      <c r="N14" s="43"/>
      <c r="O14" s="42" t="s">
        <v>95</v>
      </c>
      <c r="P14" s="74"/>
      <c r="Q14" s="42">
        <v>7.375</v>
      </c>
      <c r="R14" s="43"/>
      <c r="S14" s="43"/>
      <c r="T14" s="42" t="s">
        <v>276</v>
      </c>
      <c r="V14" s="47" t="s">
        <v>269</v>
      </c>
      <c r="W14" s="74"/>
    </row>
    <row r="15" spans="1:23" x14ac:dyDescent="0.3">
      <c r="A15" s="52" t="s">
        <v>321</v>
      </c>
      <c r="B15" s="42">
        <v>7340</v>
      </c>
      <c r="C15" s="42" t="s">
        <v>282</v>
      </c>
      <c r="D15" s="42" t="s">
        <v>105</v>
      </c>
      <c r="E15" s="42">
        <v>7660</v>
      </c>
      <c r="F15" s="42">
        <v>6.375</v>
      </c>
      <c r="G15" s="41" t="s">
        <v>243</v>
      </c>
      <c r="H15" s="42" t="s">
        <v>70</v>
      </c>
      <c r="I15" s="41" t="s">
        <v>77</v>
      </c>
      <c r="J15" s="42" t="s">
        <v>285</v>
      </c>
      <c r="K15" s="74"/>
      <c r="L15" s="42" t="s">
        <v>51</v>
      </c>
      <c r="M15" s="42" t="s">
        <v>170</v>
      </c>
      <c r="N15" s="43"/>
      <c r="O15" s="42" t="s">
        <v>158</v>
      </c>
      <c r="P15" s="74"/>
      <c r="Q15" s="42">
        <v>6.125</v>
      </c>
      <c r="R15" s="42">
        <v>7340</v>
      </c>
      <c r="S15" s="42">
        <v>7338</v>
      </c>
      <c r="T15" s="42" t="s">
        <v>177</v>
      </c>
      <c r="V15" s="47" t="s">
        <v>278</v>
      </c>
      <c r="W15" s="74"/>
    </row>
    <row r="16" spans="1:23" x14ac:dyDescent="0.3">
      <c r="A16" s="52" t="s">
        <v>179</v>
      </c>
      <c r="B16" s="42">
        <v>7060</v>
      </c>
      <c r="C16" s="53"/>
      <c r="D16" s="43"/>
      <c r="E16" s="42" t="s">
        <v>262</v>
      </c>
      <c r="F16" s="42">
        <v>6.75</v>
      </c>
      <c r="G16" s="41" t="s">
        <v>243</v>
      </c>
      <c r="H16" s="42" t="s">
        <v>58</v>
      </c>
      <c r="I16" s="41" t="s">
        <v>77</v>
      </c>
      <c r="J16" s="42" t="s">
        <v>285</v>
      </c>
      <c r="K16" s="74"/>
      <c r="L16" s="42" t="s">
        <v>51</v>
      </c>
      <c r="M16" s="42" t="s">
        <v>60</v>
      </c>
      <c r="N16" s="43"/>
      <c r="O16" s="42" t="s">
        <v>158</v>
      </c>
      <c r="P16" s="74"/>
      <c r="Q16" s="42">
        <v>6.75</v>
      </c>
      <c r="R16" s="43"/>
      <c r="S16" s="43"/>
      <c r="T16" s="42" t="s">
        <v>177</v>
      </c>
      <c r="V16" s="47" t="s">
        <v>72</v>
      </c>
      <c r="W16" s="74"/>
    </row>
    <row r="17" spans="1:23" x14ac:dyDescent="0.3">
      <c r="A17" s="52" t="s">
        <v>322</v>
      </c>
      <c r="B17" s="42">
        <v>7350</v>
      </c>
      <c r="C17" s="42" t="s">
        <v>296</v>
      </c>
      <c r="D17" s="42" t="s">
        <v>86</v>
      </c>
      <c r="E17" s="42" t="s">
        <v>298</v>
      </c>
      <c r="F17" s="42">
        <v>7</v>
      </c>
      <c r="G17" s="41" t="s">
        <v>243</v>
      </c>
      <c r="H17" s="42" t="s">
        <v>70</v>
      </c>
      <c r="I17" s="42" t="s">
        <v>208</v>
      </c>
      <c r="J17" s="42" t="s">
        <v>122</v>
      </c>
      <c r="K17" s="74"/>
      <c r="L17" s="42" t="s">
        <v>51</v>
      </c>
      <c r="M17" s="42" t="s">
        <v>60</v>
      </c>
      <c r="N17" s="42">
        <v>7656</v>
      </c>
      <c r="O17" s="42" t="s">
        <v>79</v>
      </c>
      <c r="P17" s="74"/>
      <c r="Q17" s="42">
        <v>7</v>
      </c>
      <c r="R17" s="42">
        <v>7352</v>
      </c>
      <c r="S17" s="42">
        <v>7334</v>
      </c>
      <c r="T17" s="42" t="s">
        <v>267</v>
      </c>
      <c r="V17" s="47" t="s">
        <v>148</v>
      </c>
      <c r="W17" s="74"/>
    </row>
    <row r="18" spans="1:23" x14ac:dyDescent="0.3">
      <c r="A18" s="52" t="s">
        <v>323</v>
      </c>
      <c r="B18" s="42">
        <v>7060</v>
      </c>
      <c r="C18" s="53"/>
      <c r="D18" s="43"/>
      <c r="E18" s="42" t="s">
        <v>305</v>
      </c>
      <c r="F18" s="42">
        <v>7.375</v>
      </c>
      <c r="G18" s="41" t="s">
        <v>243</v>
      </c>
      <c r="H18" s="42" t="s">
        <v>138</v>
      </c>
      <c r="I18" s="41" t="s">
        <v>77</v>
      </c>
      <c r="J18" s="42" t="s">
        <v>210</v>
      </c>
      <c r="K18" s="74"/>
      <c r="L18" s="42" t="s">
        <v>51</v>
      </c>
      <c r="M18" s="42" t="s">
        <v>105</v>
      </c>
      <c r="N18" s="43"/>
      <c r="O18" s="42" t="s">
        <v>79</v>
      </c>
      <c r="P18" s="74"/>
      <c r="Q18" s="42">
        <v>7.375</v>
      </c>
      <c r="R18" s="43"/>
      <c r="S18" s="42">
        <v>7046</v>
      </c>
      <c r="T18" s="43"/>
      <c r="V18" s="47" t="s">
        <v>302</v>
      </c>
      <c r="W18" s="74"/>
    </row>
    <row r="19" spans="1:23" x14ac:dyDescent="0.3">
      <c r="A19" s="52" t="s">
        <v>324</v>
      </c>
      <c r="B19" s="41">
        <v>6738</v>
      </c>
      <c r="C19" s="53"/>
      <c r="D19" s="43"/>
      <c r="E19" s="43"/>
      <c r="F19" s="43"/>
      <c r="G19" s="43"/>
      <c r="H19" s="43"/>
      <c r="I19" s="43"/>
      <c r="J19" s="43"/>
      <c r="K19" s="74"/>
      <c r="L19" s="43"/>
      <c r="M19" s="43"/>
      <c r="N19" s="43"/>
      <c r="O19" s="43"/>
      <c r="P19" s="74"/>
      <c r="Q19" s="43"/>
      <c r="R19" s="43"/>
      <c r="S19" s="43"/>
      <c r="T19" s="43"/>
      <c r="V19" s="47" t="s">
        <v>307</v>
      </c>
      <c r="W19" s="74"/>
    </row>
    <row r="20" spans="1:23" x14ac:dyDescent="0.3">
      <c r="A20" s="52" t="s">
        <v>325</v>
      </c>
      <c r="B20" s="42">
        <v>7050</v>
      </c>
      <c r="C20" s="42" t="s">
        <v>313</v>
      </c>
      <c r="D20" s="42" t="s">
        <v>58</v>
      </c>
      <c r="E20" s="42">
        <v>7060</v>
      </c>
      <c r="F20" s="42">
        <v>7.625</v>
      </c>
      <c r="G20" s="42" t="s">
        <v>62</v>
      </c>
      <c r="H20" s="42" t="s">
        <v>138</v>
      </c>
      <c r="I20" s="42" t="s">
        <v>60</v>
      </c>
      <c r="J20" s="42" t="s">
        <v>316</v>
      </c>
      <c r="K20" s="74"/>
      <c r="L20" s="42" t="s">
        <v>51</v>
      </c>
      <c r="M20" s="42" t="s">
        <v>58</v>
      </c>
      <c r="N20" s="43"/>
      <c r="O20" s="42" t="s">
        <v>158</v>
      </c>
      <c r="P20" s="74"/>
      <c r="Q20" s="42">
        <v>7.625</v>
      </c>
      <c r="R20" s="42">
        <v>7052</v>
      </c>
      <c r="S20" s="42">
        <v>6742</v>
      </c>
      <c r="T20" s="42" t="s">
        <v>98</v>
      </c>
      <c r="V20" s="47" t="s">
        <v>127</v>
      </c>
      <c r="W20" s="74"/>
    </row>
  </sheetData>
  <mergeCells count="1">
    <mergeCell ref="D1:E1"/>
  </mergeCells>
  <hyperlinks>
    <hyperlink ref="A1" location="Menu!A1" display="Back to Menu" xr:uid="{2F36453C-1B65-4911-A569-6D05EA005156}"/>
    <hyperlink ref="A3" location="Mia_Wilson_795DB783!A1" display="Wilson, Mia" xr:uid="{3BCE7F71-72CE-481B-A871-BA65C32260B4}"/>
    <hyperlink ref="A4" location="aaaa_aaa_F3E668A6!A1" display="aaa, aaaa" xr:uid="{56027653-6795-427A-8B1D-0182014E68B7}"/>
    <hyperlink ref="A5" location="Quinn_Anderson_BF947EB3!A1" display="Anderson, Quinn" xr:uid="{14E2B40D-6954-4B80-9BAF-41673C958BA5}"/>
    <hyperlink ref="A6" location="Liam_Miller_A33FCEBC!A1" display="Miller, Liam" xr:uid="{887429E8-8387-48EF-B70B-744019512DC7}"/>
    <hyperlink ref="A7" location="Yvonne_Martinez_66AC1C8F!A1" display="Martinez, Yvonne" xr:uid="{141BE223-6590-4C06-A715-275EC268CBAD}"/>
    <hyperlink ref="A8" location="Bob_Robinson_A77A6DA5!A1" display="Robinson, Bob" xr:uid="{8EDA8708-59AD-443F-8343-94F848C6EC3A}"/>
    <hyperlink ref="A9" location="Olivia_Taylor_637855B0!A1" display="Taylor, Olivia" xr:uid="{1CB96EFA-81CC-42AB-8566-C58A4EE9FE82}"/>
    <hyperlink ref="A10" location="Grace_Williams_5893D18F!A1" display="Williams, Grace" xr:uid="{7901932F-3781-4F5D-B63D-02001E5BE4EF}"/>
    <hyperlink ref="A11" location="Liam_Brown_4CDA1BB2!A1" display="Brown, Liam" xr:uid="{940DD346-E9A3-41DB-8EF2-CC5BBC73CEFD}"/>
    <hyperlink ref="A12" location="Henry_Taylor_36CEACB3!A1" display="Taylor, Henry" xr:uid="{F4A64B00-7E62-4550-ADD3-B38971FC6C04}"/>
    <hyperlink ref="A13" location="Peter_Anderson_CA66BD9B!A1" display="Anderson, Peter" xr:uid="{4DEBEAFF-F7ED-46AA-86EC-0DA76B239428}"/>
    <hyperlink ref="A14" location="Taylor_Harris_8659C0B1!A1" display="Harris, Taylor" xr:uid="{23B2CC7D-2B6A-4308-A658-B0A83B19286F}"/>
    <hyperlink ref="A15" location="David_Lee_2F5AAE8D!A1" display="Lee, David" xr:uid="{C13B36C5-7423-4402-858B-BBE1D938A663}"/>
    <hyperlink ref="A16" location="Quinn_Anderson_B8B3A5AF!A1" display="Anderson, Quinn" xr:uid="{3D1000E1-1F57-47E5-BAEA-C22C41FA6B4B}"/>
    <hyperlink ref="A17" location="Xavier_Martinez_D413A2B4!A1" display="Martinez, Xavier" xr:uid="{50297ADE-C473-4AB8-A849-D20AF6309141}"/>
    <hyperlink ref="A18" location="Rachel_Jackson_357ABDAE!A1" display="Jackson, Rachel" xr:uid="{4FEE6E95-ECCD-45AC-BA3F-4A71981921C8}"/>
    <hyperlink ref="A19" location="Charlie_Lewis_64D94E93!A1" display="Lewis, Charlie" xr:uid="{7E8471F9-5CA5-4D19-8A52-0CC609FAEF56}"/>
    <hyperlink ref="A20" location="Mia_Miller_62E6408F!A1" display="Miller, Mia" xr:uid="{6389B050-ED57-4832-BF00-FDF8E1907BC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214" r:id="rId3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15" r:id="rId4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16" r:id="rId5" name="Toggle4">
              <controlPr defaultSize="0" print="0" autoFill="0" autoPict="0" macro="[0]!'togglePersonAsComplete 5'">
                <anchor moveWithCells="1" siz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17" r:id="rId6" name="Toggle5">
              <controlPr defaultSize="0" print="0" autoFill="0" autoPict="0" macro="[0]!'togglePersonAsComplete 6'">
                <anchor moveWithCells="1" sizeWithCells="1">
                  <from>
                    <xdr:col>22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18" r:id="rId7" name="Toggle6">
              <controlPr defaultSize="0" print="0" autoFill="0" autoPict="0" macro="[0]!'togglePersonAsComplete 7'">
                <anchor moveWithCells="1" sizeWithCells="1">
                  <from>
                    <xdr:col>22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19" r:id="rId8" name="Toggle7">
              <controlPr defaultSize="0" print="0" autoFill="0" autoPict="0" macro="[0]!'togglePersonAsComplete 8'">
                <anchor moveWithCells="1" sizeWithCells="1">
                  <from>
                    <xdr:col>22</xdr:col>
                    <xdr:colOff>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0" r:id="rId9" name="Toggle8">
              <controlPr defaultSize="0" print="0" autoFill="0" autoPict="0" macro="[0]!'togglePersonAsComplete 9'">
                <anchor moveWithCells="1" siz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1" r:id="rId10" name="Toggle9">
              <controlPr defaultSize="0" print="0" autoFill="0" autoPict="0" macro="[0]!'togglePersonAsComplete 10'">
                <anchor moveWithCells="1" sizeWithCells="1">
                  <from>
                    <xdr:col>22</xdr:col>
                    <xdr:colOff>0</xdr:colOff>
                    <xdr:row>9</xdr:row>
                    <xdr:rowOff>0</xdr:rowOff>
                  </from>
                  <to>
                    <xdr:col>23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2" r:id="rId11" name="Toggle10">
              <controlPr defaultSize="0" print="0" autoFill="0" autoPict="0" macro="[0]!'togglePersonAsComplete 11'">
                <anchor moveWithCells="1" sizeWithCells="1">
                  <from>
                    <xdr:col>22</xdr:col>
                    <xdr:colOff>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3" r:id="rId12" name="Toggle11">
              <controlPr defaultSize="0" print="0" autoFill="0" autoPict="0" macro="[0]!'togglePersonAsComplete 12'">
                <anchor moveWithCells="1" sizeWithCells="1">
                  <from>
                    <xdr:col>22</xdr:col>
                    <xdr:colOff>0</xdr:colOff>
                    <xdr:row>11</xdr:row>
                    <xdr:rowOff>0</xdr:rowOff>
                  </from>
                  <to>
                    <xdr:col>23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4" r:id="rId13" name="Toggle12">
              <controlPr defaultSize="0" print="0" autoFill="0" autoPict="0" macro="[0]!'togglePersonAsComplete 13'">
                <anchor moveWithCells="1" sizeWithCells="1">
                  <from>
                    <xdr:col>22</xdr:col>
                    <xdr:colOff>0</xdr:colOff>
                    <xdr:row>12</xdr:row>
                    <xdr:rowOff>0</xdr:rowOff>
                  </from>
                  <to>
                    <xdr:col>23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5" r:id="rId14" name="Toggle13">
              <controlPr defaultSize="0" print="0" autoFill="0" autoPict="0" macro="[0]!'togglePersonAsComplete 14'">
                <anchor moveWithCells="1" sizeWithCells="1">
                  <from>
                    <xdr:col>22</xdr:col>
                    <xdr:colOff>0</xdr:colOff>
                    <xdr:row>13</xdr:row>
                    <xdr:rowOff>0</xdr:rowOff>
                  </from>
                  <to>
                    <xdr:col>23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6" r:id="rId15" name="Toggle14">
              <controlPr defaultSize="0" print="0" autoFill="0" autoPict="0" macro="[0]!'togglePersonAsComplete 15'">
                <anchor moveWithCells="1" sizeWithCells="1">
                  <from>
                    <xdr:col>22</xdr:col>
                    <xdr:colOff>0</xdr:colOff>
                    <xdr:row>14</xdr:row>
                    <xdr:rowOff>0</xdr:rowOff>
                  </from>
                  <to>
                    <xdr:col>23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7" r:id="rId16" name="Toggle15">
              <controlPr defaultSize="0" print="0" autoFill="0" autoPict="0" macro="[0]!'togglePersonAsComplete 16'">
                <anchor moveWithCells="1" sizeWithCells="1">
                  <from>
                    <xdr:col>22</xdr:col>
                    <xdr:colOff>0</xdr:colOff>
                    <xdr:row>15</xdr:row>
                    <xdr:rowOff>0</xdr:rowOff>
                  </from>
                  <to>
                    <xdr:col>23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8" r:id="rId17" name="Toggle16">
              <controlPr defaultSize="0" print="0" autoFill="0" autoPict="0" macro="[0]!'togglePersonAsComplete 17'">
                <anchor moveWithCells="1" sizeWithCells="1">
                  <from>
                    <xdr:col>22</xdr:col>
                    <xdr:colOff>0</xdr:colOff>
                    <xdr:row>16</xdr:row>
                    <xdr:rowOff>0</xdr:rowOff>
                  </from>
                  <to>
                    <xdr:col>23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9" r:id="rId18" name="Toggle17">
              <controlPr defaultSize="0" print="0" autoFill="0" autoPict="0" macro="[0]!'togglePersonAsComplete 18'">
                <anchor moveWithCells="1" sizeWithCells="1">
                  <from>
                    <xdr:col>22</xdr:col>
                    <xdr:colOff>0</xdr:colOff>
                    <xdr:row>17</xdr:row>
                    <xdr:rowOff>0</xdr:rowOff>
                  </from>
                  <to>
                    <xdr:col>23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30" r:id="rId19" name="Toggle18">
              <controlPr defaultSize="0" print="0" autoFill="0" autoPict="0" macro="[0]!'togglePersonAsComplete 19'">
                <anchor moveWithCells="1" sizeWithCells="1">
                  <from>
                    <xdr:col>22</xdr:col>
                    <xdr:colOff>0</xdr:colOff>
                    <xdr:row>18</xdr:row>
                    <xdr:rowOff>0</xdr:rowOff>
                  </from>
                  <to>
                    <xdr:col>23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31" r:id="rId20" name="Toggle19">
              <controlPr defaultSize="0" print="0" autoFill="0" autoPict="0" macro="[0]!'togglePersonAsComplete 20'">
                <anchor moveWithCells="1" sizeWithCells="1">
                  <from>
                    <xdr:col>22</xdr:col>
                    <xdr:colOff>0</xdr:colOff>
                    <xdr:row>19</xdr:row>
                    <xdr:rowOff>0</xdr:rowOff>
                  </from>
                  <to>
                    <xdr:col>23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D42BA-C064-4EC6-A94F-79B86C5C4A1F}">
  <sheetPr codeName="Sheet5"/>
  <dimension ref="A1:L39"/>
  <sheetViews>
    <sheetView workbookViewId="0">
      <selection activeCell="J30" sqref="A1:J30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82</v>
      </c>
      <c r="D2" s="62"/>
      <c r="E2" s="62" t="s">
        <v>83</v>
      </c>
      <c r="F2" s="62"/>
      <c r="G2" s="1" t="s">
        <v>84</v>
      </c>
      <c r="K2" s="4" t="s">
        <v>9</v>
      </c>
      <c r="L2" s="4">
        <v>22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17.3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51</v>
      </c>
    </row>
    <row r="6" spans="1:12" x14ac:dyDescent="0.3">
      <c r="A6" s="3" t="s">
        <v>131</v>
      </c>
      <c r="B6" s="61" t="s">
        <v>18</v>
      </c>
      <c r="C6" s="61"/>
      <c r="D6" s="61"/>
      <c r="E6" s="4">
        <v>6732</v>
      </c>
      <c r="F6" s="4">
        <v>1</v>
      </c>
      <c r="G6" s="25" t="s">
        <v>183</v>
      </c>
      <c r="H6" s="28" t="str">
        <f>HYPERLINK("#G6",CHAR(128))</f>
        <v>€</v>
      </c>
      <c r="K6" s="4" t="s">
        <v>14</v>
      </c>
      <c r="L6" s="4">
        <v>36.5</v>
      </c>
    </row>
    <row r="7" spans="1:12" x14ac:dyDescent="0.3">
      <c r="A7" s="2" t="s">
        <v>85</v>
      </c>
      <c r="B7" s="62" t="s">
        <v>21</v>
      </c>
      <c r="C7" s="62"/>
      <c r="D7" s="62"/>
      <c r="E7" s="1">
        <v>18</v>
      </c>
      <c r="F7" s="16">
        <v>1</v>
      </c>
      <c r="G7" s="25" t="s">
        <v>187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87</v>
      </c>
      <c r="B8" s="61" t="s">
        <v>19</v>
      </c>
      <c r="C8" s="61"/>
      <c r="D8" s="61"/>
      <c r="E8" s="4" t="s">
        <v>86</v>
      </c>
      <c r="F8" s="4">
        <v>1</v>
      </c>
      <c r="G8" s="25" t="s">
        <v>183</v>
      </c>
      <c r="H8" s="28" t="str">
        <f>HYPERLINK("#G8",CHAR(128))</f>
        <v>€</v>
      </c>
      <c r="K8" s="4" t="s">
        <v>16</v>
      </c>
      <c r="L8" s="4">
        <v>248.5</v>
      </c>
    </row>
    <row r="9" spans="1:12" x14ac:dyDescent="0.3">
      <c r="A9" s="2" t="s">
        <v>88</v>
      </c>
      <c r="B9" s="62" t="s">
        <v>20</v>
      </c>
      <c r="C9" s="62"/>
      <c r="D9" s="62"/>
      <c r="E9" s="1">
        <v>7652</v>
      </c>
      <c r="F9" s="16">
        <v>1</v>
      </c>
      <c r="G9" s="25" t="s">
        <v>183</v>
      </c>
      <c r="H9" s="28" t="str">
        <f>HYPERLINK("#G9",CHAR(128))</f>
        <v>€</v>
      </c>
      <c r="I9" s="11"/>
      <c r="K9" s="1" t="s">
        <v>17</v>
      </c>
      <c r="L9" s="1">
        <v>90.1</v>
      </c>
    </row>
    <row r="10" spans="1:12" x14ac:dyDescent="0.3">
      <c r="A10" s="3"/>
      <c r="B10" s="61" t="s">
        <v>24</v>
      </c>
      <c r="C10" s="61"/>
      <c r="D10" s="61"/>
      <c r="E10" s="8">
        <v>7.5</v>
      </c>
      <c r="F10" s="4">
        <v>1</v>
      </c>
      <c r="G10" s="25" t="s">
        <v>183</v>
      </c>
      <c r="H10" s="28" t="str">
        <f>HYPERLINK("#G10",CHAR(128))</f>
        <v>€</v>
      </c>
      <c r="K10" s="15" t="s">
        <v>47</v>
      </c>
      <c r="L10" s="15">
        <v>9.3000000000000007</v>
      </c>
    </row>
    <row r="11" spans="1:12" x14ac:dyDescent="0.3">
      <c r="A11" s="2" t="s">
        <v>90</v>
      </c>
      <c r="B11" s="62" t="s">
        <v>23</v>
      </c>
      <c r="C11" s="62"/>
      <c r="D11" s="62"/>
      <c r="E11" s="1" t="s">
        <v>89</v>
      </c>
      <c r="F11" s="16">
        <v>1</v>
      </c>
      <c r="G11" s="25" t="s">
        <v>183</v>
      </c>
      <c r="H11" s="28" t="str">
        <f>HYPERLINK("#G11",CHAR(128))</f>
        <v>€</v>
      </c>
    </row>
    <row r="12" spans="1:12" x14ac:dyDescent="0.3">
      <c r="A12" s="5" t="s">
        <v>59</v>
      </c>
      <c r="B12" s="61" t="s">
        <v>25</v>
      </c>
      <c r="C12" s="61"/>
      <c r="D12" s="61"/>
      <c r="E12" s="4" t="s">
        <v>58</v>
      </c>
      <c r="F12" s="4">
        <v>1</v>
      </c>
      <c r="G12" s="25" t="s">
        <v>183</v>
      </c>
      <c r="H12" s="28" t="str">
        <f>HYPERLINK("#G12",CHAR(128))</f>
        <v>€</v>
      </c>
    </row>
    <row r="13" spans="1:12" x14ac:dyDescent="0.3">
      <c r="A13" s="2" t="s">
        <v>91</v>
      </c>
      <c r="B13" s="62" t="s">
        <v>26</v>
      </c>
      <c r="C13" s="62"/>
      <c r="D13" s="62"/>
      <c r="E13" s="1" t="s">
        <v>115</v>
      </c>
      <c r="F13" s="16">
        <v>1</v>
      </c>
      <c r="G13" s="25" t="s">
        <v>183</v>
      </c>
      <c r="H13" s="28" t="str">
        <f>HYPERLINK("#G13",CHAR(128))</f>
        <v>€</v>
      </c>
    </row>
    <row r="14" spans="1:12" x14ac:dyDescent="0.3">
      <c r="A14" s="5" t="s">
        <v>93</v>
      </c>
      <c r="B14" s="61" t="s">
        <v>27</v>
      </c>
      <c r="C14" s="61"/>
      <c r="D14" s="61"/>
      <c r="E14" s="4" t="s">
        <v>92</v>
      </c>
      <c r="F14" s="4">
        <v>1</v>
      </c>
      <c r="G14" s="25" t="s">
        <v>183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25" t="s">
        <v>183</v>
      </c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183</v>
      </c>
      <c r="H16" s="23" t="str">
        <f>HYPERLINK("#G16",CHAR(128))</f>
        <v>€</v>
      </c>
    </row>
    <row r="17" spans="1:10" x14ac:dyDescent="0.3">
      <c r="A17" s="2" t="s">
        <v>75</v>
      </c>
      <c r="B17" s="62" t="s">
        <v>22</v>
      </c>
      <c r="C17" s="62"/>
      <c r="D17" s="62"/>
      <c r="E17" s="1" t="s">
        <v>74</v>
      </c>
      <c r="F17" s="16">
        <v>1</v>
      </c>
      <c r="G17" s="25" t="s">
        <v>183</v>
      </c>
      <c r="H17" s="23" t="str">
        <f>HYPERLINK("#G17",CHAR(128))</f>
        <v>€</v>
      </c>
    </row>
    <row r="18" spans="1:10" x14ac:dyDescent="0.3">
      <c r="A18" s="5" t="s">
        <v>94</v>
      </c>
      <c r="B18" s="61" t="s">
        <v>29</v>
      </c>
      <c r="C18" s="61"/>
      <c r="D18" s="61"/>
      <c r="E18" s="4">
        <v>7656</v>
      </c>
      <c r="F18" s="4">
        <v>1</v>
      </c>
      <c r="G18" s="25" t="s">
        <v>183</v>
      </c>
      <c r="H18" s="23" t="str">
        <f>HYPERLINK("#G18",CHAR(128))</f>
        <v>€</v>
      </c>
    </row>
    <row r="19" spans="1:10" x14ac:dyDescent="0.3">
      <c r="A19" s="2" t="s">
        <v>96</v>
      </c>
      <c r="B19" s="62" t="s">
        <v>30</v>
      </c>
      <c r="C19" s="62"/>
      <c r="D19" s="62"/>
      <c r="E19" s="1" t="s">
        <v>95</v>
      </c>
      <c r="F19" s="16">
        <v>1</v>
      </c>
      <c r="G19" s="25" t="s">
        <v>183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25" t="s">
        <v>183</v>
      </c>
      <c r="H20" s="14"/>
    </row>
    <row r="21" spans="1:10" x14ac:dyDescent="0.3">
      <c r="A21" s="2" t="s">
        <v>125</v>
      </c>
      <c r="B21" s="62" t="s">
        <v>33</v>
      </c>
      <c r="C21" s="62"/>
      <c r="D21" s="62"/>
      <c r="E21" s="9">
        <v>7</v>
      </c>
      <c r="F21" s="16">
        <v>1</v>
      </c>
      <c r="G21" s="25" t="s">
        <v>183</v>
      </c>
      <c r="H21" s="23" t="str">
        <f>HYPERLINK("#G21",CHAR(128))</f>
        <v>€</v>
      </c>
    </row>
    <row r="22" spans="1:10" x14ac:dyDescent="0.3">
      <c r="A22" s="5" t="s">
        <v>97</v>
      </c>
      <c r="B22" s="61" t="s">
        <v>31</v>
      </c>
      <c r="C22" s="61"/>
      <c r="D22" s="61"/>
      <c r="E22" s="4">
        <v>7652</v>
      </c>
      <c r="F22" s="4">
        <v>1</v>
      </c>
      <c r="G22" s="25" t="s">
        <v>183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>
        <v>7047</v>
      </c>
      <c r="F23" s="16">
        <v>1</v>
      </c>
      <c r="G23" s="25" t="s">
        <v>183</v>
      </c>
      <c r="H23" s="22" t="str">
        <f>HYPERLINK("#G23",CHAR(128))</f>
        <v>€</v>
      </c>
    </row>
    <row r="24" spans="1:10" x14ac:dyDescent="0.3">
      <c r="A24" s="5" t="s">
        <v>99</v>
      </c>
      <c r="B24" s="61" t="s">
        <v>32</v>
      </c>
      <c r="C24" s="61"/>
      <c r="D24" s="61"/>
      <c r="E24" s="4" t="s">
        <v>98</v>
      </c>
      <c r="F24" s="4">
        <v>1</v>
      </c>
      <c r="G24" s="25" t="s">
        <v>183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25" t="s">
        <v>76</v>
      </c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Wilson</v>
      </c>
      <c r="F26" s="4">
        <v>1</v>
      </c>
      <c r="G26" s="25" t="s">
        <v>76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s="40" t="s">
        <v>67</v>
      </c>
      <c r="D37" t="s">
        <v>69</v>
      </c>
    </row>
    <row r="38" spans="1:8" x14ac:dyDescent="0.3">
      <c r="A38" s="36">
        <v>45290</v>
      </c>
      <c r="B38" t="s">
        <v>33</v>
      </c>
      <c r="C38" s="40" t="s">
        <v>145</v>
      </c>
      <c r="D38">
        <v>7</v>
      </c>
    </row>
    <row r="39" spans="1:8" x14ac:dyDescent="0.3">
      <c r="A39" s="36">
        <v>45290</v>
      </c>
      <c r="B39" t="s">
        <v>18</v>
      </c>
      <c r="C39">
        <v>8052</v>
      </c>
      <c r="D39">
        <v>6732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70" priority="2" operator="equal">
      <formula>"Returned"</formula>
    </cfRule>
    <cfRule type="cellIs" dxfId="169" priority="5" operator="equal">
      <formula>"Ready To Order"</formula>
    </cfRule>
    <cfRule type="cellIs" dxfId="168" priority="6" operator="equal">
      <formula>"UNP"</formula>
    </cfRule>
    <cfRule type="containsText" dxfId="167" priority="7" operator="containsText" text="Ordered">
      <formula>NOT(ISERROR(SEARCH("Ordered",G6)))</formula>
    </cfRule>
    <cfRule type="containsText" dxfId="166" priority="8" operator="containsText" text="Pick Up">
      <formula>NOT(ISERROR(SEARCH("Pick Up",G6)))</formula>
    </cfRule>
    <cfRule type="containsText" dxfId="165" priority="9" operator="containsText" text="Complete">
      <formula>NOT(ISERROR(SEARCH("Complete",G6)))</formula>
    </cfRule>
  </conditionalFormatting>
  <conditionalFormatting sqref="G30:G33">
    <cfRule type="containsText" dxfId="164" priority="4" operator="containsText" text="Given">
      <formula>NOT(ISERROR(SEARCH("Given",G30)))</formula>
    </cfRule>
  </conditionalFormatting>
  <conditionalFormatting sqref="G30:G34">
    <cfRule type="containsText" dxfId="163" priority="3" operator="containsText" text="Returned">
      <formula>NOT(ISERROR(SEARCH("Returned",G30)))</formula>
    </cfRule>
  </conditionalFormatting>
  <conditionalFormatting sqref="G6:G26">
    <cfRule type="cellIs" dxfId="162" priority="1" operator="equal">
      <formula>"In Stock"</formula>
    </cfRule>
  </conditionalFormatting>
  <dataValidations count="3">
    <dataValidation type="list" allowBlank="1" showInputMessage="1" showErrorMessage="1" sqref="G30:G34" xr:uid="{2B62E819-9219-41C3-996B-3F5786D06890}">
      <formula1>"--,Returned, Given"</formula1>
    </dataValidation>
    <dataValidation type="list" allowBlank="1" showInputMessage="1" showErrorMessage="1" sqref="G6:G26" xr:uid="{EADC0533-6E83-4F85-93C6-C6AB50BB6941}">
      <formula1>"UNP, Ready To Order, Ordered, In Stock, Pick Up, Complete, Returned"</formula1>
    </dataValidation>
    <dataValidation type="decimal" allowBlank="1" showInputMessage="1" showErrorMessage="1" sqref="L2" xr:uid="{6BFEC26B-DDB7-4B3F-8284-034BAF44735D}">
      <formula1>19</formula1>
      <formula2>26</formula2>
    </dataValidation>
  </dataValidations>
  <hyperlinks>
    <hyperlink ref="A1:A2" location="Menu!A1" display="Back to Menu" xr:uid="{9104947B-DA43-4337-B6D1-AD4616C6D6D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7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0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8D5F7-0485-43E4-B39C-F180B3C340E0}">
  <sheetPr codeName="Sheet6"/>
  <dimension ref="A1:L38"/>
  <sheetViews>
    <sheetView workbookViewId="0">
      <selection sqref="A1:A2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100</v>
      </c>
      <c r="C2" s="62" t="s">
        <v>101</v>
      </c>
      <c r="D2" s="62"/>
      <c r="E2" s="62" t="s">
        <v>102</v>
      </c>
      <c r="F2" s="62"/>
      <c r="G2" s="1" t="s">
        <v>103</v>
      </c>
      <c r="K2" s="4" t="s">
        <v>9</v>
      </c>
      <c r="L2" s="4"/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/>
    </row>
    <row r="4" spans="1:12" x14ac:dyDescent="0.3">
      <c r="A4" s="1" t="s">
        <v>39</v>
      </c>
      <c r="B4" s="73"/>
      <c r="C4" s="73"/>
      <c r="D4" s="73"/>
      <c r="E4" s="62"/>
      <c r="F4" s="62"/>
      <c r="G4" s="1" t="s">
        <v>44</v>
      </c>
      <c r="K4" s="4" t="s">
        <v>12</v>
      </c>
      <c r="L4" s="4">
        <v>40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 t="s">
        <v>104</v>
      </c>
      <c r="B6" s="61" t="s">
        <v>18</v>
      </c>
      <c r="C6" s="61"/>
      <c r="D6" s="61"/>
      <c r="E6" s="4">
        <v>6140</v>
      </c>
      <c r="F6" s="4">
        <v>1</v>
      </c>
      <c r="G6" s="25" t="s">
        <v>76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62" t="s">
        <v>21</v>
      </c>
      <c r="C7" s="62"/>
      <c r="D7" s="62"/>
      <c r="E7" s="1" t="s">
        <v>106</v>
      </c>
      <c r="F7" s="16">
        <v>1</v>
      </c>
      <c r="G7" s="25" t="s">
        <v>183</v>
      </c>
      <c r="H7" s="28" t="str">
        <f>HYPERLINK("#G7",CHAR(128))</f>
        <v>€</v>
      </c>
      <c r="K7" s="1" t="s">
        <v>15</v>
      </c>
      <c r="L7" s="1">
        <v>60</v>
      </c>
    </row>
    <row r="8" spans="1:12" x14ac:dyDescent="0.3">
      <c r="A8" s="3"/>
      <c r="B8" s="61" t="s">
        <v>19</v>
      </c>
      <c r="C8" s="61"/>
      <c r="D8" s="61"/>
      <c r="E8" s="4" t="s">
        <v>106</v>
      </c>
      <c r="F8" s="4">
        <v>1</v>
      </c>
      <c r="G8" s="25" t="s">
        <v>183</v>
      </c>
      <c r="H8" s="28" t="str">
        <f>HYPERLINK("#G8",CHAR(128))</f>
        <v>€</v>
      </c>
      <c r="K8" s="4" t="s">
        <v>16</v>
      </c>
      <c r="L8" s="4"/>
    </row>
    <row r="9" spans="1:12" x14ac:dyDescent="0.3">
      <c r="A9" s="2"/>
      <c r="B9" s="62" t="s">
        <v>20</v>
      </c>
      <c r="C9" s="62"/>
      <c r="D9" s="62"/>
      <c r="E9" s="1" t="s">
        <v>106</v>
      </c>
      <c r="F9" s="16">
        <v>1</v>
      </c>
      <c r="G9" s="25" t="s">
        <v>183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3">
      <c r="A10" s="3"/>
      <c r="B10" s="61" t="s">
        <v>24</v>
      </c>
      <c r="C10" s="61"/>
      <c r="D10" s="61"/>
      <c r="E10" s="8" t="s">
        <v>106</v>
      </c>
      <c r="F10" s="4">
        <v>1</v>
      </c>
      <c r="G10" s="25" t="s">
        <v>183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62" t="s">
        <v>23</v>
      </c>
      <c r="C11" s="62"/>
      <c r="D11" s="62"/>
      <c r="E11" s="1" t="s">
        <v>106</v>
      </c>
      <c r="F11" s="16">
        <v>1</v>
      </c>
      <c r="G11" s="25" t="s">
        <v>183</v>
      </c>
      <c r="H11" s="28" t="str">
        <f>HYPERLINK("#G11",CHAR(128))</f>
        <v>€</v>
      </c>
    </row>
    <row r="12" spans="1:12" x14ac:dyDescent="0.3">
      <c r="A12" s="5"/>
      <c r="B12" s="61" t="s">
        <v>25</v>
      </c>
      <c r="C12" s="61"/>
      <c r="D12" s="61"/>
      <c r="E12" s="4" t="s">
        <v>106</v>
      </c>
      <c r="F12" s="4">
        <v>1</v>
      </c>
      <c r="G12" s="25" t="s">
        <v>183</v>
      </c>
      <c r="H12" s="28" t="str">
        <f>HYPERLINK("#G12",CHAR(128))</f>
        <v>€</v>
      </c>
    </row>
    <row r="13" spans="1:12" x14ac:dyDescent="0.3">
      <c r="A13" s="2"/>
      <c r="B13" s="62" t="s">
        <v>26</v>
      </c>
      <c r="C13" s="62"/>
      <c r="D13" s="62"/>
      <c r="E13" s="1" t="s">
        <v>106</v>
      </c>
      <c r="F13" s="16">
        <v>1</v>
      </c>
      <c r="G13" s="25" t="s">
        <v>183</v>
      </c>
      <c r="H13" s="28" t="str">
        <f>HYPERLINK("#G13",CHAR(128))</f>
        <v>€</v>
      </c>
    </row>
    <row r="14" spans="1:12" x14ac:dyDescent="0.3">
      <c r="A14" s="5"/>
      <c r="B14" s="61" t="s">
        <v>27</v>
      </c>
      <c r="C14" s="61"/>
      <c r="D14" s="61"/>
      <c r="E14" s="4" t="s">
        <v>106</v>
      </c>
      <c r="F14" s="4">
        <v>1</v>
      </c>
      <c r="G14" s="25" t="s">
        <v>183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 t="s">
        <v>106</v>
      </c>
      <c r="F15" s="16"/>
      <c r="G15" s="25" t="s">
        <v>183</v>
      </c>
      <c r="H15" s="14"/>
    </row>
    <row r="16" spans="1:12" x14ac:dyDescent="0.3">
      <c r="A16" s="5"/>
      <c r="B16" s="61" t="s">
        <v>28</v>
      </c>
      <c r="C16" s="61"/>
      <c r="D16" s="61"/>
      <c r="E16" s="4" t="s">
        <v>106</v>
      </c>
      <c r="F16" s="4">
        <v>1</v>
      </c>
      <c r="G16" s="25" t="s">
        <v>183</v>
      </c>
      <c r="H16" s="23" t="str">
        <f>HYPERLINK("#G16",CHAR(128))</f>
        <v>€</v>
      </c>
    </row>
    <row r="17" spans="1:10" x14ac:dyDescent="0.3">
      <c r="A17" s="2"/>
      <c r="B17" s="62" t="s">
        <v>22</v>
      </c>
      <c r="C17" s="62"/>
      <c r="D17" s="62"/>
      <c r="E17" s="1" t="s">
        <v>106</v>
      </c>
      <c r="F17" s="16">
        <v>1</v>
      </c>
      <c r="G17" s="25" t="s">
        <v>183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 t="s">
        <v>106</v>
      </c>
      <c r="F18" s="4">
        <v>1</v>
      </c>
      <c r="G18" s="25" t="s">
        <v>183</v>
      </c>
      <c r="H18" s="23" t="str">
        <f>HYPERLINK("#G18",CHAR(128))</f>
        <v>€</v>
      </c>
    </row>
    <row r="19" spans="1:10" x14ac:dyDescent="0.3">
      <c r="A19" s="2"/>
      <c r="B19" s="62" t="s">
        <v>30</v>
      </c>
      <c r="C19" s="62"/>
      <c r="D19" s="62"/>
      <c r="E19" s="1" t="s">
        <v>106</v>
      </c>
      <c r="F19" s="16">
        <v>1</v>
      </c>
      <c r="G19" s="25" t="s">
        <v>183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 t="s">
        <v>106</v>
      </c>
      <c r="F20" s="4"/>
      <c r="G20" s="25" t="s">
        <v>183</v>
      </c>
      <c r="H20" s="14"/>
    </row>
    <row r="21" spans="1:10" x14ac:dyDescent="0.3">
      <c r="A21" s="2"/>
      <c r="B21" s="62" t="s">
        <v>33</v>
      </c>
      <c r="C21" s="62"/>
      <c r="D21" s="62"/>
      <c r="E21" s="9" t="s">
        <v>106</v>
      </c>
      <c r="F21" s="16">
        <v>1</v>
      </c>
      <c r="G21" s="25" t="s">
        <v>183</v>
      </c>
      <c r="H21" s="23" t="str">
        <f>HYPERLINK("#G21",CHAR(128))</f>
        <v>€</v>
      </c>
    </row>
    <row r="22" spans="1:10" x14ac:dyDescent="0.3">
      <c r="A22" s="5"/>
      <c r="B22" s="61" t="s">
        <v>31</v>
      </c>
      <c r="C22" s="61"/>
      <c r="D22" s="61"/>
      <c r="E22" s="4" t="s">
        <v>106</v>
      </c>
      <c r="F22" s="4">
        <v>1</v>
      </c>
      <c r="G22" s="25" t="s">
        <v>183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 t="s">
        <v>106</v>
      </c>
      <c r="F23" s="16">
        <v>1</v>
      </c>
      <c r="G23" s="25" t="s">
        <v>183</v>
      </c>
      <c r="H23" s="22" t="str">
        <f>HYPERLINK("#G23",CHAR(128))</f>
        <v>€</v>
      </c>
    </row>
    <row r="24" spans="1:10" x14ac:dyDescent="0.3">
      <c r="A24" s="5"/>
      <c r="B24" s="61" t="s">
        <v>32</v>
      </c>
      <c r="C24" s="61"/>
      <c r="D24" s="61"/>
      <c r="E24" s="4" t="s">
        <v>106</v>
      </c>
      <c r="F24" s="4">
        <v>1</v>
      </c>
      <c r="G24" s="25" t="s">
        <v>183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 t="s">
        <v>106</v>
      </c>
      <c r="F25" s="16"/>
      <c r="G25" s="25" t="s">
        <v>183</v>
      </c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">
        <v>106</v>
      </c>
      <c r="F26" s="4">
        <v>1</v>
      </c>
      <c r="G26" s="25" t="s">
        <v>183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45287</v>
      </c>
      <c r="B38" t="s">
        <v>18</v>
      </c>
      <c r="C38">
        <v>7037</v>
      </c>
      <c r="D38">
        <v>6140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61" priority="2" operator="equal">
      <formula>"Returned"</formula>
    </cfRule>
    <cfRule type="cellIs" dxfId="160" priority="5" operator="equal">
      <formula>"Ready To Order"</formula>
    </cfRule>
    <cfRule type="cellIs" dxfId="159" priority="6" operator="equal">
      <formula>"UNP"</formula>
    </cfRule>
    <cfRule type="containsText" dxfId="158" priority="7" operator="containsText" text="Ordered">
      <formula>NOT(ISERROR(SEARCH("Ordered",G6)))</formula>
    </cfRule>
    <cfRule type="containsText" dxfId="157" priority="8" operator="containsText" text="Pick Up">
      <formula>NOT(ISERROR(SEARCH("Pick Up",G6)))</formula>
    </cfRule>
    <cfRule type="containsText" dxfId="156" priority="9" operator="containsText" text="Complete">
      <formula>NOT(ISERROR(SEARCH("Complete",G6)))</formula>
    </cfRule>
  </conditionalFormatting>
  <conditionalFormatting sqref="G30:G33">
    <cfRule type="containsText" dxfId="155" priority="4" operator="containsText" text="Given">
      <formula>NOT(ISERROR(SEARCH("Given",G30)))</formula>
    </cfRule>
  </conditionalFormatting>
  <conditionalFormatting sqref="G30:G34">
    <cfRule type="containsText" dxfId="154" priority="3" operator="containsText" text="Returned">
      <formula>NOT(ISERROR(SEARCH("Returned",G30)))</formula>
    </cfRule>
  </conditionalFormatting>
  <conditionalFormatting sqref="G6:G26">
    <cfRule type="cellIs" dxfId="153" priority="1" operator="equal">
      <formula>"In Stock"</formula>
    </cfRule>
  </conditionalFormatting>
  <dataValidations count="3">
    <dataValidation type="list" allowBlank="1" showInputMessage="1" showErrorMessage="1" sqref="G30:G34" xr:uid="{2B8101E0-AF7B-4B88-9634-06080FB6AAF0}">
      <formula1>"--,Returned, Given"</formula1>
    </dataValidation>
    <dataValidation type="list" allowBlank="1" showInputMessage="1" showErrorMessage="1" sqref="G6:G26" xr:uid="{214128F4-3127-43F0-886D-E1DE8B5B808F}">
      <formula1>"UNP, Ready To Order, Ordered, In Stock, Pick Up, Complete, Returned"</formula1>
    </dataValidation>
    <dataValidation type="decimal" allowBlank="1" showInputMessage="1" showErrorMessage="1" sqref="L2" xr:uid="{B7D99183-2E87-4EB0-AEF8-C6BC8D2B39FB}">
      <formula1>19</formula1>
      <formula2>26</formula2>
    </dataValidation>
  </dataValidations>
  <hyperlinks>
    <hyperlink ref="A1:A2" location="Menu!A1" display="Back to Menu" xr:uid="{065DC45D-ECEF-4248-B1B2-DE7EF593B86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0EC3-50E8-465C-8295-5C0BFF787508}">
  <sheetPr codeName="Sheet15"/>
  <dimension ref="A1:L37"/>
  <sheetViews>
    <sheetView workbookViewId="0">
      <selection activeCell="O26" sqref="O2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127</v>
      </c>
      <c r="D2" s="62"/>
      <c r="E2" s="62" t="s">
        <v>128</v>
      </c>
      <c r="F2" s="62"/>
      <c r="G2" s="1" t="s">
        <v>130</v>
      </c>
      <c r="K2" s="4" t="s">
        <v>9</v>
      </c>
      <c r="L2" s="4">
        <v>23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129</v>
      </c>
      <c r="K4" s="4" t="s">
        <v>12</v>
      </c>
      <c r="L4" s="4">
        <v>30.9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63</v>
      </c>
    </row>
    <row r="6" spans="1:12" x14ac:dyDescent="0.3">
      <c r="A6" s="3" t="s">
        <v>131</v>
      </c>
      <c r="B6" s="61" t="s">
        <v>18</v>
      </c>
      <c r="C6" s="61"/>
      <c r="D6" s="61"/>
      <c r="E6" s="4">
        <v>6732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39.700000000000003</v>
      </c>
    </row>
    <row r="7" spans="1:12" x14ac:dyDescent="0.3">
      <c r="A7" s="2" t="s">
        <v>133</v>
      </c>
      <c r="B7" s="62" t="s">
        <v>21</v>
      </c>
      <c r="C7" s="62"/>
      <c r="D7" s="62"/>
      <c r="E7" s="1" t="s">
        <v>132</v>
      </c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65.8</v>
      </c>
    </row>
    <row r="8" spans="1:12" x14ac:dyDescent="0.3">
      <c r="A8" s="3" t="s">
        <v>134</v>
      </c>
      <c r="B8" s="61" t="s">
        <v>19</v>
      </c>
      <c r="C8" s="61"/>
      <c r="D8" s="61"/>
      <c r="E8" s="4" t="s">
        <v>68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308</v>
      </c>
    </row>
    <row r="9" spans="1:12" x14ac:dyDescent="0.3">
      <c r="A9" s="2"/>
      <c r="B9" s="62" t="s">
        <v>20</v>
      </c>
      <c r="C9" s="62"/>
      <c r="D9" s="62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86.8</v>
      </c>
    </row>
    <row r="10" spans="1:12" x14ac:dyDescent="0.3">
      <c r="A10" s="3" t="s">
        <v>135</v>
      </c>
      <c r="B10" s="61" t="s">
        <v>24</v>
      </c>
      <c r="C10" s="61"/>
      <c r="D10" s="61"/>
      <c r="E10" s="8">
        <v>7.375</v>
      </c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9.1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61" t="s">
        <v>25</v>
      </c>
      <c r="C12" s="61"/>
      <c r="D12" s="61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78</v>
      </c>
      <c r="B13" s="62" t="s">
        <v>26</v>
      </c>
      <c r="C13" s="62"/>
      <c r="D13" s="62"/>
      <c r="E13" s="1" t="s">
        <v>77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137</v>
      </c>
      <c r="B14" s="61" t="s">
        <v>27</v>
      </c>
      <c r="C14" s="61"/>
      <c r="D14" s="61"/>
      <c r="E14" s="4" t="s">
        <v>136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139</v>
      </c>
      <c r="B17" s="62" t="s">
        <v>22</v>
      </c>
      <c r="C17" s="62"/>
      <c r="D17" s="62"/>
      <c r="E17" s="1" t="s">
        <v>138</v>
      </c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 t="s">
        <v>140</v>
      </c>
      <c r="B18" s="61" t="s">
        <v>29</v>
      </c>
      <c r="C18" s="61"/>
      <c r="D18" s="61"/>
      <c r="E18" s="4">
        <v>7040</v>
      </c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96</v>
      </c>
      <c r="B19" s="62" t="s">
        <v>30</v>
      </c>
      <c r="C19" s="62"/>
      <c r="D19" s="62"/>
      <c r="E19" s="1" t="s">
        <v>95</v>
      </c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141</v>
      </c>
      <c r="B21" s="62" t="s">
        <v>33</v>
      </c>
      <c r="C21" s="62"/>
      <c r="D21" s="62"/>
      <c r="E21" s="9">
        <v>7.375</v>
      </c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142</v>
      </c>
      <c r="B22" s="61" t="s">
        <v>31</v>
      </c>
      <c r="C22" s="61"/>
      <c r="D22" s="61"/>
      <c r="E22" s="4">
        <v>6736</v>
      </c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/>
      <c r="F23" s="16">
        <v>1</v>
      </c>
      <c r="G23" s="25" t="s">
        <v>183</v>
      </c>
      <c r="H23" s="22" t="str">
        <f>HYPERLINK("#G23",CHAR(128))</f>
        <v>€</v>
      </c>
    </row>
    <row r="24" spans="1:10" x14ac:dyDescent="0.3">
      <c r="A24" s="5" t="s">
        <v>144</v>
      </c>
      <c r="B24" s="61" t="s">
        <v>32</v>
      </c>
      <c r="C24" s="61"/>
      <c r="D24" s="61"/>
      <c r="E24" s="4" t="s">
        <v>143</v>
      </c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Miller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43" priority="2" operator="equal">
      <formula>"Returned"</formula>
    </cfRule>
    <cfRule type="cellIs" dxfId="142" priority="5" operator="equal">
      <formula>"Ready To Order"</formula>
    </cfRule>
    <cfRule type="cellIs" dxfId="141" priority="6" operator="equal">
      <formula>"UNP"</formula>
    </cfRule>
    <cfRule type="containsText" dxfId="140" priority="7" operator="containsText" text="Ordered">
      <formula>NOT(ISERROR(SEARCH("Ordered",G6)))</formula>
    </cfRule>
    <cfRule type="containsText" dxfId="139" priority="8" operator="containsText" text="Pick Up">
      <formula>NOT(ISERROR(SEARCH("Pick Up",G6)))</formula>
    </cfRule>
    <cfRule type="containsText" dxfId="138" priority="9" operator="containsText" text="Complete">
      <formula>NOT(ISERROR(SEARCH("Complete",G6)))</formula>
    </cfRule>
  </conditionalFormatting>
  <conditionalFormatting sqref="G30:G33">
    <cfRule type="containsText" dxfId="137" priority="4" operator="containsText" text="Given">
      <formula>NOT(ISERROR(SEARCH("Given",G30)))</formula>
    </cfRule>
  </conditionalFormatting>
  <conditionalFormatting sqref="G30:G34">
    <cfRule type="containsText" dxfId="136" priority="3" operator="containsText" text="Returned">
      <formula>NOT(ISERROR(SEARCH("Returned",G30)))</formula>
    </cfRule>
  </conditionalFormatting>
  <conditionalFormatting sqref="G6:G14 G21:G26 G16:G19">
    <cfRule type="cellIs" dxfId="135" priority="1" operator="equal">
      <formula>"In Stock"</formula>
    </cfRule>
  </conditionalFormatting>
  <dataValidations count="3">
    <dataValidation type="list" allowBlank="1" showInputMessage="1" showErrorMessage="1" sqref="G30:G34" xr:uid="{ABD7BC5C-5955-41BA-89DC-6A7C45D42B40}">
      <formula1>"--,Returned, Given"</formula1>
    </dataValidation>
    <dataValidation type="list" allowBlank="1" showInputMessage="1" showErrorMessage="1" sqref="G16:G19 G21:G24 G26 G6:G14" xr:uid="{DA314DAD-AAE7-4EAB-BEE9-64488E584C7D}">
      <formula1>"UNP, Ready To Order, Ordered, In Stock, Pick Up, Complete, Returned"</formula1>
    </dataValidation>
    <dataValidation type="decimal" allowBlank="1" showInputMessage="1" showErrorMessage="1" sqref="L2" xr:uid="{A2CC4DF5-6F6F-4DD6-8D97-E38BD15DF21D}">
      <formula1>19</formula1>
      <formula2>26</formula2>
    </dataValidation>
  </dataValidations>
  <hyperlinks>
    <hyperlink ref="A1:A2" location="Menu!A1" display="Back to Menu" xr:uid="{F568855C-C292-4A49-BC2C-6BCD04DE2F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9789-564E-4C85-96C8-3D856731E567}">
  <sheetPr codeName="Sheet8"/>
  <dimension ref="A1:L38"/>
  <sheetViews>
    <sheetView workbookViewId="0">
      <selection sqref="A1:A2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72</v>
      </c>
      <c r="D2" s="62"/>
      <c r="E2" s="62" t="s">
        <v>116</v>
      </c>
      <c r="F2" s="62"/>
      <c r="G2" s="1" t="s">
        <v>117</v>
      </c>
      <c r="K2" s="4" t="s">
        <v>9</v>
      </c>
      <c r="L2" s="4">
        <v>22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59.4</v>
      </c>
    </row>
    <row r="6" spans="1:12" x14ac:dyDescent="0.3">
      <c r="A6" s="3" t="s">
        <v>118</v>
      </c>
      <c r="B6" s="61" t="s">
        <v>18</v>
      </c>
      <c r="C6" s="61"/>
      <c r="D6" s="61"/>
      <c r="E6" s="4">
        <v>7054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53.5</v>
      </c>
    </row>
    <row r="7" spans="1:12" x14ac:dyDescent="0.3">
      <c r="A7" s="2" t="s">
        <v>120</v>
      </c>
      <c r="B7" s="62" t="s">
        <v>21</v>
      </c>
      <c r="C7" s="62"/>
      <c r="D7" s="62"/>
      <c r="E7" s="1" t="s">
        <v>119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3">
      <c r="A8" s="3" t="s">
        <v>134</v>
      </c>
      <c r="B8" s="61" t="s">
        <v>19</v>
      </c>
      <c r="C8" s="61"/>
      <c r="D8" s="61"/>
      <c r="E8" s="39" t="s">
        <v>68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240.8</v>
      </c>
    </row>
    <row r="9" spans="1:12" x14ac:dyDescent="0.3">
      <c r="A9" s="2" t="s">
        <v>73</v>
      </c>
      <c r="B9" s="62" t="s">
        <v>20</v>
      </c>
      <c r="C9" s="62"/>
      <c r="D9" s="62"/>
      <c r="E9" s="1">
        <v>7060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111.6</v>
      </c>
    </row>
    <row r="10" spans="1:12" x14ac:dyDescent="0.3">
      <c r="A10" s="3" t="s">
        <v>121</v>
      </c>
      <c r="B10" s="61" t="s">
        <v>24</v>
      </c>
      <c r="C10" s="61"/>
      <c r="D10" s="61"/>
      <c r="E10" s="8">
        <v>7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9.6999999999999993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/>
      <c r="B12" s="61" t="s">
        <v>25</v>
      </c>
      <c r="C12" s="61"/>
      <c r="D12" s="61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91</v>
      </c>
      <c r="B13" s="62" t="s">
        <v>26</v>
      </c>
      <c r="C13" s="62"/>
      <c r="D13" s="62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123</v>
      </c>
      <c r="B14" s="61" t="s">
        <v>27</v>
      </c>
      <c r="C14" s="61"/>
      <c r="D14" s="61"/>
      <c r="E14" s="4" t="s">
        <v>122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183</v>
      </c>
      <c r="H16" s="23" t="str">
        <f>HYPERLINK("#G16",CHAR(128))</f>
        <v>€</v>
      </c>
    </row>
    <row r="17" spans="1:10" x14ac:dyDescent="0.3">
      <c r="A17" s="2" t="s">
        <v>124</v>
      </c>
      <c r="B17" s="62" t="s">
        <v>22</v>
      </c>
      <c r="C17" s="62"/>
      <c r="D17" s="62"/>
      <c r="E17" s="1" t="s">
        <v>105</v>
      </c>
      <c r="F17" s="16">
        <v>1</v>
      </c>
      <c r="G17" s="25" t="s">
        <v>183</v>
      </c>
      <c r="H17" s="23" t="str">
        <f>HYPERLINK("#G17",CHAR(128))</f>
        <v>€</v>
      </c>
    </row>
    <row r="18" spans="1:10" x14ac:dyDescent="0.3">
      <c r="A18" s="5" t="s">
        <v>94</v>
      </c>
      <c r="B18" s="61" t="s">
        <v>29</v>
      </c>
      <c r="C18" s="61"/>
      <c r="D18" s="61"/>
      <c r="E18" s="4">
        <v>7656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96</v>
      </c>
      <c r="B19" s="62" t="s">
        <v>30</v>
      </c>
      <c r="C19" s="62"/>
      <c r="D19" s="62"/>
      <c r="E19" s="1" t="s">
        <v>95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125</v>
      </c>
      <c r="B21" s="62" t="s">
        <v>33</v>
      </c>
      <c r="C21" s="62"/>
      <c r="D21" s="62"/>
      <c r="E21" s="9">
        <v>7</v>
      </c>
      <c r="F21" s="16">
        <v>1</v>
      </c>
      <c r="G21" s="25" t="s">
        <v>183</v>
      </c>
      <c r="H21" s="23" t="str">
        <f>HYPERLINK("#G21",CHAR(128))</f>
        <v>€</v>
      </c>
    </row>
    <row r="22" spans="1:10" x14ac:dyDescent="0.3">
      <c r="A22" s="5"/>
      <c r="B22" s="61" t="s">
        <v>31</v>
      </c>
      <c r="C22" s="61"/>
      <c r="D22" s="61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112</v>
      </c>
      <c r="B24" s="61" t="s">
        <v>32</v>
      </c>
      <c r="C24" s="61"/>
      <c r="D24" s="61"/>
      <c r="E24" s="4" t="s">
        <v>111</v>
      </c>
      <c r="F24" s="4">
        <v>1</v>
      </c>
      <c r="G24" s="25" t="s">
        <v>183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Anderson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45290</v>
      </c>
      <c r="B38" t="s">
        <v>19</v>
      </c>
      <c r="C38" t="s">
        <v>60</v>
      </c>
      <c r="D38" t="s">
        <v>68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52" priority="2" operator="equal">
      <formula>"Returned"</formula>
    </cfRule>
    <cfRule type="cellIs" dxfId="151" priority="5" operator="equal">
      <formula>"Ready To Order"</formula>
    </cfRule>
    <cfRule type="cellIs" dxfId="150" priority="6" operator="equal">
      <formula>"UNP"</formula>
    </cfRule>
    <cfRule type="containsText" dxfId="149" priority="7" operator="containsText" text="Ordered">
      <formula>NOT(ISERROR(SEARCH("Ordered",G6)))</formula>
    </cfRule>
    <cfRule type="containsText" dxfId="148" priority="8" operator="containsText" text="Pick Up">
      <formula>NOT(ISERROR(SEARCH("Pick Up",G6)))</formula>
    </cfRule>
    <cfRule type="containsText" dxfId="147" priority="9" operator="containsText" text="Complete">
      <formula>NOT(ISERROR(SEARCH("Complete",G6)))</formula>
    </cfRule>
  </conditionalFormatting>
  <conditionalFormatting sqref="G30:G33">
    <cfRule type="containsText" dxfId="146" priority="4" operator="containsText" text="Given">
      <formula>NOT(ISERROR(SEARCH("Given",G30)))</formula>
    </cfRule>
  </conditionalFormatting>
  <conditionalFormatting sqref="G30:G34">
    <cfRule type="containsText" dxfId="145" priority="3" operator="containsText" text="Returned">
      <formula>NOT(ISERROR(SEARCH("Returned",G30)))</formula>
    </cfRule>
  </conditionalFormatting>
  <conditionalFormatting sqref="G6:G14 G21:G26 G16:G19">
    <cfRule type="cellIs" dxfId="144" priority="1" operator="equal">
      <formula>"In Stock"</formula>
    </cfRule>
  </conditionalFormatting>
  <dataValidations count="3">
    <dataValidation type="list" allowBlank="1" showInputMessage="1" showErrorMessage="1" sqref="G30:G34" xr:uid="{6ACC78A7-261D-44AD-975B-01963BB8DD89}">
      <formula1>"--,Returned, Given"</formula1>
    </dataValidation>
    <dataValidation type="list" allowBlank="1" showInputMessage="1" showErrorMessage="1" sqref="G16:G19 G21:G24 G26 G6:G14" xr:uid="{109F5442-D4A2-4D82-8D7C-2E6A14EA8321}">
      <formula1>"UNP, Ready To Order, Ordered, In Stock, Pick Up, Complete, Returned"</formula1>
    </dataValidation>
    <dataValidation type="decimal" allowBlank="1" showInputMessage="1" showErrorMessage="1" sqref="L2" xr:uid="{F51527CC-0894-4DF2-B174-D5C13B55F690}">
      <formula1>19</formula1>
      <formula2>26</formula2>
    </dataValidation>
  </dataValidations>
  <hyperlinks>
    <hyperlink ref="A1:A2" location="Menu!A1" display="Back to Menu" xr:uid="{0CEE4971-FA6F-4AE9-A7CB-677F13288F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2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7656F-3212-47F7-A778-EBA574BBC2E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01879-77FE-49CA-B364-1D02AD46B89C}">
  <sheetPr codeName="Sheet9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148</v>
      </c>
      <c r="D2" s="62"/>
      <c r="E2" s="62" t="s">
        <v>149</v>
      </c>
      <c r="F2" s="62"/>
      <c r="G2" s="1" t="s">
        <v>150</v>
      </c>
      <c r="K2" s="4" t="s">
        <v>9</v>
      </c>
      <c r="L2" s="4">
        <v>24.1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13.7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44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40.1</v>
      </c>
    </row>
    <row r="6" spans="1:12" x14ac:dyDescent="0.3">
      <c r="A6" s="3" t="s">
        <v>151</v>
      </c>
      <c r="B6" s="61" t="s">
        <v>18</v>
      </c>
      <c r="C6" s="61"/>
      <c r="D6" s="61"/>
      <c r="E6" s="4">
        <v>7332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52.1</v>
      </c>
    </row>
    <row r="7" spans="1:12" x14ac:dyDescent="0.3">
      <c r="A7" s="2" t="s">
        <v>152</v>
      </c>
      <c r="B7" s="62" t="s">
        <v>21</v>
      </c>
      <c r="C7" s="62"/>
      <c r="D7" s="62"/>
      <c r="E7" s="1">
        <v>14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60.9</v>
      </c>
    </row>
    <row r="8" spans="1:12" x14ac:dyDescent="0.3">
      <c r="A8" s="3" t="s">
        <v>165</v>
      </c>
      <c r="B8" s="61" t="s">
        <v>19</v>
      </c>
      <c r="C8" s="61"/>
      <c r="D8" s="61"/>
      <c r="E8" s="4" t="s">
        <v>138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238.7</v>
      </c>
    </row>
    <row r="9" spans="1:12" x14ac:dyDescent="0.3">
      <c r="A9" s="2" t="s">
        <v>108</v>
      </c>
      <c r="B9" s="62" t="s">
        <v>20</v>
      </c>
      <c r="C9" s="62"/>
      <c r="D9" s="62"/>
      <c r="E9" s="1">
        <v>6448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105.1</v>
      </c>
    </row>
    <row r="10" spans="1:12" x14ac:dyDescent="0.3">
      <c r="A10" s="3" t="s">
        <v>153</v>
      </c>
      <c r="B10" s="61" t="s">
        <v>24</v>
      </c>
      <c r="C10" s="61"/>
      <c r="D10" s="61"/>
      <c r="E10" s="8">
        <v>7.75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8.3000000000000007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154</v>
      </c>
      <c r="B12" s="61" t="s">
        <v>25</v>
      </c>
      <c r="C12" s="61"/>
      <c r="D12" s="61"/>
      <c r="E12" s="4" t="s">
        <v>138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91</v>
      </c>
      <c r="B13" s="62" t="s">
        <v>26</v>
      </c>
      <c r="C13" s="62"/>
      <c r="D13" s="62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156</v>
      </c>
      <c r="B14" s="61" t="s">
        <v>27</v>
      </c>
      <c r="C14" s="61"/>
      <c r="D14" s="61"/>
      <c r="E14" s="4" t="s">
        <v>155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157</v>
      </c>
      <c r="B17" s="62" t="s">
        <v>22</v>
      </c>
      <c r="C17" s="62"/>
      <c r="D17" s="62"/>
      <c r="E17" s="1" t="s">
        <v>58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109</v>
      </c>
      <c r="B18" s="61" t="s">
        <v>29</v>
      </c>
      <c r="C18" s="61"/>
      <c r="D18" s="61"/>
      <c r="E18" s="4">
        <v>7652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159</v>
      </c>
      <c r="B19" s="62" t="s">
        <v>30</v>
      </c>
      <c r="C19" s="62"/>
      <c r="D19" s="62"/>
      <c r="E19" s="1" t="s">
        <v>158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160</v>
      </c>
      <c r="B21" s="62" t="s">
        <v>33</v>
      </c>
      <c r="C21" s="62"/>
      <c r="D21" s="62"/>
      <c r="E21" s="9">
        <v>7.75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161</v>
      </c>
      <c r="B22" s="61" t="s">
        <v>31</v>
      </c>
      <c r="C22" s="61"/>
      <c r="D22" s="61"/>
      <c r="E22" s="4">
        <v>6432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162</v>
      </c>
      <c r="B23" s="62" t="s">
        <v>48</v>
      </c>
      <c r="C23" s="62"/>
      <c r="D23" s="62"/>
      <c r="E23" s="1">
        <v>6742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164</v>
      </c>
      <c r="B24" s="61" t="s">
        <v>32</v>
      </c>
      <c r="C24" s="61"/>
      <c r="D24" s="61"/>
      <c r="E24" s="4" t="s">
        <v>163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Martinez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45290</v>
      </c>
      <c r="B38" t="s">
        <v>19</v>
      </c>
      <c r="C38" t="s">
        <v>68</v>
      </c>
      <c r="D38" t="s">
        <v>138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34" priority="2" operator="equal">
      <formula>"Returned"</formula>
    </cfRule>
    <cfRule type="cellIs" dxfId="133" priority="5" operator="equal">
      <formula>"Ready To Order"</formula>
    </cfRule>
    <cfRule type="cellIs" dxfId="132" priority="6" operator="equal">
      <formula>"UNP"</formula>
    </cfRule>
    <cfRule type="containsText" dxfId="131" priority="7" operator="containsText" text="Ordered">
      <formula>NOT(ISERROR(SEARCH("Ordered",G6)))</formula>
    </cfRule>
    <cfRule type="containsText" dxfId="130" priority="8" operator="containsText" text="Pick Up">
      <formula>NOT(ISERROR(SEARCH("Pick Up",G6)))</formula>
    </cfRule>
    <cfRule type="containsText" dxfId="129" priority="9" operator="containsText" text="Complete">
      <formula>NOT(ISERROR(SEARCH("Complete",G6)))</formula>
    </cfRule>
  </conditionalFormatting>
  <conditionalFormatting sqref="G30:G33">
    <cfRule type="containsText" dxfId="128" priority="4" operator="containsText" text="Given">
      <formula>NOT(ISERROR(SEARCH("Given",G30)))</formula>
    </cfRule>
  </conditionalFormatting>
  <conditionalFormatting sqref="G30:G34">
    <cfRule type="containsText" dxfId="127" priority="3" operator="containsText" text="Returned">
      <formula>NOT(ISERROR(SEARCH("Returned",G30)))</formula>
    </cfRule>
  </conditionalFormatting>
  <conditionalFormatting sqref="G6:G14 G21:G26 G16:G19">
    <cfRule type="cellIs" dxfId="126" priority="1" operator="equal">
      <formula>"In Stock"</formula>
    </cfRule>
  </conditionalFormatting>
  <dataValidations count="3">
    <dataValidation type="list" allowBlank="1" showInputMessage="1" showErrorMessage="1" sqref="G30:G34" xr:uid="{2688952C-D787-4703-B6F4-5E517503E5E2}">
      <formula1>"--,Returned, Given"</formula1>
    </dataValidation>
    <dataValidation type="list" allowBlank="1" showInputMessage="1" showErrorMessage="1" sqref="G16:G19 G21:G24 G26 G6:G14" xr:uid="{88568EB0-0745-4D54-8E73-E66C3A057415}">
      <formula1>"UNP, Ready To Order, Ordered, In Stock, Pick Up, Complete, Returned"</formula1>
    </dataValidation>
    <dataValidation type="decimal" allowBlank="1" showInputMessage="1" showErrorMessage="1" sqref="L2" xr:uid="{7BFA4511-5C5A-4492-9008-BB85EB1DA6AA}">
      <formula1>19</formula1>
      <formula2>26</formula2>
    </dataValidation>
  </dataValidations>
  <hyperlinks>
    <hyperlink ref="A1:A2" location="Menu!A1" display="Back to Menu" xr:uid="{C2ADD5FC-3C29-4EEC-BF57-07DB696463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D5BB-F8BF-4F6B-AC8C-F1C9F870E00A}">
  <sheetPr codeName="Sheet10"/>
  <dimension ref="A1:L37"/>
  <sheetViews>
    <sheetView topLeftCell="A13" workbookViewId="0">
      <selection activeCell="F31" sqref="F31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166</v>
      </c>
      <c r="D2" s="62"/>
      <c r="E2" s="62" t="s">
        <v>167</v>
      </c>
      <c r="F2" s="62"/>
      <c r="G2" s="1" t="s">
        <v>168</v>
      </c>
      <c r="K2" s="4" t="s">
        <v>9</v>
      </c>
      <c r="L2" s="4">
        <v>22.8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19.8</v>
      </c>
    </row>
    <row r="4" spans="1:12" x14ac:dyDescent="0.3">
      <c r="A4" s="1" t="s">
        <v>39</v>
      </c>
      <c r="B4" s="73">
        <v>7562157018</v>
      </c>
      <c r="C4" s="73"/>
      <c r="D4" s="73"/>
      <c r="E4" s="62" t="s">
        <v>52</v>
      </c>
      <c r="F4" s="62"/>
      <c r="G4" s="1" t="s">
        <v>129</v>
      </c>
      <c r="K4" s="4" t="s">
        <v>12</v>
      </c>
      <c r="L4" s="4">
        <v>24.7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31.6</v>
      </c>
    </row>
    <row r="6" spans="1:12" x14ac:dyDescent="0.3">
      <c r="A6" s="3" t="s">
        <v>169</v>
      </c>
      <c r="B6" s="61" t="s">
        <v>18</v>
      </c>
      <c r="C6" s="61"/>
      <c r="D6" s="61"/>
      <c r="E6" s="4">
        <v>6428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41.2</v>
      </c>
    </row>
    <row r="7" spans="1:12" x14ac:dyDescent="0.3">
      <c r="A7" s="2" t="s">
        <v>147</v>
      </c>
      <c r="B7" s="62" t="s">
        <v>21</v>
      </c>
      <c r="C7" s="62"/>
      <c r="D7" s="62"/>
      <c r="E7" s="1" t="s">
        <v>146</v>
      </c>
      <c r="F7" s="16">
        <v>1</v>
      </c>
      <c r="G7" s="25" t="s">
        <v>183</v>
      </c>
      <c r="H7" s="28" t="str">
        <f>HYPERLINK("#G7",CHAR(128))</f>
        <v>€</v>
      </c>
      <c r="K7" s="1" t="s">
        <v>15</v>
      </c>
      <c r="L7" s="1">
        <v>62.9</v>
      </c>
    </row>
    <row r="8" spans="1:12" x14ac:dyDescent="0.3">
      <c r="A8" s="3" t="s">
        <v>171</v>
      </c>
      <c r="B8" s="61" t="s">
        <v>19</v>
      </c>
      <c r="C8" s="61"/>
      <c r="D8" s="61"/>
      <c r="E8" s="4" t="s">
        <v>170</v>
      </c>
      <c r="F8" s="4">
        <v>1</v>
      </c>
      <c r="G8" s="25" t="s">
        <v>183</v>
      </c>
      <c r="H8" s="28" t="str">
        <f>HYPERLINK("#G8",CHAR(128))</f>
        <v>€</v>
      </c>
      <c r="K8" s="4" t="s">
        <v>16</v>
      </c>
      <c r="L8" s="4">
        <v>305.39999999999998</v>
      </c>
    </row>
    <row r="9" spans="1:12" x14ac:dyDescent="0.3">
      <c r="A9" s="2" t="s">
        <v>173</v>
      </c>
      <c r="B9" s="62" t="s">
        <v>20</v>
      </c>
      <c r="C9" s="62"/>
      <c r="D9" s="62"/>
      <c r="E9" s="1" t="s">
        <v>172</v>
      </c>
      <c r="F9" s="16">
        <v>1</v>
      </c>
      <c r="G9" s="25" t="s">
        <v>183</v>
      </c>
      <c r="H9" s="28" t="str">
        <f>HYPERLINK("#G9",CHAR(128))</f>
        <v>€</v>
      </c>
      <c r="I9" s="11"/>
      <c r="K9" s="1" t="s">
        <v>17</v>
      </c>
      <c r="L9" s="1">
        <v>90.6</v>
      </c>
    </row>
    <row r="10" spans="1:12" x14ac:dyDescent="0.3">
      <c r="A10" s="3" t="s">
        <v>135</v>
      </c>
      <c r="B10" s="61" t="s">
        <v>24</v>
      </c>
      <c r="C10" s="61"/>
      <c r="D10" s="61"/>
      <c r="E10" s="8">
        <v>7.375</v>
      </c>
      <c r="F10" s="4">
        <v>1</v>
      </c>
      <c r="G10" s="25" t="s">
        <v>183</v>
      </c>
      <c r="H10" s="28" t="str">
        <f>HYPERLINK("#G10",CHAR(128))</f>
        <v>€</v>
      </c>
      <c r="K10" s="15" t="s">
        <v>47</v>
      </c>
      <c r="L10" s="15">
        <v>6.3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71</v>
      </c>
      <c r="B12" s="61" t="s">
        <v>25</v>
      </c>
      <c r="C12" s="61"/>
      <c r="D12" s="61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78</v>
      </c>
      <c r="B13" s="62" t="s">
        <v>26</v>
      </c>
      <c r="C13" s="62"/>
      <c r="D13" s="62"/>
      <c r="E13" s="1" t="s">
        <v>77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137</v>
      </c>
      <c r="B14" s="61" t="s">
        <v>27</v>
      </c>
      <c r="C14" s="61"/>
      <c r="D14" s="61"/>
      <c r="E14" s="4" t="s">
        <v>136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124</v>
      </c>
      <c r="B17" s="62" t="s">
        <v>22</v>
      </c>
      <c r="C17" s="62"/>
      <c r="D17" s="62"/>
      <c r="E17" s="1" t="s">
        <v>105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174</v>
      </c>
      <c r="B18" s="61" t="s">
        <v>29</v>
      </c>
      <c r="C18" s="61"/>
      <c r="D18" s="61"/>
      <c r="E18" s="4">
        <v>6440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176</v>
      </c>
      <c r="B19" s="62" t="s">
        <v>30</v>
      </c>
      <c r="C19" s="62"/>
      <c r="D19" s="62"/>
      <c r="E19" s="1" t="s">
        <v>175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141</v>
      </c>
      <c r="B21" s="62" t="s">
        <v>33</v>
      </c>
      <c r="C21" s="62"/>
      <c r="D21" s="62"/>
      <c r="E21" s="9">
        <v>7.375</v>
      </c>
      <c r="F21" s="16">
        <v>1</v>
      </c>
      <c r="G21" s="25" t="s">
        <v>183</v>
      </c>
      <c r="H21" s="23" t="str">
        <f>HYPERLINK("#G21",CHAR(128))</f>
        <v>€</v>
      </c>
    </row>
    <row r="22" spans="1:10" x14ac:dyDescent="0.3">
      <c r="A22" s="5" t="s">
        <v>161</v>
      </c>
      <c r="B22" s="61" t="s">
        <v>31</v>
      </c>
      <c r="C22" s="61"/>
      <c r="D22" s="61"/>
      <c r="E22" s="4">
        <v>6432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110</v>
      </c>
      <c r="B23" s="62" t="s">
        <v>48</v>
      </c>
      <c r="C23" s="62"/>
      <c r="D23" s="62"/>
      <c r="E23" s="1">
        <v>6434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178</v>
      </c>
      <c r="B24" s="61" t="s">
        <v>32</v>
      </c>
      <c r="C24" s="61"/>
      <c r="D24" s="61"/>
      <c r="E24" s="4" t="s">
        <v>177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Robinson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21:G26 G16:G19 G6:G14">
    <cfRule type="cellIs" dxfId="125" priority="2" operator="equal">
      <formula>"Returned"</formula>
    </cfRule>
    <cfRule type="cellIs" dxfId="124" priority="5" operator="equal">
      <formula>"Ready To Order"</formula>
    </cfRule>
    <cfRule type="cellIs" dxfId="123" priority="6" operator="equal">
      <formula>"UNP"</formula>
    </cfRule>
    <cfRule type="containsText" dxfId="122" priority="7" operator="containsText" text="Ordered">
      <formula>NOT(ISERROR(SEARCH("Ordered",G6)))</formula>
    </cfRule>
    <cfRule type="containsText" dxfId="121" priority="8" operator="containsText" text="Pick Up">
      <formula>NOT(ISERROR(SEARCH("Pick Up",G6)))</formula>
    </cfRule>
    <cfRule type="containsText" dxfId="120" priority="9" operator="containsText" text="Complete">
      <formula>NOT(ISERROR(SEARCH("Complete",G6)))</formula>
    </cfRule>
  </conditionalFormatting>
  <conditionalFormatting sqref="G30:G33">
    <cfRule type="containsText" dxfId="119" priority="4" operator="containsText" text="Given">
      <formula>NOT(ISERROR(SEARCH("Given",G30)))</formula>
    </cfRule>
  </conditionalFormatting>
  <conditionalFormatting sqref="G30:G34">
    <cfRule type="containsText" dxfId="118" priority="3" operator="containsText" text="Returned">
      <formula>NOT(ISERROR(SEARCH("Returned",G30)))</formula>
    </cfRule>
  </conditionalFormatting>
  <conditionalFormatting sqref="G21:G26 G16:G19 G6:G14">
    <cfRule type="cellIs" dxfId="117" priority="1" operator="equal">
      <formula>"In Stock"</formula>
    </cfRule>
  </conditionalFormatting>
  <dataValidations count="3">
    <dataValidation type="list" allowBlank="1" showInputMessage="1" showErrorMessage="1" sqref="G30:G34" xr:uid="{2BD6310D-9DD8-44DA-901B-3EAB7E5173E0}">
      <formula1>"--,Returned, Given"</formula1>
    </dataValidation>
    <dataValidation type="list" allowBlank="1" showInputMessage="1" showErrorMessage="1" sqref="G16:G19 G21:G24 G26 G6:G14" xr:uid="{E522F0AA-F1B6-4EA5-93B0-506B28955E4D}">
      <formula1>"UNP, Ready To Order, Ordered, In Stock, Pick Up, Complete, Returned"</formula1>
    </dataValidation>
    <dataValidation type="decimal" allowBlank="1" showInputMessage="1" showErrorMessage="1" sqref="L2" xr:uid="{766F2A9F-6844-4B08-8C50-AD2CA3748F85}">
      <formula1>19</formula1>
      <formula2>26</formula2>
    </dataValidation>
  </dataValidations>
  <hyperlinks>
    <hyperlink ref="A1:A2" location="Menu!A1" display="Back to Menu" xr:uid="{1C2D2324-1533-483F-B672-346FE8D9763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25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5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5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2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48DCF-3023-4A97-9B21-9A0C50202B51}">
  <sheetPr codeName="Sheet4"/>
  <dimension ref="A1:L53"/>
  <sheetViews>
    <sheetView workbookViewId="0">
      <selection activeCell="G8" sqref="G8:G14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194</v>
      </c>
      <c r="D2" s="62"/>
      <c r="E2" s="62" t="s">
        <v>195</v>
      </c>
      <c r="F2" s="62"/>
      <c r="G2" s="1" t="s">
        <v>196</v>
      </c>
      <c r="K2" s="4" t="s">
        <v>9</v>
      </c>
      <c r="L2" s="4">
        <v>19.600000000000001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18.5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42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57.1</v>
      </c>
    </row>
    <row r="6" spans="1:12" x14ac:dyDescent="0.3">
      <c r="A6" s="3" t="s">
        <v>197</v>
      </c>
      <c r="B6" s="61" t="s">
        <v>18</v>
      </c>
      <c r="C6" s="61"/>
      <c r="D6" s="61"/>
      <c r="E6" s="4">
        <v>6142</v>
      </c>
      <c r="F6" s="4">
        <v>1</v>
      </c>
      <c r="G6" s="25" t="s">
        <v>76</v>
      </c>
      <c r="H6" s="28" t="str">
        <f>HYPERLINK("#G6",CHAR(128))</f>
        <v>€</v>
      </c>
      <c r="K6" s="4" t="s">
        <v>14</v>
      </c>
      <c r="L6" s="4">
        <v>56.2</v>
      </c>
    </row>
    <row r="7" spans="1:12" x14ac:dyDescent="0.3">
      <c r="A7" s="2" t="s">
        <v>120</v>
      </c>
      <c r="B7" s="62" t="s">
        <v>21</v>
      </c>
      <c r="C7" s="62"/>
      <c r="D7" s="62"/>
      <c r="E7" s="1" t="s">
        <v>119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</v>
      </c>
    </row>
    <row r="8" spans="1:12" x14ac:dyDescent="0.3">
      <c r="A8" s="3" t="s">
        <v>165</v>
      </c>
      <c r="B8" s="61" t="s">
        <v>19</v>
      </c>
      <c r="C8" s="61"/>
      <c r="D8" s="61"/>
      <c r="E8" s="4" t="s">
        <v>138</v>
      </c>
      <c r="F8" s="4">
        <v>1</v>
      </c>
      <c r="G8" s="25" t="s">
        <v>76</v>
      </c>
      <c r="H8" s="28" t="str">
        <f>HYPERLINK("#G8",CHAR(128))</f>
        <v>€</v>
      </c>
      <c r="K8" s="4" t="s">
        <v>16</v>
      </c>
      <c r="L8" s="4">
        <v>263</v>
      </c>
    </row>
    <row r="9" spans="1:12" x14ac:dyDescent="0.3">
      <c r="A9" s="2" t="s">
        <v>230</v>
      </c>
      <c r="B9" s="62" t="s">
        <v>20</v>
      </c>
      <c r="C9" s="62"/>
      <c r="D9" s="62"/>
      <c r="E9" s="1">
        <v>6458</v>
      </c>
      <c r="F9" s="16">
        <v>1</v>
      </c>
      <c r="G9" s="25" t="s">
        <v>76</v>
      </c>
      <c r="H9" s="28" t="str">
        <f>HYPERLINK("#G9",CHAR(128))</f>
        <v>€</v>
      </c>
      <c r="I9" s="11"/>
      <c r="K9" s="1" t="s">
        <v>17</v>
      </c>
      <c r="L9" s="1">
        <v>97.7</v>
      </c>
    </row>
    <row r="10" spans="1:12" x14ac:dyDescent="0.3">
      <c r="A10" s="3" t="s">
        <v>207</v>
      </c>
      <c r="B10" s="61" t="s">
        <v>24</v>
      </c>
      <c r="C10" s="61"/>
      <c r="D10" s="61"/>
      <c r="E10" s="8">
        <v>6.375</v>
      </c>
      <c r="F10" s="4">
        <v>1</v>
      </c>
      <c r="G10" s="25" t="s">
        <v>76</v>
      </c>
      <c r="H10" s="28" t="str">
        <f>HYPERLINK("#G10",CHAR(128))</f>
        <v>€</v>
      </c>
      <c r="K10" s="15" t="s">
        <v>47</v>
      </c>
      <c r="L10" s="15">
        <v>7.5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76</v>
      </c>
      <c r="H11" s="28" t="str">
        <f>HYPERLINK("#G11",CHAR(128))</f>
        <v>€</v>
      </c>
    </row>
    <row r="12" spans="1:12" x14ac:dyDescent="0.3">
      <c r="A12" s="5" t="s">
        <v>232</v>
      </c>
      <c r="B12" s="61" t="s">
        <v>25</v>
      </c>
      <c r="C12" s="61"/>
      <c r="D12" s="61"/>
      <c r="E12" s="4" t="s">
        <v>231</v>
      </c>
      <c r="F12" s="4">
        <v>1</v>
      </c>
      <c r="G12" s="25" t="s">
        <v>76</v>
      </c>
      <c r="H12" s="28" t="str">
        <f>HYPERLINK("#G12",CHAR(128))</f>
        <v>€</v>
      </c>
    </row>
    <row r="13" spans="1:12" x14ac:dyDescent="0.3">
      <c r="A13" s="2" t="s">
        <v>209</v>
      </c>
      <c r="B13" s="62" t="s">
        <v>26</v>
      </c>
      <c r="C13" s="62"/>
      <c r="D13" s="62"/>
      <c r="E13" s="1" t="s">
        <v>208</v>
      </c>
      <c r="F13" s="16">
        <v>1</v>
      </c>
      <c r="G13" s="25" t="s">
        <v>76</v>
      </c>
      <c r="H13" s="28" t="str">
        <f>HYPERLINK("#G13",CHAR(128))</f>
        <v>€</v>
      </c>
    </row>
    <row r="14" spans="1:12" x14ac:dyDescent="0.3">
      <c r="A14" s="5" t="s">
        <v>234</v>
      </c>
      <c r="B14" s="61" t="s">
        <v>27</v>
      </c>
      <c r="C14" s="61"/>
      <c r="D14" s="61"/>
      <c r="E14" s="4" t="s">
        <v>233</v>
      </c>
      <c r="F14" s="4">
        <v>1</v>
      </c>
      <c r="G14" s="25" t="s">
        <v>76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212</v>
      </c>
      <c r="B17" s="62" t="s">
        <v>22</v>
      </c>
      <c r="C17" s="62"/>
      <c r="D17" s="62"/>
      <c r="E17" s="1" t="s">
        <v>170</v>
      </c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 t="s">
        <v>94</v>
      </c>
      <c r="B18" s="61" t="s">
        <v>29</v>
      </c>
      <c r="C18" s="61"/>
      <c r="D18" s="61"/>
      <c r="E18" s="4">
        <v>7656</v>
      </c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80</v>
      </c>
      <c r="B19" s="62" t="s">
        <v>30</v>
      </c>
      <c r="C19" s="62"/>
      <c r="D19" s="62"/>
      <c r="E19" s="1" t="s">
        <v>79</v>
      </c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213</v>
      </c>
      <c r="B21" s="62" t="s">
        <v>33</v>
      </c>
      <c r="C21" s="62"/>
      <c r="D21" s="62"/>
      <c r="E21" s="9">
        <v>6.25</v>
      </c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235</v>
      </c>
      <c r="B22" s="61" t="s">
        <v>31</v>
      </c>
      <c r="C22" s="61"/>
      <c r="D22" s="61"/>
      <c r="E22" s="4">
        <v>6744</v>
      </c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237</v>
      </c>
      <c r="B24" s="61" t="s">
        <v>32</v>
      </c>
      <c r="C24" s="61"/>
      <c r="D24" s="61"/>
      <c r="E24" s="4" t="s">
        <v>236</v>
      </c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50">
        <v>45297</v>
      </c>
      <c r="B38" s="46" t="s">
        <v>18</v>
      </c>
      <c r="C38" s="46">
        <v>6142</v>
      </c>
      <c r="D38" s="46">
        <v>6142</v>
      </c>
    </row>
    <row r="39" spans="1:8" x14ac:dyDescent="0.3">
      <c r="A39" s="50">
        <v>45297</v>
      </c>
      <c r="B39" s="46" t="s">
        <v>21</v>
      </c>
      <c r="C39" s="46"/>
      <c r="D39" s="46" t="s">
        <v>119</v>
      </c>
    </row>
    <row r="40" spans="1:8" x14ac:dyDescent="0.3">
      <c r="A40" s="50">
        <v>45297</v>
      </c>
      <c r="B40" s="46" t="s">
        <v>19</v>
      </c>
      <c r="C40" s="46"/>
      <c r="D40" s="46" t="s">
        <v>138</v>
      </c>
    </row>
    <row r="41" spans="1:8" x14ac:dyDescent="0.3">
      <c r="A41" s="50">
        <v>45297</v>
      </c>
      <c r="B41" s="46" t="s">
        <v>20</v>
      </c>
      <c r="C41" s="46"/>
      <c r="D41" s="46">
        <v>6458</v>
      </c>
    </row>
    <row r="42" spans="1:8" x14ac:dyDescent="0.3">
      <c r="A42" s="50">
        <v>45297</v>
      </c>
      <c r="B42" s="46" t="s">
        <v>24</v>
      </c>
      <c r="C42" s="46"/>
      <c r="D42" s="51">
        <v>6.375</v>
      </c>
    </row>
    <row r="43" spans="1:8" x14ac:dyDescent="0.3">
      <c r="A43" s="50">
        <v>45297</v>
      </c>
      <c r="B43" s="46" t="s">
        <v>23</v>
      </c>
      <c r="C43" s="46"/>
      <c r="D43" s="51" t="s">
        <v>62</v>
      </c>
    </row>
    <row r="44" spans="1:8" x14ac:dyDescent="0.3">
      <c r="A44" s="50">
        <v>45297</v>
      </c>
      <c r="B44" s="46" t="s">
        <v>25</v>
      </c>
      <c r="C44" s="46"/>
      <c r="D44" s="51" t="s">
        <v>231</v>
      </c>
    </row>
    <row r="45" spans="1:8" x14ac:dyDescent="0.3">
      <c r="A45" s="50">
        <v>45297</v>
      </c>
      <c r="B45" s="46" t="s">
        <v>26</v>
      </c>
      <c r="C45" s="46"/>
      <c r="D45" s="51" t="s">
        <v>208</v>
      </c>
    </row>
    <row r="46" spans="1:8" x14ac:dyDescent="0.3">
      <c r="A46" s="50">
        <v>45297</v>
      </c>
      <c r="B46" s="46" t="s">
        <v>27</v>
      </c>
      <c r="C46" s="46"/>
      <c r="D46" s="51">
        <v>2.65</v>
      </c>
    </row>
    <row r="47" spans="1:8" x14ac:dyDescent="0.3">
      <c r="A47" s="50">
        <v>45297</v>
      </c>
      <c r="B47" s="46" t="s">
        <v>28</v>
      </c>
      <c r="C47" s="46"/>
      <c r="D47" s="51" t="s">
        <v>51</v>
      </c>
    </row>
    <row r="48" spans="1:8" x14ac:dyDescent="0.3">
      <c r="A48" s="50">
        <v>45297</v>
      </c>
      <c r="B48" s="46" t="s">
        <v>22</v>
      </c>
      <c r="C48" s="46"/>
      <c r="D48" s="51" t="s">
        <v>170</v>
      </c>
    </row>
    <row r="49" spans="1:4" x14ac:dyDescent="0.3">
      <c r="A49" s="50">
        <v>45297</v>
      </c>
      <c r="B49" s="46" t="s">
        <v>29</v>
      </c>
      <c r="C49" s="46"/>
      <c r="D49" s="51">
        <v>7656</v>
      </c>
    </row>
    <row r="50" spans="1:4" x14ac:dyDescent="0.3">
      <c r="A50" s="50">
        <v>45297</v>
      </c>
      <c r="B50" s="46" t="s">
        <v>30</v>
      </c>
      <c r="C50" s="46"/>
      <c r="D50" s="51" t="s">
        <v>79</v>
      </c>
    </row>
    <row r="51" spans="1:4" x14ac:dyDescent="0.3">
      <c r="A51" s="50">
        <v>45297</v>
      </c>
      <c r="B51" s="46" t="s">
        <v>33</v>
      </c>
      <c r="C51" s="46"/>
      <c r="D51" s="51">
        <v>6.25</v>
      </c>
    </row>
    <row r="52" spans="1:4" x14ac:dyDescent="0.3">
      <c r="A52" s="50">
        <v>45297</v>
      </c>
      <c r="B52" s="46" t="s">
        <v>31</v>
      </c>
      <c r="C52" s="46"/>
      <c r="D52" s="51">
        <v>6744</v>
      </c>
    </row>
    <row r="53" spans="1:4" x14ac:dyDescent="0.3">
      <c r="A53" s="50">
        <v>45297</v>
      </c>
      <c r="B53" s="46" t="s">
        <v>32</v>
      </c>
      <c r="C53" s="46"/>
      <c r="D53" s="51" t="s">
        <v>236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21:G26 G16:G19 G6:G14">
    <cfRule type="cellIs" dxfId="116" priority="2" operator="equal">
      <formula>"Returned"</formula>
    </cfRule>
    <cfRule type="cellIs" dxfId="115" priority="5" operator="equal">
      <formula>"Ready To Order"</formula>
    </cfRule>
    <cfRule type="cellIs" dxfId="114" priority="6" operator="equal">
      <formula>"UNP"</formula>
    </cfRule>
    <cfRule type="containsText" dxfId="113" priority="7" operator="containsText" text="Ordered">
      <formula>NOT(ISERROR(SEARCH("Ordered",G6)))</formula>
    </cfRule>
    <cfRule type="containsText" dxfId="112" priority="8" operator="containsText" text="Pick Up">
      <formula>NOT(ISERROR(SEARCH("Pick Up",G6)))</formula>
    </cfRule>
    <cfRule type="containsText" dxfId="111" priority="9" operator="containsText" text="Complete">
      <formula>NOT(ISERROR(SEARCH("Complete",G6)))</formula>
    </cfRule>
  </conditionalFormatting>
  <conditionalFormatting sqref="G30:G33">
    <cfRule type="containsText" dxfId="110" priority="4" operator="containsText" text="Given">
      <formula>NOT(ISERROR(SEARCH("Given",G30)))</formula>
    </cfRule>
  </conditionalFormatting>
  <conditionalFormatting sqref="G30:G34">
    <cfRule type="containsText" dxfId="109" priority="3" operator="containsText" text="Returned">
      <formula>NOT(ISERROR(SEARCH("Returned",G30)))</formula>
    </cfRule>
  </conditionalFormatting>
  <conditionalFormatting sqref="G21:G26 G16:G19 G6:G14">
    <cfRule type="cellIs" dxfId="108" priority="1" operator="equal">
      <formula>"In Stock"</formula>
    </cfRule>
  </conditionalFormatting>
  <dataValidations count="3">
    <dataValidation type="list" allowBlank="1" showInputMessage="1" showErrorMessage="1" sqref="G30:G34" xr:uid="{E86E9ACE-29C8-4D9E-B677-CAF8787D05A8}">
      <formula1>"--,Returned, Given"</formula1>
    </dataValidation>
    <dataValidation type="list" allowBlank="1" showInputMessage="1" showErrorMessage="1" sqref="G16:G19 G21:G24 G26 G6:G14" xr:uid="{7E2823AA-083B-4626-AD58-B9E79F87EDB5}">
      <formula1>"UNP, Ready To Order, Ordered, In Stock, Pick Up, Complete, Returned"</formula1>
    </dataValidation>
    <dataValidation type="decimal" allowBlank="1" showInputMessage="1" showErrorMessage="1" sqref="L2" xr:uid="{26D6AE16-B98D-4BAB-B189-A6EA84EEAFE8}">
      <formula1>19</formula1>
      <formula2>26</formula2>
    </dataValidation>
  </dataValidations>
  <hyperlinks>
    <hyperlink ref="A1:A2" location="Menu!A1" display="Back to Menu" xr:uid="{C1F8494C-C21C-47BD-9753-C9EE8FA1DB5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22" r:id="rId3" name="Button 2">
              <controlPr defaultSize="0" print="0" autoFill="0" autoPict="0" macro="[0]!ExchangeButton">
                <anchor moveWithCells="1" sizeWithCells="1">
                  <from>
                    <xdr:col>9</xdr:col>
                    <xdr:colOff>594360</xdr:colOff>
                    <xdr:row>10</xdr:row>
                    <xdr:rowOff>152400</xdr:rowOff>
                  </from>
                  <to>
                    <xdr:col>11</xdr:col>
                    <xdr:colOff>891540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3" r:id="rId4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563880</xdr:colOff>
                    <xdr:row>19</xdr:row>
                    <xdr:rowOff>144780</xdr:rowOff>
                  </from>
                  <to>
                    <xdr:col>11</xdr:col>
                    <xdr:colOff>891540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4" r:id="rId5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5" r:id="rId6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6" r:id="rId7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368C5-0D39-436D-998E-8111E412D1C3}">
  <sheetPr codeName="Sheet16"/>
  <dimension ref="A1:L38"/>
  <sheetViews>
    <sheetView topLeftCell="A10" workbookViewId="0">
      <selection activeCell="G26" sqref="G2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198</v>
      </c>
      <c r="D2" s="62"/>
      <c r="E2" s="62" t="s">
        <v>199</v>
      </c>
      <c r="F2" s="62"/>
      <c r="G2" s="1" t="s">
        <v>200</v>
      </c>
      <c r="K2" s="4" t="s">
        <v>9</v>
      </c>
      <c r="L2" s="4">
        <v>19.5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16.899999999999999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129</v>
      </c>
      <c r="K4" s="4" t="s">
        <v>12</v>
      </c>
      <c r="L4" s="4">
        <v>38.1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43.8</v>
      </c>
    </row>
    <row r="6" spans="1:12" x14ac:dyDescent="0.3">
      <c r="A6" s="3" t="s">
        <v>201</v>
      </c>
      <c r="B6" s="61" t="s">
        <v>18</v>
      </c>
      <c r="C6" s="61"/>
      <c r="D6" s="61"/>
      <c r="E6" s="4">
        <v>7040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51.8</v>
      </c>
    </row>
    <row r="7" spans="1:12" x14ac:dyDescent="0.3">
      <c r="A7" s="2" t="s">
        <v>203</v>
      </c>
      <c r="B7" s="62" t="s">
        <v>21</v>
      </c>
      <c r="C7" s="62"/>
      <c r="D7" s="62"/>
      <c r="E7" s="1" t="s">
        <v>202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66.099999999999994</v>
      </c>
    </row>
    <row r="8" spans="1:12" x14ac:dyDescent="0.3">
      <c r="A8" s="3" t="s">
        <v>204</v>
      </c>
      <c r="B8" s="61" t="s">
        <v>19</v>
      </c>
      <c r="C8" s="61"/>
      <c r="D8" s="61"/>
      <c r="E8" s="4" t="s">
        <v>105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268.89999999999998</v>
      </c>
    </row>
    <row r="9" spans="1:12" x14ac:dyDescent="0.3">
      <c r="A9" s="2" t="s">
        <v>206</v>
      </c>
      <c r="B9" s="62" t="s">
        <v>20</v>
      </c>
      <c r="C9" s="62"/>
      <c r="D9" s="62"/>
      <c r="E9" s="1" t="s">
        <v>205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123.5</v>
      </c>
    </row>
    <row r="10" spans="1:12" x14ac:dyDescent="0.3">
      <c r="A10" s="3" t="s">
        <v>207</v>
      </c>
      <c r="B10" s="61" t="s">
        <v>24</v>
      </c>
      <c r="C10" s="61"/>
      <c r="D10" s="61"/>
      <c r="E10" s="8">
        <v>6.375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6.1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154</v>
      </c>
      <c r="B12" s="61" t="s">
        <v>25</v>
      </c>
      <c r="C12" s="61"/>
      <c r="D12" s="61"/>
      <c r="E12" s="4" t="s">
        <v>138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209</v>
      </c>
      <c r="B13" s="62" t="s">
        <v>26</v>
      </c>
      <c r="C13" s="62"/>
      <c r="D13" s="62"/>
      <c r="E13" s="1" t="s">
        <v>208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211</v>
      </c>
      <c r="B14" s="61" t="s">
        <v>27</v>
      </c>
      <c r="C14" s="61"/>
      <c r="D14" s="61"/>
      <c r="E14" s="4" t="s">
        <v>210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212</v>
      </c>
      <c r="B17" s="62" t="s">
        <v>22</v>
      </c>
      <c r="C17" s="62"/>
      <c r="D17" s="62"/>
      <c r="E17" s="1" t="s">
        <v>170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109</v>
      </c>
      <c r="B18" s="61" t="s">
        <v>29</v>
      </c>
      <c r="C18" s="61"/>
      <c r="D18" s="61"/>
      <c r="E18" s="4">
        <v>7652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176</v>
      </c>
      <c r="B19" s="62" t="s">
        <v>30</v>
      </c>
      <c r="C19" s="62"/>
      <c r="D19" s="62"/>
      <c r="E19" s="1" t="s">
        <v>175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213</v>
      </c>
      <c r="B21" s="62" t="s">
        <v>33</v>
      </c>
      <c r="C21" s="62"/>
      <c r="D21" s="62"/>
      <c r="E21" s="9">
        <v>6.25</v>
      </c>
      <c r="F21" s="16">
        <v>1</v>
      </c>
      <c r="G21" s="25" t="s">
        <v>76</v>
      </c>
      <c r="H21" s="23" t="str">
        <f>HYPERLINK("#G21",CHAR(128))</f>
        <v>€</v>
      </c>
    </row>
    <row r="22" spans="1:10" x14ac:dyDescent="0.3">
      <c r="A22" s="5" t="s">
        <v>214</v>
      </c>
      <c r="B22" s="61" t="s">
        <v>31</v>
      </c>
      <c r="C22" s="61"/>
      <c r="D22" s="61"/>
      <c r="E22" s="4">
        <v>6740</v>
      </c>
      <c r="F22" s="4">
        <v>1</v>
      </c>
      <c r="G22" s="25" t="s">
        <v>76</v>
      </c>
      <c r="H22" s="23" t="str">
        <f>HYPERLINK("#G22",CHAR(128))</f>
        <v>€</v>
      </c>
    </row>
    <row r="23" spans="1:10" x14ac:dyDescent="0.3">
      <c r="A23" s="2" t="s">
        <v>215</v>
      </c>
      <c r="B23" s="62" t="s">
        <v>48</v>
      </c>
      <c r="C23" s="62"/>
      <c r="D23" s="62"/>
      <c r="E23" s="1">
        <v>7046</v>
      </c>
      <c r="F23" s="16">
        <v>1</v>
      </c>
      <c r="G23" s="25" t="s">
        <v>76</v>
      </c>
      <c r="H23" s="22" t="str">
        <f>HYPERLINK("#G23",CHAR(128))</f>
        <v>€</v>
      </c>
    </row>
    <row r="24" spans="1:10" x14ac:dyDescent="0.3">
      <c r="A24" s="5"/>
      <c r="B24" s="61" t="s">
        <v>32</v>
      </c>
      <c r="C24" s="61"/>
      <c r="D24" s="61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Williams</v>
      </c>
      <c r="F26" s="4">
        <v>1</v>
      </c>
      <c r="G26" s="25" t="s">
        <v>76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16:G19 G21:G26">
    <cfRule type="cellIs" dxfId="107" priority="2" operator="equal">
      <formula>"Returned"</formula>
    </cfRule>
    <cfRule type="cellIs" dxfId="106" priority="5" operator="equal">
      <formula>"Ready To Order"</formula>
    </cfRule>
    <cfRule type="cellIs" dxfId="105" priority="6" operator="equal">
      <formula>"UNP"</formula>
    </cfRule>
    <cfRule type="containsText" dxfId="104" priority="7" operator="containsText" text="Ordered">
      <formula>NOT(ISERROR(SEARCH("Ordered",G6)))</formula>
    </cfRule>
    <cfRule type="containsText" dxfId="103" priority="8" operator="containsText" text="Pick Up">
      <formula>NOT(ISERROR(SEARCH("Pick Up",G6)))</formula>
    </cfRule>
    <cfRule type="containsText" dxfId="102" priority="9" operator="containsText" text="Complete">
      <formula>NOT(ISERROR(SEARCH("Complete",G6)))</formula>
    </cfRule>
  </conditionalFormatting>
  <conditionalFormatting sqref="G30:G33">
    <cfRule type="containsText" dxfId="101" priority="4" operator="containsText" text="Given">
      <formula>NOT(ISERROR(SEARCH("Given",G30)))</formula>
    </cfRule>
  </conditionalFormatting>
  <conditionalFormatting sqref="G30:G34">
    <cfRule type="containsText" dxfId="100" priority="3" operator="containsText" text="Returned">
      <formula>NOT(ISERROR(SEARCH("Returned",G30)))</formula>
    </cfRule>
  </conditionalFormatting>
  <conditionalFormatting sqref="G6:G14 G16:G19 G21:G26">
    <cfRule type="cellIs" dxfId="99" priority="1" operator="equal">
      <formula>"In Stock"</formula>
    </cfRule>
  </conditionalFormatting>
  <dataValidations count="3">
    <dataValidation type="list" allowBlank="1" showInputMessage="1" showErrorMessage="1" sqref="G30:G34" xr:uid="{02246537-5B66-4109-993C-9531D02589F9}">
      <formula1>"--,Returned, Given"</formula1>
    </dataValidation>
    <dataValidation type="list" allowBlank="1" showInputMessage="1" showErrorMessage="1" sqref="G16:G19 G6:G14 G26 G21:G24" xr:uid="{61F948E8-1A08-46A6-AB87-8719BF41CB56}">
      <formula1>"UNP, Ready To Order, Ordered, In Stock, Pick Up, Complete, Returned"</formula1>
    </dataValidation>
    <dataValidation type="decimal" allowBlank="1" showInputMessage="1" showErrorMessage="1" sqref="L2" xr:uid="{A69B9483-D6E4-4D60-9558-D4AED88823C1}">
      <formula1>19</formula1>
      <formula2>26</formula2>
    </dataValidation>
  </dataValidations>
  <hyperlinks>
    <hyperlink ref="A1:A2" location="Menu!A1" display="Back to Menu" xr:uid="{A8C74E67-4337-4C5C-A955-2380F88DA04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7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8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0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4A4F3-F5CD-4F38-B8D4-6644B6F2FBE1}">
  <sheetPr codeName="Sheet17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216</v>
      </c>
      <c r="D2" s="62"/>
      <c r="E2" s="62" t="s">
        <v>128</v>
      </c>
      <c r="F2" s="62"/>
      <c r="G2" s="1" t="s">
        <v>217</v>
      </c>
      <c r="K2" s="4" t="s">
        <v>9</v>
      </c>
      <c r="L2" s="4">
        <v>20.9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19</v>
      </c>
    </row>
    <row r="4" spans="1:12" x14ac:dyDescent="0.3">
      <c r="A4" s="1" t="s">
        <v>39</v>
      </c>
      <c r="B4" s="73">
        <v>7117307176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52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38.299999999999997</v>
      </c>
    </row>
    <row r="6" spans="1:12" x14ac:dyDescent="0.3">
      <c r="A6" s="3" t="s">
        <v>218</v>
      </c>
      <c r="B6" s="61" t="s">
        <v>18</v>
      </c>
      <c r="C6" s="61"/>
      <c r="D6" s="61"/>
      <c r="E6" s="4">
        <v>7052</v>
      </c>
      <c r="F6" s="4">
        <v>1</v>
      </c>
      <c r="G6" s="25" t="s">
        <v>183</v>
      </c>
      <c r="H6" s="28" t="str">
        <f>HYPERLINK("#G6",CHAR(128))</f>
        <v>€</v>
      </c>
      <c r="K6" s="4" t="s">
        <v>14</v>
      </c>
      <c r="L6" s="4">
        <v>61.9</v>
      </c>
    </row>
    <row r="7" spans="1:12" x14ac:dyDescent="0.3">
      <c r="A7" s="2" t="s">
        <v>219</v>
      </c>
      <c r="B7" s="62" t="s">
        <v>21</v>
      </c>
      <c r="C7" s="62"/>
      <c r="D7" s="62"/>
      <c r="E7" s="1">
        <v>19</v>
      </c>
      <c r="F7" s="16">
        <v>1</v>
      </c>
      <c r="G7" s="25" t="s">
        <v>183</v>
      </c>
      <c r="H7" s="28" t="str">
        <f>HYPERLINK("#G7",CHAR(128))</f>
        <v>€</v>
      </c>
      <c r="K7" s="1" t="s">
        <v>15</v>
      </c>
      <c r="L7" s="1">
        <v>58.2</v>
      </c>
    </row>
    <row r="8" spans="1:12" x14ac:dyDescent="0.3">
      <c r="A8" s="3" t="s">
        <v>87</v>
      </c>
      <c r="B8" s="61" t="s">
        <v>19</v>
      </c>
      <c r="C8" s="61"/>
      <c r="D8" s="61"/>
      <c r="E8" s="4" t="s">
        <v>86</v>
      </c>
      <c r="F8" s="4">
        <v>1</v>
      </c>
      <c r="G8" s="25" t="s">
        <v>183</v>
      </c>
      <c r="H8" s="28" t="str">
        <f>HYPERLINK("#G8",CHAR(128))</f>
        <v>€</v>
      </c>
      <c r="K8" s="4" t="s">
        <v>16</v>
      </c>
      <c r="L8" s="4">
        <v>227.4</v>
      </c>
    </row>
    <row r="9" spans="1:12" x14ac:dyDescent="0.3">
      <c r="A9" s="2" t="s">
        <v>220</v>
      </c>
      <c r="B9" s="62" t="s">
        <v>20</v>
      </c>
      <c r="C9" s="62"/>
      <c r="D9" s="62"/>
      <c r="E9" s="1">
        <v>6456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121.4</v>
      </c>
    </row>
    <row r="10" spans="1:12" x14ac:dyDescent="0.3">
      <c r="A10" s="3" t="s">
        <v>221</v>
      </c>
      <c r="B10" s="61" t="s">
        <v>24</v>
      </c>
      <c r="C10" s="61"/>
      <c r="D10" s="61"/>
      <c r="E10" s="8">
        <v>6.75</v>
      </c>
      <c r="F10" s="4">
        <v>1</v>
      </c>
      <c r="G10" s="25" t="s">
        <v>187</v>
      </c>
      <c r="H10" s="28" t="str">
        <f>HYPERLINK("#G10",CHAR(128))</f>
        <v>€</v>
      </c>
      <c r="K10" s="15" t="s">
        <v>47</v>
      </c>
      <c r="L10" s="15">
        <v>8.9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71</v>
      </c>
      <c r="B12" s="61" t="s">
        <v>25</v>
      </c>
      <c r="C12" s="61"/>
      <c r="D12" s="61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223</v>
      </c>
      <c r="B13" s="62" t="s">
        <v>26</v>
      </c>
      <c r="C13" s="62"/>
      <c r="D13" s="62"/>
      <c r="E13" s="1" t="s">
        <v>222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137</v>
      </c>
      <c r="B14" s="61" t="s">
        <v>27</v>
      </c>
      <c r="C14" s="61"/>
      <c r="D14" s="61"/>
      <c r="E14" s="4" t="s">
        <v>136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126</v>
      </c>
      <c r="B17" s="62" t="s">
        <v>22</v>
      </c>
      <c r="C17" s="62"/>
      <c r="D17" s="62"/>
      <c r="E17" s="1" t="s">
        <v>68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159</v>
      </c>
      <c r="B19" s="62" t="s">
        <v>30</v>
      </c>
      <c r="C19" s="62"/>
      <c r="D19" s="62"/>
      <c r="E19" s="1" t="s">
        <v>158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224</v>
      </c>
      <c r="B21" s="62" t="s">
        <v>33</v>
      </c>
      <c r="C21" s="62"/>
      <c r="D21" s="62"/>
      <c r="E21" s="9">
        <v>6.75</v>
      </c>
      <c r="F21" s="16">
        <v>1</v>
      </c>
      <c r="G21" s="25" t="s">
        <v>76</v>
      </c>
      <c r="H21" s="23" t="str">
        <f>HYPERLINK("#G21",CHAR(128))</f>
        <v>€</v>
      </c>
    </row>
    <row r="22" spans="1:10" x14ac:dyDescent="0.3">
      <c r="A22" s="5" t="s">
        <v>225</v>
      </c>
      <c r="B22" s="61" t="s">
        <v>31</v>
      </c>
      <c r="C22" s="61"/>
      <c r="D22" s="61"/>
      <c r="E22" s="4">
        <v>7052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226</v>
      </c>
      <c r="B23" s="62" t="s">
        <v>48</v>
      </c>
      <c r="C23" s="62"/>
      <c r="D23" s="62"/>
      <c r="E23" s="1">
        <v>6738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/>
      <c r="B24" s="61" t="s">
        <v>32</v>
      </c>
      <c r="C24" s="61"/>
      <c r="D24" s="61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Brown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21:G26 G16:G19 G6:G14">
    <cfRule type="cellIs" dxfId="98" priority="2" operator="equal">
      <formula>"Returned"</formula>
    </cfRule>
    <cfRule type="cellIs" dxfId="97" priority="5" operator="equal">
      <formula>"Ready To Order"</formula>
    </cfRule>
    <cfRule type="cellIs" dxfId="96" priority="6" operator="equal">
      <formula>"UNP"</formula>
    </cfRule>
    <cfRule type="containsText" dxfId="95" priority="7" operator="containsText" text="Ordered">
      <formula>NOT(ISERROR(SEARCH("Ordered",G6)))</formula>
    </cfRule>
    <cfRule type="containsText" dxfId="94" priority="8" operator="containsText" text="Pick Up">
      <formula>NOT(ISERROR(SEARCH("Pick Up",G6)))</formula>
    </cfRule>
    <cfRule type="containsText" dxfId="93" priority="9" operator="containsText" text="Complete">
      <formula>NOT(ISERROR(SEARCH("Complete",G6)))</formula>
    </cfRule>
  </conditionalFormatting>
  <conditionalFormatting sqref="G30:G33">
    <cfRule type="containsText" dxfId="92" priority="4" operator="containsText" text="Given">
      <formula>NOT(ISERROR(SEARCH("Given",G30)))</formula>
    </cfRule>
  </conditionalFormatting>
  <conditionalFormatting sqref="G30:G34">
    <cfRule type="containsText" dxfId="91" priority="3" operator="containsText" text="Returned">
      <formula>NOT(ISERROR(SEARCH("Returned",G30)))</formula>
    </cfRule>
  </conditionalFormatting>
  <conditionalFormatting sqref="G21:G26 G16:G19 G6:G14">
    <cfRule type="cellIs" dxfId="90" priority="1" operator="equal">
      <formula>"In Stock"</formula>
    </cfRule>
  </conditionalFormatting>
  <dataValidations count="3">
    <dataValidation type="list" allowBlank="1" showInputMessage="1" showErrorMessage="1" sqref="G30:G34" xr:uid="{5A83C5C0-475C-4910-B754-167E547C6447}">
      <formula1>"--,Returned, Given"</formula1>
    </dataValidation>
    <dataValidation type="list" allowBlank="1" showInputMessage="1" showErrorMessage="1" sqref="G16:G19 G21:G24 G26 G6:G14" xr:uid="{93A68018-1890-4B24-A696-6AA8ABDD2A3A}">
      <formula1>"UNP, Ready To Order, Ordered, In Stock, Pick Up, Complete, Returned"</formula1>
    </dataValidation>
    <dataValidation type="decimal" allowBlank="1" showInputMessage="1" showErrorMessage="1" sqref="L2" xr:uid="{0C48966A-5EFB-463A-A972-3D08F1C68709}">
      <formula1>19</formula1>
      <formula2>26</formula2>
    </dataValidation>
  </dataValidations>
  <hyperlinks>
    <hyperlink ref="A1:A2" location="Menu!A1" display="Back to Menu" xr:uid="{953A9EA2-A05D-4507-96B8-1A968F216B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4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584F0-0F89-4686-B3AE-252E1D03FB59}">
  <sheetPr codeName="Sheet18"/>
  <dimension ref="A1:L38"/>
  <sheetViews>
    <sheetView workbookViewId="0">
      <selection activeCell="G9" sqref="G9:G14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194</v>
      </c>
      <c r="D2" s="62"/>
      <c r="E2" s="62" t="s">
        <v>238</v>
      </c>
      <c r="F2" s="62"/>
      <c r="G2" s="1" t="s">
        <v>239</v>
      </c>
      <c r="K2" s="4" t="s">
        <v>9</v>
      </c>
      <c r="L2" s="4">
        <v>22.3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18.600000000000001</v>
      </c>
    </row>
    <row r="4" spans="1:12" x14ac:dyDescent="0.3">
      <c r="A4" s="1" t="s">
        <v>39</v>
      </c>
      <c r="B4" s="73">
        <v>6695919148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26.8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45.6</v>
      </c>
    </row>
    <row r="6" spans="1:12" x14ac:dyDescent="0.3">
      <c r="A6" s="3" t="s">
        <v>240</v>
      </c>
      <c r="B6" s="61" t="s">
        <v>18</v>
      </c>
      <c r="C6" s="61"/>
      <c r="D6" s="61"/>
      <c r="E6" s="4">
        <v>7330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37.4</v>
      </c>
    </row>
    <row r="7" spans="1:12" x14ac:dyDescent="0.3">
      <c r="A7" s="2" t="s">
        <v>219</v>
      </c>
      <c r="B7" s="62" t="s">
        <v>21</v>
      </c>
      <c r="C7" s="62"/>
      <c r="D7" s="62"/>
      <c r="E7" s="1">
        <v>19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70.2</v>
      </c>
    </row>
    <row r="8" spans="1:12" x14ac:dyDescent="0.3">
      <c r="A8" s="3" t="s">
        <v>171</v>
      </c>
      <c r="B8" s="61" t="s">
        <v>19</v>
      </c>
      <c r="C8" s="61"/>
      <c r="D8" s="61"/>
      <c r="E8" s="4" t="s">
        <v>170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231.5</v>
      </c>
    </row>
    <row r="9" spans="1:12" x14ac:dyDescent="0.3">
      <c r="A9" s="2" t="s">
        <v>241</v>
      </c>
      <c r="B9" s="62" t="s">
        <v>20</v>
      </c>
      <c r="C9" s="62"/>
      <c r="D9" s="62"/>
      <c r="E9" s="1">
        <v>7346</v>
      </c>
      <c r="F9" s="16">
        <v>1</v>
      </c>
      <c r="G9" s="25" t="s">
        <v>76</v>
      </c>
      <c r="H9" s="28" t="str">
        <f>HYPERLINK("#G9",CHAR(128))</f>
        <v>€</v>
      </c>
      <c r="I9" s="11"/>
      <c r="K9" s="1" t="s">
        <v>17</v>
      </c>
      <c r="L9" s="1">
        <v>107.9</v>
      </c>
    </row>
    <row r="10" spans="1:12" x14ac:dyDescent="0.3">
      <c r="A10" s="3" t="s">
        <v>242</v>
      </c>
      <c r="B10" s="61" t="s">
        <v>24</v>
      </c>
      <c r="C10" s="61"/>
      <c r="D10" s="61"/>
      <c r="E10" s="8">
        <v>7.125</v>
      </c>
      <c r="F10" s="4">
        <v>1</v>
      </c>
      <c r="G10" s="25" t="s">
        <v>76</v>
      </c>
      <c r="H10" s="28" t="str">
        <f>HYPERLINK("#G10",CHAR(128))</f>
        <v>€</v>
      </c>
      <c r="K10" s="15" t="s">
        <v>47</v>
      </c>
      <c r="L10" s="15">
        <v>9.8000000000000007</v>
      </c>
    </row>
    <row r="11" spans="1:12" x14ac:dyDescent="0.3">
      <c r="A11" s="2" t="s">
        <v>244</v>
      </c>
      <c r="B11" s="62" t="s">
        <v>23</v>
      </c>
      <c r="C11" s="62"/>
      <c r="D11" s="62"/>
      <c r="E11" s="1" t="s">
        <v>243</v>
      </c>
      <c r="F11" s="16">
        <v>1</v>
      </c>
      <c r="G11" s="25" t="s">
        <v>76</v>
      </c>
      <c r="H11" s="28" t="str">
        <f>HYPERLINK("#G11",CHAR(128))</f>
        <v>€</v>
      </c>
    </row>
    <row r="12" spans="1:12" x14ac:dyDescent="0.3">
      <c r="A12" s="5" t="s">
        <v>154</v>
      </c>
      <c r="B12" s="61" t="s">
        <v>25</v>
      </c>
      <c r="C12" s="61"/>
      <c r="D12" s="61"/>
      <c r="E12" s="4" t="s">
        <v>138</v>
      </c>
      <c r="F12" s="4">
        <v>1</v>
      </c>
      <c r="G12" s="25" t="s">
        <v>76</v>
      </c>
      <c r="H12" s="28" t="str">
        <f>HYPERLINK("#G12",CHAR(128))</f>
        <v>€</v>
      </c>
    </row>
    <row r="13" spans="1:12" x14ac:dyDescent="0.3">
      <c r="A13" s="2" t="s">
        <v>223</v>
      </c>
      <c r="B13" s="62" t="s">
        <v>26</v>
      </c>
      <c r="C13" s="62"/>
      <c r="D13" s="62"/>
      <c r="E13" s="1" t="s">
        <v>222</v>
      </c>
      <c r="F13" s="16">
        <v>1</v>
      </c>
      <c r="G13" s="25" t="s">
        <v>76</v>
      </c>
      <c r="H13" s="28" t="str">
        <f>HYPERLINK("#G13",CHAR(128))</f>
        <v>€</v>
      </c>
    </row>
    <row r="14" spans="1:12" x14ac:dyDescent="0.3">
      <c r="A14" s="5" t="s">
        <v>246</v>
      </c>
      <c r="B14" s="61" t="s">
        <v>27</v>
      </c>
      <c r="C14" s="61"/>
      <c r="D14" s="61"/>
      <c r="E14" s="4" t="s">
        <v>245</v>
      </c>
      <c r="F14" s="4">
        <v>1</v>
      </c>
      <c r="G14" s="25" t="s">
        <v>76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124</v>
      </c>
      <c r="B17" s="62" t="s">
        <v>22</v>
      </c>
      <c r="C17" s="62"/>
      <c r="D17" s="62"/>
      <c r="E17" s="1" t="s">
        <v>105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247</v>
      </c>
      <c r="B18" s="61" t="s">
        <v>29</v>
      </c>
      <c r="C18" s="61"/>
      <c r="D18" s="61"/>
      <c r="E18" s="4">
        <v>7640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96</v>
      </c>
      <c r="B19" s="62" t="s">
        <v>30</v>
      </c>
      <c r="C19" s="62"/>
      <c r="D19" s="62"/>
      <c r="E19" s="1" t="s">
        <v>95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248</v>
      </c>
      <c r="B21" s="62" t="s">
        <v>33</v>
      </c>
      <c r="C21" s="62"/>
      <c r="D21" s="62"/>
      <c r="E21" s="9">
        <v>7.125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249</v>
      </c>
      <c r="B22" s="61" t="s">
        <v>31</v>
      </c>
      <c r="C22" s="61"/>
      <c r="D22" s="61"/>
      <c r="E22" s="4">
        <v>7336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250</v>
      </c>
      <c r="B23" s="62" t="s">
        <v>48</v>
      </c>
      <c r="C23" s="62"/>
      <c r="D23" s="62"/>
      <c r="E23" s="1">
        <v>7346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252</v>
      </c>
      <c r="B24" s="61" t="s">
        <v>32</v>
      </c>
      <c r="C24" s="61"/>
      <c r="D24" s="61"/>
      <c r="E24" s="4" t="s">
        <v>251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21:G26 G16:G19 G6:G14">
    <cfRule type="cellIs" dxfId="89" priority="2" operator="equal">
      <formula>"Returned"</formula>
    </cfRule>
    <cfRule type="cellIs" dxfId="88" priority="5" operator="equal">
      <formula>"Ready To Order"</formula>
    </cfRule>
    <cfRule type="cellIs" dxfId="87" priority="6" operator="equal">
      <formula>"UNP"</formula>
    </cfRule>
    <cfRule type="containsText" dxfId="86" priority="7" operator="containsText" text="Ordered">
      <formula>NOT(ISERROR(SEARCH("Ordered",G6)))</formula>
    </cfRule>
    <cfRule type="containsText" dxfId="85" priority="8" operator="containsText" text="Pick Up">
      <formula>NOT(ISERROR(SEARCH("Pick Up",G6)))</formula>
    </cfRule>
    <cfRule type="containsText" dxfId="84" priority="9" operator="containsText" text="Complete">
      <formula>NOT(ISERROR(SEARCH("Complete",G6)))</formula>
    </cfRule>
  </conditionalFormatting>
  <conditionalFormatting sqref="G30:G33">
    <cfRule type="containsText" dxfId="83" priority="4" operator="containsText" text="Given">
      <formula>NOT(ISERROR(SEARCH("Given",G30)))</formula>
    </cfRule>
  </conditionalFormatting>
  <conditionalFormatting sqref="G30:G34">
    <cfRule type="containsText" dxfId="82" priority="3" operator="containsText" text="Returned">
      <formula>NOT(ISERROR(SEARCH("Returned",G30)))</formula>
    </cfRule>
  </conditionalFormatting>
  <conditionalFormatting sqref="G21:G26 G16:G19 G6:G14">
    <cfRule type="cellIs" dxfId="81" priority="1" operator="equal">
      <formula>"In Stock"</formula>
    </cfRule>
  </conditionalFormatting>
  <dataValidations count="3">
    <dataValidation type="list" allowBlank="1" showInputMessage="1" showErrorMessage="1" sqref="G30:G34" xr:uid="{3EC8DA24-F31D-4167-AE02-93783098EB93}">
      <formula1>"--,Returned, Given"</formula1>
    </dataValidation>
    <dataValidation type="list" allowBlank="1" showInputMessage="1" showErrorMessage="1" sqref="G16:G19 G21:G24 G26 G6:G14" xr:uid="{91023D9D-7C8D-4A12-A74D-93F639E95C23}">
      <formula1>"UNP, Ready To Order, Ordered, In Stock, Pick Up, Complete, Returned"</formula1>
    </dataValidation>
    <dataValidation type="decimal" allowBlank="1" showInputMessage="1" showErrorMessage="1" sqref="L2" xr:uid="{50A73535-B4F3-49C4-BDF7-9D458BF162A0}">
      <formula1>19</formula1>
      <formula2>26</formula2>
    </dataValidation>
  </dataValidations>
  <hyperlinks>
    <hyperlink ref="A1:A2" location="Menu!A1" display="Back to Menu" xr:uid="{A94093C4-703E-4C79-BB2B-2FB47B6F69A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1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1739-4B9A-4284-B909-4F65ABD3417E}">
  <sheetPr codeName="Sheet7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72</v>
      </c>
      <c r="D2" s="62"/>
      <c r="E2" s="62" t="s">
        <v>259</v>
      </c>
      <c r="F2" s="62"/>
      <c r="G2" s="1" t="s">
        <v>260</v>
      </c>
      <c r="K2" s="4" t="s">
        <v>9</v>
      </c>
      <c r="L2" s="4">
        <v>25.2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129</v>
      </c>
      <c r="K4" s="4" t="s">
        <v>12</v>
      </c>
      <c r="L4" s="4">
        <v>41.7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46.8</v>
      </c>
    </row>
    <row r="6" spans="1:12" x14ac:dyDescent="0.3">
      <c r="A6" s="3" t="s">
        <v>261</v>
      </c>
      <c r="B6" s="61" t="s">
        <v>18</v>
      </c>
      <c r="C6" s="61"/>
      <c r="D6" s="61"/>
      <c r="E6" s="4">
        <v>7042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59.7</v>
      </c>
    </row>
    <row r="7" spans="1:12" x14ac:dyDescent="0.3">
      <c r="A7" s="2" t="s">
        <v>203</v>
      </c>
      <c r="B7" s="62" t="s">
        <v>21</v>
      </c>
      <c r="C7" s="62"/>
      <c r="D7" s="62"/>
      <c r="E7" s="1" t="s">
        <v>202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68.900000000000006</v>
      </c>
    </row>
    <row r="8" spans="1:12" x14ac:dyDescent="0.3">
      <c r="A8" s="3" t="s">
        <v>165</v>
      </c>
      <c r="B8" s="61" t="s">
        <v>19</v>
      </c>
      <c r="C8" s="61"/>
      <c r="D8" s="61"/>
      <c r="E8" s="4" t="s">
        <v>138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253.2</v>
      </c>
    </row>
    <row r="9" spans="1:12" x14ac:dyDescent="0.3">
      <c r="A9" s="2" t="s">
        <v>263</v>
      </c>
      <c r="B9" s="62" t="s">
        <v>20</v>
      </c>
      <c r="C9" s="62"/>
      <c r="D9" s="62"/>
      <c r="E9" s="1" t="s">
        <v>262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108.2</v>
      </c>
    </row>
    <row r="10" spans="1:12" x14ac:dyDescent="0.3">
      <c r="A10" s="3"/>
      <c r="B10" s="61" t="s">
        <v>24</v>
      </c>
      <c r="C10" s="61"/>
      <c r="D10" s="61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6.3</v>
      </c>
    </row>
    <row r="11" spans="1:12" x14ac:dyDescent="0.3">
      <c r="A11" s="2" t="s">
        <v>244</v>
      </c>
      <c r="B11" s="62" t="s">
        <v>23</v>
      </c>
      <c r="C11" s="62"/>
      <c r="D11" s="62"/>
      <c r="E11" s="1" t="s">
        <v>243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59</v>
      </c>
      <c r="B12" s="61" t="s">
        <v>25</v>
      </c>
      <c r="C12" s="61"/>
      <c r="D12" s="61"/>
      <c r="E12" s="4" t="s">
        <v>58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91</v>
      </c>
      <c r="B13" s="62" t="s">
        <v>26</v>
      </c>
      <c r="C13" s="62"/>
      <c r="D13" s="62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265</v>
      </c>
      <c r="B14" s="61" t="s">
        <v>27</v>
      </c>
      <c r="C14" s="61"/>
      <c r="D14" s="61"/>
      <c r="E14" s="4" t="s">
        <v>264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75</v>
      </c>
      <c r="B17" s="62" t="s">
        <v>22</v>
      </c>
      <c r="C17" s="62"/>
      <c r="D17" s="62"/>
      <c r="E17" s="1" t="s">
        <v>74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176</v>
      </c>
      <c r="B19" s="62" t="s">
        <v>30</v>
      </c>
      <c r="C19" s="62"/>
      <c r="D19" s="62"/>
      <c r="E19" s="1" t="s">
        <v>175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/>
      <c r="B21" s="62" t="s">
        <v>33</v>
      </c>
      <c r="C21" s="62"/>
      <c r="D21" s="62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266</v>
      </c>
      <c r="B22" s="61" t="s">
        <v>31</v>
      </c>
      <c r="C22" s="61"/>
      <c r="D22" s="61"/>
      <c r="E22" s="4">
        <v>7044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268</v>
      </c>
      <c r="B24" s="61" t="s">
        <v>32</v>
      </c>
      <c r="C24" s="61"/>
      <c r="D24" s="61"/>
      <c r="E24" s="4" t="s">
        <v>267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Anderson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0" priority="2" operator="equal">
      <formula>"Returned"</formula>
    </cfRule>
    <cfRule type="cellIs" dxfId="79" priority="5" operator="equal">
      <formula>"Ready To Order"</formula>
    </cfRule>
    <cfRule type="cellIs" dxfId="78" priority="6" operator="equal">
      <formula>"UNP"</formula>
    </cfRule>
    <cfRule type="containsText" dxfId="77" priority="7" operator="containsText" text="Ordered">
      <formula>NOT(ISERROR(SEARCH("Ordered",G6)))</formula>
    </cfRule>
    <cfRule type="containsText" dxfId="76" priority="8" operator="containsText" text="Pick Up">
      <formula>NOT(ISERROR(SEARCH("Pick Up",G6)))</formula>
    </cfRule>
    <cfRule type="containsText" dxfId="75" priority="9" operator="containsText" text="Complete">
      <formula>NOT(ISERROR(SEARCH("Complete",G6)))</formula>
    </cfRule>
  </conditionalFormatting>
  <conditionalFormatting sqref="G30:G33">
    <cfRule type="containsText" dxfId="74" priority="4" operator="containsText" text="Given">
      <formula>NOT(ISERROR(SEARCH("Given",G30)))</formula>
    </cfRule>
  </conditionalFormatting>
  <conditionalFormatting sqref="G30:G34">
    <cfRule type="containsText" dxfId="73" priority="3" operator="containsText" text="Returned">
      <formula>NOT(ISERROR(SEARCH("Returned",G30)))</formula>
    </cfRule>
  </conditionalFormatting>
  <conditionalFormatting sqref="G6:G14 G21:G26 G16:G19">
    <cfRule type="cellIs" dxfId="72" priority="1" operator="equal">
      <formula>"In Stock"</formula>
    </cfRule>
  </conditionalFormatting>
  <dataValidations count="3">
    <dataValidation type="list" allowBlank="1" showInputMessage="1" showErrorMessage="1" sqref="G30:G34" xr:uid="{AAF7E3A6-9844-4B0C-9E13-82B5A604C94E}">
      <formula1>"--,Returned, Given"</formula1>
    </dataValidation>
    <dataValidation type="list" allowBlank="1" showInputMessage="1" showErrorMessage="1" sqref="G16:G19 G21:G24 G26 G6:G14" xr:uid="{9BA2D57D-89CB-4BF0-A151-4C23DCBAC43A}">
      <formula1>"UNP, Ready To Order, Ordered, In Stock, Pick Up, Complete, Returned"</formula1>
    </dataValidation>
    <dataValidation type="decimal" allowBlank="1" showInputMessage="1" showErrorMessage="1" sqref="L2" xr:uid="{14A898F4-D8D0-4FC8-83CC-EEF83912F009}">
      <formula1>19</formula1>
      <formula2>26</formula2>
    </dataValidation>
  </dataValidations>
  <hyperlinks>
    <hyperlink ref="A1:A2" location="Menu!A1" display="Back to Menu" xr:uid="{31B98E6B-FB7A-4346-8C30-2AC08D2DC53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8EDB5-80A8-4587-A945-1E4B0D1EDD7D}">
  <sheetPr codeName="Sheet19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269</v>
      </c>
      <c r="D2" s="62"/>
      <c r="E2" s="62" t="s">
        <v>194</v>
      </c>
      <c r="F2" s="62"/>
      <c r="G2" s="1" t="s">
        <v>270</v>
      </c>
      <c r="K2" s="4" t="s">
        <v>9</v>
      </c>
      <c r="L2" s="4">
        <v>23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19.8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57.1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53.3</v>
      </c>
    </row>
    <row r="6" spans="1:12" x14ac:dyDescent="0.3">
      <c r="A6" s="3" t="s">
        <v>271</v>
      </c>
      <c r="B6" s="61" t="s">
        <v>18</v>
      </c>
      <c r="C6" s="61"/>
      <c r="D6" s="61"/>
      <c r="E6" s="4">
        <v>7058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33.6</v>
      </c>
    </row>
    <row r="7" spans="1:12" x14ac:dyDescent="0.3">
      <c r="A7" s="2" t="s">
        <v>272</v>
      </c>
      <c r="B7" s="62" t="s">
        <v>21</v>
      </c>
      <c r="C7" s="62"/>
      <c r="D7" s="62"/>
      <c r="E7" s="1">
        <v>20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64.3</v>
      </c>
    </row>
    <row r="8" spans="1:12" x14ac:dyDescent="0.3">
      <c r="A8" s="3"/>
      <c r="B8" s="61" t="s">
        <v>19</v>
      </c>
      <c r="C8" s="61"/>
      <c r="D8" s="61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281.8</v>
      </c>
    </row>
    <row r="9" spans="1:12" x14ac:dyDescent="0.3">
      <c r="A9" s="2" t="s">
        <v>273</v>
      </c>
      <c r="B9" s="62" t="s">
        <v>20</v>
      </c>
      <c r="C9" s="62"/>
      <c r="D9" s="62"/>
      <c r="E9" s="1">
        <v>7054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87.3</v>
      </c>
    </row>
    <row r="10" spans="1:12" x14ac:dyDescent="0.3">
      <c r="A10" s="3" t="s">
        <v>135</v>
      </c>
      <c r="B10" s="61" t="s">
        <v>24</v>
      </c>
      <c r="C10" s="61"/>
      <c r="D10" s="61"/>
      <c r="E10" s="8">
        <v>7.375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9.9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232</v>
      </c>
      <c r="B12" s="61" t="s">
        <v>25</v>
      </c>
      <c r="C12" s="61"/>
      <c r="D12" s="61"/>
      <c r="E12" s="4" t="s">
        <v>231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78</v>
      </c>
      <c r="B13" s="62" t="s">
        <v>26</v>
      </c>
      <c r="C13" s="62"/>
      <c r="D13" s="62"/>
      <c r="E13" s="1" t="s">
        <v>77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275</v>
      </c>
      <c r="B14" s="61" t="s">
        <v>27</v>
      </c>
      <c r="C14" s="61"/>
      <c r="D14" s="61"/>
      <c r="E14" s="4" t="s">
        <v>274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139</v>
      </c>
      <c r="B17" s="62" t="s">
        <v>22</v>
      </c>
      <c r="C17" s="62"/>
      <c r="D17" s="62"/>
      <c r="E17" s="1" t="s">
        <v>138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96</v>
      </c>
      <c r="B19" s="62" t="s">
        <v>30</v>
      </c>
      <c r="C19" s="62"/>
      <c r="D19" s="62"/>
      <c r="E19" s="1" t="s">
        <v>95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141</v>
      </c>
      <c r="B21" s="62" t="s">
        <v>33</v>
      </c>
      <c r="C21" s="62"/>
      <c r="D21" s="62"/>
      <c r="E21" s="9">
        <v>7.375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/>
      <c r="B22" s="61" t="s">
        <v>31</v>
      </c>
      <c r="C22" s="61"/>
      <c r="D22" s="61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277</v>
      </c>
      <c r="B24" s="61" t="s">
        <v>32</v>
      </c>
      <c r="C24" s="61"/>
      <c r="D24" s="61"/>
      <c r="E24" s="4" t="s">
        <v>276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Harris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71" priority="2" operator="equal">
      <formula>"Returned"</formula>
    </cfRule>
    <cfRule type="cellIs" dxfId="70" priority="5" operator="equal">
      <formula>"Ready To Order"</formula>
    </cfRule>
    <cfRule type="cellIs" dxfId="69" priority="6" operator="equal">
      <formula>"UNP"</formula>
    </cfRule>
    <cfRule type="containsText" dxfId="68" priority="7" operator="containsText" text="Ordered">
      <formula>NOT(ISERROR(SEARCH("Ordered",G6)))</formula>
    </cfRule>
    <cfRule type="containsText" dxfId="67" priority="8" operator="containsText" text="Pick Up">
      <formula>NOT(ISERROR(SEARCH("Pick Up",G6)))</formula>
    </cfRule>
    <cfRule type="containsText" dxfId="66" priority="9" operator="containsText" text="Complete">
      <formula>NOT(ISERROR(SEARCH("Complete",G6)))</formula>
    </cfRule>
  </conditionalFormatting>
  <conditionalFormatting sqref="G30:G33">
    <cfRule type="containsText" dxfId="65" priority="4" operator="containsText" text="Given">
      <formula>NOT(ISERROR(SEARCH("Given",G30)))</formula>
    </cfRule>
  </conditionalFormatting>
  <conditionalFormatting sqref="G30:G34">
    <cfRule type="containsText" dxfId="64" priority="3" operator="containsText" text="Returned">
      <formula>NOT(ISERROR(SEARCH("Returned",G30)))</formula>
    </cfRule>
  </conditionalFormatting>
  <conditionalFormatting sqref="G6:G14 G21:G26 G16:G19">
    <cfRule type="cellIs" dxfId="63" priority="1" operator="equal">
      <formula>"In Stock"</formula>
    </cfRule>
  </conditionalFormatting>
  <dataValidations count="3">
    <dataValidation type="list" allowBlank="1" showInputMessage="1" showErrorMessage="1" sqref="G30:G34" xr:uid="{A90C292A-0002-4CA7-BDD9-5EE8E0A5E9AD}">
      <formula1>"--,Returned, Given"</formula1>
    </dataValidation>
    <dataValidation type="list" allowBlank="1" showInputMessage="1" showErrorMessage="1" sqref="G16:G19 G21:G24 G26 G6:G14" xr:uid="{60123E6A-1B1E-4C39-A045-077C31205417}">
      <formula1>"UNP, Ready To Order, Ordered, In Stock, Pick Up, Complete, Returned"</formula1>
    </dataValidation>
    <dataValidation type="decimal" allowBlank="1" showInputMessage="1" showErrorMessage="1" sqref="L2" xr:uid="{ABB17CDB-7543-4B8C-9A4D-D5891AA969B1}">
      <formula1>19</formula1>
      <formula2>26</formula2>
    </dataValidation>
  </dataValidations>
  <hyperlinks>
    <hyperlink ref="A1:A2" location="Menu!A1" display="Back to Menu" xr:uid="{14C1325F-E81A-4690-9DD5-49BF16A8863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8DD2F-0447-461D-886B-ABF50CC45CC3}">
  <sheetPr codeName="Sheet22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278</v>
      </c>
      <c r="D2" s="62"/>
      <c r="E2" s="62" t="s">
        <v>279</v>
      </c>
      <c r="F2" s="62"/>
      <c r="G2" s="1" t="s">
        <v>280</v>
      </c>
      <c r="K2" s="4" t="s">
        <v>9</v>
      </c>
      <c r="L2" s="4">
        <v>19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15.2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38.299999999999997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35.700000000000003</v>
      </c>
    </row>
    <row r="6" spans="1:12" x14ac:dyDescent="0.3">
      <c r="A6" s="3" t="s">
        <v>281</v>
      </c>
      <c r="B6" s="61" t="s">
        <v>18</v>
      </c>
      <c r="C6" s="61"/>
      <c r="D6" s="61"/>
      <c r="E6" s="4">
        <v>7340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65.599999999999994</v>
      </c>
    </row>
    <row r="7" spans="1:12" x14ac:dyDescent="0.3">
      <c r="A7" s="2" t="s">
        <v>283</v>
      </c>
      <c r="B7" s="62" t="s">
        <v>21</v>
      </c>
      <c r="C7" s="62"/>
      <c r="D7" s="62"/>
      <c r="E7" s="1" t="s">
        <v>282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71.5</v>
      </c>
    </row>
    <row r="8" spans="1:12" x14ac:dyDescent="0.3">
      <c r="A8" s="3" t="s">
        <v>204</v>
      </c>
      <c r="B8" s="61" t="s">
        <v>19</v>
      </c>
      <c r="C8" s="61"/>
      <c r="D8" s="61"/>
      <c r="E8" s="4" t="s">
        <v>105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301</v>
      </c>
    </row>
    <row r="9" spans="1:12" x14ac:dyDescent="0.3">
      <c r="A9" s="2" t="s">
        <v>284</v>
      </c>
      <c r="B9" s="62" t="s">
        <v>20</v>
      </c>
      <c r="C9" s="62"/>
      <c r="D9" s="62"/>
      <c r="E9" s="1">
        <v>7660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100.5</v>
      </c>
    </row>
    <row r="10" spans="1:12" x14ac:dyDescent="0.3">
      <c r="A10" s="3" t="s">
        <v>207</v>
      </c>
      <c r="B10" s="61" t="s">
        <v>24</v>
      </c>
      <c r="C10" s="61"/>
      <c r="D10" s="61"/>
      <c r="E10" s="8">
        <v>6.375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8.4</v>
      </c>
    </row>
    <row r="11" spans="1:12" x14ac:dyDescent="0.3">
      <c r="A11" s="2" t="s">
        <v>244</v>
      </c>
      <c r="B11" s="62" t="s">
        <v>23</v>
      </c>
      <c r="C11" s="62"/>
      <c r="D11" s="62"/>
      <c r="E11" s="1" t="s">
        <v>243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71</v>
      </c>
      <c r="B12" s="61" t="s">
        <v>25</v>
      </c>
      <c r="C12" s="61"/>
      <c r="D12" s="61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78</v>
      </c>
      <c r="B13" s="62" t="s">
        <v>26</v>
      </c>
      <c r="C13" s="62"/>
      <c r="D13" s="62"/>
      <c r="E13" s="1" t="s">
        <v>77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286</v>
      </c>
      <c r="B14" s="61" t="s">
        <v>27</v>
      </c>
      <c r="C14" s="61"/>
      <c r="D14" s="61"/>
      <c r="E14" s="4" t="s">
        <v>285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212</v>
      </c>
      <c r="B17" s="62" t="s">
        <v>22</v>
      </c>
      <c r="C17" s="62"/>
      <c r="D17" s="62"/>
      <c r="E17" s="1" t="s">
        <v>170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159</v>
      </c>
      <c r="B19" s="62" t="s">
        <v>30</v>
      </c>
      <c r="C19" s="62"/>
      <c r="D19" s="62"/>
      <c r="E19" s="1" t="s">
        <v>158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287</v>
      </c>
      <c r="B21" s="62" t="s">
        <v>33</v>
      </c>
      <c r="C21" s="62"/>
      <c r="D21" s="62"/>
      <c r="E21" s="9">
        <v>6.125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288</v>
      </c>
      <c r="B22" s="61" t="s">
        <v>31</v>
      </c>
      <c r="C22" s="61"/>
      <c r="D22" s="61"/>
      <c r="E22" s="4">
        <v>7340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289</v>
      </c>
      <c r="B23" s="62" t="s">
        <v>48</v>
      </c>
      <c r="C23" s="62"/>
      <c r="D23" s="62"/>
      <c r="E23" s="1">
        <v>7338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178</v>
      </c>
      <c r="B24" s="61" t="s">
        <v>32</v>
      </c>
      <c r="C24" s="61"/>
      <c r="D24" s="61"/>
      <c r="E24" s="4" t="s">
        <v>177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Lee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62" priority="2" operator="equal">
      <formula>"Returned"</formula>
    </cfRule>
    <cfRule type="cellIs" dxfId="61" priority="5" operator="equal">
      <formula>"Ready To Order"</formula>
    </cfRule>
    <cfRule type="cellIs" dxfId="60" priority="6" operator="equal">
      <formula>"UNP"</formula>
    </cfRule>
    <cfRule type="containsText" dxfId="59" priority="7" operator="containsText" text="Ordered">
      <formula>NOT(ISERROR(SEARCH("Ordered",G6)))</formula>
    </cfRule>
    <cfRule type="containsText" dxfId="58" priority="8" operator="containsText" text="Pick Up">
      <formula>NOT(ISERROR(SEARCH("Pick Up",G6)))</formula>
    </cfRule>
    <cfRule type="containsText" dxfId="57" priority="9" operator="containsText" text="Complete">
      <formula>NOT(ISERROR(SEARCH("Complete",G6)))</formula>
    </cfRule>
  </conditionalFormatting>
  <conditionalFormatting sqref="G30:G33">
    <cfRule type="containsText" dxfId="56" priority="4" operator="containsText" text="Given">
      <formula>NOT(ISERROR(SEARCH("Given",G30)))</formula>
    </cfRule>
  </conditionalFormatting>
  <conditionalFormatting sqref="G30:G34">
    <cfRule type="containsText" dxfId="55" priority="3" operator="containsText" text="Returned">
      <formula>NOT(ISERROR(SEARCH("Returned",G30)))</formula>
    </cfRule>
  </conditionalFormatting>
  <conditionalFormatting sqref="G6:G14 G21:G26 G16:G19">
    <cfRule type="cellIs" dxfId="54" priority="1" operator="equal">
      <formula>"In Stock"</formula>
    </cfRule>
  </conditionalFormatting>
  <dataValidations count="3">
    <dataValidation type="list" allowBlank="1" showInputMessage="1" showErrorMessage="1" sqref="G30:G34" xr:uid="{0862EB23-B5C9-4F3A-9454-998DF7F9880F}">
      <formula1>"--,Returned, Given"</formula1>
    </dataValidation>
    <dataValidation type="list" allowBlank="1" showInputMessage="1" showErrorMessage="1" sqref="G16:G19 G21:G24 G26 G6:G14" xr:uid="{3BBE212B-8F7A-4D19-88A7-C1F62A294B99}">
      <formula1>"UNP, Ready To Order, Ordered, In Stock, Pick Up, Complete, Returned"</formula1>
    </dataValidation>
    <dataValidation type="decimal" allowBlank="1" showInputMessage="1" showErrorMessage="1" sqref="L2" xr:uid="{DF423E54-7474-4EEF-8DD0-8261F1772F49}">
      <formula1>19</formula1>
      <formula2>26</formula2>
    </dataValidation>
  </dataValidations>
  <hyperlinks>
    <hyperlink ref="A1:A2" location="Menu!A1" display="Back to Menu" xr:uid="{3AA322C4-E756-4E10-9BCB-2621BA45059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C1792-E89C-499E-81AE-2B3BC788FAC2}">
  <sheetPr codeName="Sheet23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72</v>
      </c>
      <c r="D2" s="62"/>
      <c r="E2" s="62" t="s">
        <v>116</v>
      </c>
      <c r="F2" s="62"/>
      <c r="G2" s="1" t="s">
        <v>290</v>
      </c>
      <c r="K2" s="4" t="s">
        <v>9</v>
      </c>
      <c r="L2" s="4">
        <v>21.1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14.4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129</v>
      </c>
      <c r="K4" s="4" t="s">
        <v>12</v>
      </c>
      <c r="L4" s="4">
        <v>58.4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50.6</v>
      </c>
    </row>
    <row r="6" spans="1:12" x14ac:dyDescent="0.3">
      <c r="A6" s="3" t="s">
        <v>291</v>
      </c>
      <c r="B6" s="61" t="s">
        <v>18</v>
      </c>
      <c r="C6" s="61"/>
      <c r="D6" s="61"/>
      <c r="E6" s="4">
        <v>7060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42.7</v>
      </c>
    </row>
    <row r="7" spans="1:12" x14ac:dyDescent="0.3">
      <c r="A7" s="2"/>
      <c r="B7" s="62" t="s">
        <v>21</v>
      </c>
      <c r="C7" s="62"/>
      <c r="D7" s="62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69.400000000000006</v>
      </c>
    </row>
    <row r="8" spans="1:12" x14ac:dyDescent="0.3">
      <c r="A8" s="3"/>
      <c r="B8" s="61" t="s">
        <v>19</v>
      </c>
      <c r="C8" s="61"/>
      <c r="D8" s="61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304.89999999999998</v>
      </c>
    </row>
    <row r="9" spans="1:12" x14ac:dyDescent="0.3">
      <c r="A9" s="2" t="s">
        <v>263</v>
      </c>
      <c r="B9" s="62" t="s">
        <v>20</v>
      </c>
      <c r="C9" s="62"/>
      <c r="D9" s="62"/>
      <c r="E9" s="1" t="s">
        <v>262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88.1</v>
      </c>
    </row>
    <row r="10" spans="1:12" x14ac:dyDescent="0.3">
      <c r="A10" s="3" t="s">
        <v>221</v>
      </c>
      <c r="B10" s="61" t="s">
        <v>24</v>
      </c>
      <c r="C10" s="61"/>
      <c r="D10" s="61"/>
      <c r="E10" s="8">
        <v>6.75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8.5</v>
      </c>
    </row>
    <row r="11" spans="1:12" x14ac:dyDescent="0.3">
      <c r="A11" s="2" t="s">
        <v>244</v>
      </c>
      <c r="B11" s="62" t="s">
        <v>23</v>
      </c>
      <c r="C11" s="62"/>
      <c r="D11" s="62"/>
      <c r="E11" s="1" t="s">
        <v>243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59</v>
      </c>
      <c r="B12" s="61" t="s">
        <v>25</v>
      </c>
      <c r="C12" s="61"/>
      <c r="D12" s="61"/>
      <c r="E12" s="4" t="s">
        <v>58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78</v>
      </c>
      <c r="B13" s="62" t="s">
        <v>26</v>
      </c>
      <c r="C13" s="62"/>
      <c r="D13" s="62"/>
      <c r="E13" s="1" t="s">
        <v>77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286</v>
      </c>
      <c r="B14" s="61" t="s">
        <v>27</v>
      </c>
      <c r="C14" s="61"/>
      <c r="D14" s="61"/>
      <c r="E14" s="4" t="s">
        <v>285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292</v>
      </c>
      <c r="B17" s="62" t="s">
        <v>22</v>
      </c>
      <c r="C17" s="62"/>
      <c r="D17" s="62"/>
      <c r="E17" s="1" t="s">
        <v>60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159</v>
      </c>
      <c r="B19" s="62" t="s">
        <v>30</v>
      </c>
      <c r="C19" s="62"/>
      <c r="D19" s="62"/>
      <c r="E19" s="1" t="s">
        <v>158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224</v>
      </c>
      <c r="B21" s="62" t="s">
        <v>33</v>
      </c>
      <c r="C21" s="62"/>
      <c r="D21" s="62"/>
      <c r="E21" s="9">
        <v>6.75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/>
      <c r="B22" s="61" t="s">
        <v>31</v>
      </c>
      <c r="C22" s="61"/>
      <c r="D22" s="61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178</v>
      </c>
      <c r="B24" s="61" t="s">
        <v>32</v>
      </c>
      <c r="C24" s="61"/>
      <c r="D24" s="61"/>
      <c r="E24" s="4" t="s">
        <v>177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Anderson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3" priority="2" operator="equal">
      <formula>"Returned"</formula>
    </cfRule>
    <cfRule type="cellIs" dxfId="52" priority="5" operator="equal">
      <formula>"Ready To Order"</formula>
    </cfRule>
    <cfRule type="cellIs" dxfId="51" priority="6" operator="equal">
      <formula>"UNP"</formula>
    </cfRule>
    <cfRule type="containsText" dxfId="50" priority="7" operator="containsText" text="Ordered">
      <formula>NOT(ISERROR(SEARCH("Ordered",G6)))</formula>
    </cfRule>
    <cfRule type="containsText" dxfId="49" priority="8" operator="containsText" text="Pick Up">
      <formula>NOT(ISERROR(SEARCH("Pick Up",G6)))</formula>
    </cfRule>
    <cfRule type="containsText" dxfId="48" priority="9" operator="containsText" text="Complete">
      <formula>NOT(ISERROR(SEARCH("Complete",G6)))</formula>
    </cfRule>
  </conditionalFormatting>
  <conditionalFormatting sqref="G30:G33">
    <cfRule type="containsText" dxfId="47" priority="4" operator="containsText" text="Given">
      <formula>NOT(ISERROR(SEARCH("Given",G30)))</formula>
    </cfRule>
  </conditionalFormatting>
  <conditionalFormatting sqref="G30:G34">
    <cfRule type="containsText" dxfId="46" priority="3" operator="containsText" text="Returned">
      <formula>NOT(ISERROR(SEARCH("Returned",G30)))</formula>
    </cfRule>
  </conditionalFormatting>
  <conditionalFormatting sqref="G6:G14 G21:G26 G16:G19">
    <cfRule type="cellIs" dxfId="45" priority="1" operator="equal">
      <formula>"In Stock"</formula>
    </cfRule>
  </conditionalFormatting>
  <dataValidations count="3">
    <dataValidation type="list" allowBlank="1" showInputMessage="1" showErrorMessage="1" sqref="G30:G34" xr:uid="{0714C26D-329C-4A97-B849-D0D9BD056EAF}">
      <formula1>"--,Returned, Given"</formula1>
    </dataValidation>
    <dataValidation type="list" allowBlank="1" showInputMessage="1" showErrorMessage="1" sqref="G16:G19 G21:G24 G26 G6:G14" xr:uid="{D0552C2C-A8A3-48AB-907D-9ABF3570B7F9}">
      <formula1>"UNP, Ready To Order, Ordered, In Stock, Pick Up, Complete, Returned"</formula1>
    </dataValidation>
    <dataValidation type="decimal" allowBlank="1" showInputMessage="1" showErrorMessage="1" sqref="L2" xr:uid="{6D87DE51-39FE-40DD-9E64-2A7FF216E241}">
      <formula1>19</formula1>
      <formula2>26</formula2>
    </dataValidation>
  </dataValidations>
  <hyperlinks>
    <hyperlink ref="A1:A2" location="Menu!A1" display="Back to Menu" xr:uid="{70D3AAB8-DF76-42F0-9B88-427E8D2F1BD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88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E4421-45E9-4A6D-B10C-3258E0F941AC}">
  <sheetPr codeName="Sheet24"/>
  <dimension ref="A1:L38"/>
  <sheetViews>
    <sheetView workbookViewId="0">
      <selection activeCell="J5" sqref="J5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148</v>
      </c>
      <c r="D2" s="62"/>
      <c r="E2" s="62" t="s">
        <v>293</v>
      </c>
      <c r="F2" s="62"/>
      <c r="G2" s="1" t="s">
        <v>294</v>
      </c>
      <c r="K2" s="4" t="s">
        <v>9</v>
      </c>
      <c r="L2" s="4">
        <v>21.8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14.4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129</v>
      </c>
      <c r="K4" s="4" t="s">
        <v>12</v>
      </c>
      <c r="L4" s="4">
        <v>51.3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32.1</v>
      </c>
    </row>
    <row r="6" spans="1:12" x14ac:dyDescent="0.3">
      <c r="A6" s="3" t="s">
        <v>295</v>
      </c>
      <c r="B6" s="61" t="s">
        <v>18</v>
      </c>
      <c r="C6" s="61"/>
      <c r="D6" s="61"/>
      <c r="E6" s="4">
        <v>7350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39.200000000000003</v>
      </c>
    </row>
    <row r="7" spans="1:12" x14ac:dyDescent="0.3">
      <c r="A7" s="2" t="s">
        <v>297</v>
      </c>
      <c r="B7" s="62" t="s">
        <v>21</v>
      </c>
      <c r="C7" s="62"/>
      <c r="D7" s="62"/>
      <c r="E7" s="1" t="s">
        <v>296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72.900000000000006</v>
      </c>
    </row>
    <row r="8" spans="1:12" x14ac:dyDescent="0.3">
      <c r="A8" s="3" t="s">
        <v>87</v>
      </c>
      <c r="B8" s="61" t="s">
        <v>19</v>
      </c>
      <c r="C8" s="61"/>
      <c r="D8" s="61"/>
      <c r="E8" s="4" t="s">
        <v>86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262.3</v>
      </c>
    </row>
    <row r="9" spans="1:12" x14ac:dyDescent="0.3">
      <c r="A9" s="2" t="s">
        <v>299</v>
      </c>
      <c r="B9" s="62" t="s">
        <v>20</v>
      </c>
      <c r="C9" s="62"/>
      <c r="D9" s="62"/>
      <c r="E9" s="1" t="s">
        <v>298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108.2</v>
      </c>
    </row>
    <row r="10" spans="1:12" x14ac:dyDescent="0.3">
      <c r="A10" s="3" t="s">
        <v>121</v>
      </c>
      <c r="B10" s="61" t="s">
        <v>24</v>
      </c>
      <c r="C10" s="61"/>
      <c r="D10" s="61"/>
      <c r="E10" s="8">
        <v>7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7.1</v>
      </c>
    </row>
    <row r="11" spans="1:12" x14ac:dyDescent="0.3">
      <c r="A11" s="2" t="s">
        <v>244</v>
      </c>
      <c r="B11" s="62" t="s">
        <v>23</v>
      </c>
      <c r="C11" s="62"/>
      <c r="D11" s="62"/>
      <c r="E11" s="1" t="s">
        <v>243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71</v>
      </c>
      <c r="B12" s="61" t="s">
        <v>25</v>
      </c>
      <c r="C12" s="61"/>
      <c r="D12" s="61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209</v>
      </c>
      <c r="B13" s="62" t="s">
        <v>26</v>
      </c>
      <c r="C13" s="62"/>
      <c r="D13" s="62"/>
      <c r="E13" s="1" t="s">
        <v>208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123</v>
      </c>
      <c r="B14" s="61" t="s">
        <v>27</v>
      </c>
      <c r="C14" s="61"/>
      <c r="D14" s="61"/>
      <c r="E14" s="4" t="s">
        <v>122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292</v>
      </c>
      <c r="B17" s="62" t="s">
        <v>22</v>
      </c>
      <c r="C17" s="62"/>
      <c r="D17" s="62"/>
      <c r="E17" s="1" t="s">
        <v>60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94</v>
      </c>
      <c r="B18" s="61" t="s">
        <v>29</v>
      </c>
      <c r="C18" s="61"/>
      <c r="D18" s="61"/>
      <c r="E18" s="4">
        <v>7656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80</v>
      </c>
      <c r="B19" s="62" t="s">
        <v>30</v>
      </c>
      <c r="C19" s="62"/>
      <c r="D19" s="62"/>
      <c r="E19" s="1" t="s">
        <v>79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125</v>
      </c>
      <c r="B21" s="62" t="s">
        <v>33</v>
      </c>
      <c r="C21" s="62"/>
      <c r="D21" s="62"/>
      <c r="E21" s="9">
        <v>7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300</v>
      </c>
      <c r="B22" s="61" t="s">
        <v>31</v>
      </c>
      <c r="C22" s="61"/>
      <c r="D22" s="61"/>
      <c r="E22" s="4">
        <v>7352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301</v>
      </c>
      <c r="B23" s="62" t="s">
        <v>48</v>
      </c>
      <c r="C23" s="62"/>
      <c r="D23" s="62"/>
      <c r="E23" s="1">
        <v>7334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268</v>
      </c>
      <c r="B24" s="61" t="s">
        <v>32</v>
      </c>
      <c r="C24" s="61"/>
      <c r="D24" s="61"/>
      <c r="E24" s="4" t="s">
        <v>267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Martinez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44" priority="2" operator="equal">
      <formula>"Returned"</formula>
    </cfRule>
    <cfRule type="cellIs" dxfId="43" priority="5" operator="equal">
      <formula>"Ready To Order"</formula>
    </cfRule>
    <cfRule type="cellIs" dxfId="42" priority="6" operator="equal">
      <formula>"UNP"</formula>
    </cfRule>
    <cfRule type="containsText" dxfId="41" priority="7" operator="containsText" text="Ordered">
      <formula>NOT(ISERROR(SEARCH("Ordered",G6)))</formula>
    </cfRule>
    <cfRule type="containsText" dxfId="40" priority="8" operator="containsText" text="Pick Up">
      <formula>NOT(ISERROR(SEARCH("Pick Up",G6)))</formula>
    </cfRule>
    <cfRule type="containsText" dxfId="39" priority="9" operator="containsText" text="Complete">
      <formula>NOT(ISERROR(SEARCH("Complete",G6)))</formula>
    </cfRule>
  </conditionalFormatting>
  <conditionalFormatting sqref="G30:G33">
    <cfRule type="containsText" dxfId="38" priority="4" operator="containsText" text="Given">
      <formula>NOT(ISERROR(SEARCH("Given",G30)))</formula>
    </cfRule>
  </conditionalFormatting>
  <conditionalFormatting sqref="G30:G34">
    <cfRule type="containsText" dxfId="37" priority="3" operator="containsText" text="Returned">
      <formula>NOT(ISERROR(SEARCH("Returned",G30)))</formula>
    </cfRule>
  </conditionalFormatting>
  <conditionalFormatting sqref="G6:G14 G21:G26 G16:G19">
    <cfRule type="cellIs" dxfId="36" priority="1" operator="equal">
      <formula>"In Stock"</formula>
    </cfRule>
  </conditionalFormatting>
  <dataValidations count="3">
    <dataValidation type="list" allowBlank="1" showInputMessage="1" showErrorMessage="1" sqref="G30:G34" xr:uid="{F3591749-A0CC-4088-A188-3E84BD3E0026}">
      <formula1>"--,Returned, Given"</formula1>
    </dataValidation>
    <dataValidation type="list" allowBlank="1" showInputMessage="1" showErrorMessage="1" sqref="G16:G19 G21:G24 G26 G6:G14" xr:uid="{E01F4308-021D-4358-B45B-66C0F031FB7B}">
      <formula1>"UNP, Ready To Order, Ordered, In Stock, Pick Up, Complete, Returned"</formula1>
    </dataValidation>
    <dataValidation type="decimal" allowBlank="1" showInputMessage="1" showErrorMessage="1" sqref="L2" xr:uid="{39F033FB-5691-45C2-BE20-84C89903C97A}">
      <formula1>19</formula1>
      <formula2>26</formula2>
    </dataValidation>
  </dataValidations>
  <hyperlinks>
    <hyperlink ref="A1:A2" location="Menu!A1" display="Back to Menu" xr:uid="{A0E7045D-CA21-42CE-8897-C74ABF95194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90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70F5B-137F-4635-B4CC-9F67230553A7}">
  <sheetPr codeName="Sheet25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302</v>
      </c>
      <c r="D2" s="62"/>
      <c r="E2" s="62" t="s">
        <v>303</v>
      </c>
      <c r="F2" s="62"/>
      <c r="G2" s="1" t="s">
        <v>304</v>
      </c>
      <c r="K2" s="4" t="s">
        <v>9</v>
      </c>
      <c r="L2" s="4">
        <v>22.8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15.1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129</v>
      </c>
      <c r="K4" s="4" t="s">
        <v>12</v>
      </c>
      <c r="L4" s="4">
        <v>59.6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42.8</v>
      </c>
    </row>
    <row r="6" spans="1:12" x14ac:dyDescent="0.3">
      <c r="A6" s="3" t="s">
        <v>291</v>
      </c>
      <c r="B6" s="61" t="s">
        <v>18</v>
      </c>
      <c r="C6" s="61"/>
      <c r="D6" s="61"/>
      <c r="E6" s="4">
        <v>7060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57</v>
      </c>
    </row>
    <row r="7" spans="1:12" x14ac:dyDescent="0.3">
      <c r="A7" s="2"/>
      <c r="B7" s="62" t="s">
        <v>21</v>
      </c>
      <c r="C7" s="62"/>
      <c r="D7" s="62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69.599999999999994</v>
      </c>
    </row>
    <row r="8" spans="1:12" x14ac:dyDescent="0.3">
      <c r="A8" s="3"/>
      <c r="B8" s="61" t="s">
        <v>19</v>
      </c>
      <c r="C8" s="61"/>
      <c r="D8" s="61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302.7</v>
      </c>
    </row>
    <row r="9" spans="1:12" x14ac:dyDescent="0.3">
      <c r="A9" s="2" t="s">
        <v>306</v>
      </c>
      <c r="B9" s="62" t="s">
        <v>20</v>
      </c>
      <c r="C9" s="62"/>
      <c r="D9" s="62"/>
      <c r="E9" s="1" t="s">
        <v>305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123.6</v>
      </c>
    </row>
    <row r="10" spans="1:12" x14ac:dyDescent="0.3">
      <c r="A10" s="3" t="s">
        <v>135</v>
      </c>
      <c r="B10" s="61" t="s">
        <v>24</v>
      </c>
      <c r="C10" s="61"/>
      <c r="D10" s="61"/>
      <c r="E10" s="8">
        <v>7.375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7.9</v>
      </c>
    </row>
    <row r="11" spans="1:12" x14ac:dyDescent="0.3">
      <c r="A11" s="2" t="s">
        <v>244</v>
      </c>
      <c r="B11" s="62" t="s">
        <v>23</v>
      </c>
      <c r="C11" s="62"/>
      <c r="D11" s="62"/>
      <c r="E11" s="1" t="s">
        <v>243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154</v>
      </c>
      <c r="B12" s="61" t="s">
        <v>25</v>
      </c>
      <c r="C12" s="61"/>
      <c r="D12" s="61"/>
      <c r="E12" s="4" t="s">
        <v>138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78</v>
      </c>
      <c r="B13" s="62" t="s">
        <v>26</v>
      </c>
      <c r="C13" s="62"/>
      <c r="D13" s="62"/>
      <c r="E13" s="1" t="s">
        <v>77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211</v>
      </c>
      <c r="B14" s="61" t="s">
        <v>27</v>
      </c>
      <c r="C14" s="61"/>
      <c r="D14" s="61"/>
      <c r="E14" s="4" t="s">
        <v>210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124</v>
      </c>
      <c r="B17" s="62" t="s">
        <v>22</v>
      </c>
      <c r="C17" s="62"/>
      <c r="D17" s="62"/>
      <c r="E17" s="1" t="s">
        <v>105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80</v>
      </c>
      <c r="B19" s="62" t="s">
        <v>30</v>
      </c>
      <c r="C19" s="62"/>
      <c r="D19" s="62"/>
      <c r="E19" s="1" t="s">
        <v>79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141</v>
      </c>
      <c r="B21" s="62" t="s">
        <v>33</v>
      </c>
      <c r="C21" s="62"/>
      <c r="D21" s="62"/>
      <c r="E21" s="9">
        <v>7.375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/>
      <c r="B22" s="61" t="s">
        <v>31</v>
      </c>
      <c r="C22" s="61"/>
      <c r="D22" s="61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 t="s">
        <v>215</v>
      </c>
      <c r="B23" s="62" t="s">
        <v>48</v>
      </c>
      <c r="C23" s="62"/>
      <c r="D23" s="62"/>
      <c r="E23" s="1">
        <v>7046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/>
      <c r="B24" s="61" t="s">
        <v>32</v>
      </c>
      <c r="C24" s="61"/>
      <c r="D24" s="61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Jackson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5" priority="2" operator="equal">
      <formula>"Returned"</formula>
    </cfRule>
    <cfRule type="cellIs" dxfId="34" priority="5" operator="equal">
      <formula>"Ready To Order"</formula>
    </cfRule>
    <cfRule type="cellIs" dxfId="33" priority="6" operator="equal">
      <formula>"UNP"</formula>
    </cfRule>
    <cfRule type="containsText" dxfId="32" priority="7" operator="containsText" text="Ordered">
      <formula>NOT(ISERROR(SEARCH("Ordered",G6)))</formula>
    </cfRule>
    <cfRule type="containsText" dxfId="31" priority="8" operator="containsText" text="Pick Up">
      <formula>NOT(ISERROR(SEARCH("Pick Up",G6)))</formula>
    </cfRule>
    <cfRule type="containsText" dxfId="30" priority="9" operator="containsText" text="Complete">
      <formula>NOT(ISERROR(SEARCH("Complete",G6)))</formula>
    </cfRule>
  </conditionalFormatting>
  <conditionalFormatting sqref="G30:G33">
    <cfRule type="containsText" dxfId="29" priority="4" operator="containsText" text="Given">
      <formula>NOT(ISERROR(SEARCH("Given",G30)))</formula>
    </cfRule>
  </conditionalFormatting>
  <conditionalFormatting sqref="G30:G34">
    <cfRule type="containsText" dxfId="28" priority="3" operator="containsText" text="Returned">
      <formula>NOT(ISERROR(SEARCH("Returned",G30)))</formula>
    </cfRule>
  </conditionalFormatting>
  <conditionalFormatting sqref="G6:G14 G21:G26 G16:G19">
    <cfRule type="cellIs" dxfId="27" priority="1" operator="equal">
      <formula>"In Stock"</formula>
    </cfRule>
  </conditionalFormatting>
  <dataValidations count="3">
    <dataValidation type="list" allowBlank="1" showInputMessage="1" showErrorMessage="1" sqref="G30:G34" xr:uid="{A12B61B4-9C98-44A3-ABB4-BA836C8DC298}">
      <formula1>"--,Returned, Given"</formula1>
    </dataValidation>
    <dataValidation type="list" allowBlank="1" showInputMessage="1" showErrorMessage="1" sqref="G16:G19 G21:G24 G26 G6:G14" xr:uid="{C0D41C0C-47FB-4E1C-AEF2-7D241392C418}">
      <formula1>"UNP, Ready To Order, Ordered, In Stock, Pick Up, Complete, Returned"</formula1>
    </dataValidation>
    <dataValidation type="decimal" allowBlank="1" showInputMessage="1" showErrorMessage="1" sqref="L2" xr:uid="{B2E6AFAC-2B84-4419-9D46-EAC7E1B0BDAF}">
      <formula1>19</formula1>
      <formula2>26</formula2>
    </dataValidation>
  </dataValidations>
  <hyperlinks>
    <hyperlink ref="A1:A2" location="Menu!A1" display="Back to Menu" xr:uid="{CCF8729B-46A2-40D8-B35E-DCACD3E9EE0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92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3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3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3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3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E3B9F-1E55-422D-8CB9-7A21D2C4BA42}">
  <sheetPr codeName="Sheet26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307</v>
      </c>
      <c r="D2" s="62"/>
      <c r="E2" s="62" t="s">
        <v>308</v>
      </c>
      <c r="F2" s="62"/>
      <c r="G2" s="1" t="s">
        <v>309</v>
      </c>
      <c r="K2" s="4" t="s">
        <v>9</v>
      </c>
      <c r="L2" s="4">
        <v>20.100000000000001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17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36.4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32.1</v>
      </c>
    </row>
    <row r="6" spans="1:12" x14ac:dyDescent="0.3">
      <c r="A6" s="3" t="s">
        <v>310</v>
      </c>
      <c r="B6" s="61" t="s">
        <v>18</v>
      </c>
      <c r="C6" s="61"/>
      <c r="D6" s="61"/>
      <c r="E6" s="4">
        <v>6738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32.299999999999997</v>
      </c>
    </row>
    <row r="7" spans="1:12" x14ac:dyDescent="0.3">
      <c r="A7" s="2"/>
      <c r="B7" s="62" t="s">
        <v>21</v>
      </c>
      <c r="C7" s="62"/>
      <c r="D7" s="62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64.599999999999994</v>
      </c>
    </row>
    <row r="8" spans="1:12" x14ac:dyDescent="0.3">
      <c r="A8" s="3"/>
      <c r="B8" s="61" t="s">
        <v>19</v>
      </c>
      <c r="C8" s="61"/>
      <c r="D8" s="61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270.89999999999998</v>
      </c>
    </row>
    <row r="9" spans="1:12" x14ac:dyDescent="0.3">
      <c r="A9" s="2"/>
      <c r="B9" s="62" t="s">
        <v>20</v>
      </c>
      <c r="C9" s="62"/>
      <c r="D9" s="62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120.3</v>
      </c>
    </row>
    <row r="10" spans="1:12" x14ac:dyDescent="0.3">
      <c r="A10" s="3"/>
      <c r="B10" s="61" t="s">
        <v>24</v>
      </c>
      <c r="C10" s="61"/>
      <c r="D10" s="61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8.1999999999999993</v>
      </c>
    </row>
    <row r="11" spans="1:12" x14ac:dyDescent="0.3">
      <c r="A11" s="2"/>
      <c r="B11" s="62" t="s">
        <v>23</v>
      </c>
      <c r="C11" s="62"/>
      <c r="D11" s="62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61" t="s">
        <v>25</v>
      </c>
      <c r="C12" s="61"/>
      <c r="D12" s="61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/>
      <c r="B13" s="62" t="s">
        <v>26</v>
      </c>
      <c r="C13" s="62"/>
      <c r="D13" s="62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61" t="s">
        <v>27</v>
      </c>
      <c r="C14" s="61"/>
      <c r="D14" s="61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/>
      <c r="B16" s="61" t="s">
        <v>28</v>
      </c>
      <c r="C16" s="61"/>
      <c r="D16" s="61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/>
      <c r="B17" s="62" t="s">
        <v>22</v>
      </c>
      <c r="C17" s="62"/>
      <c r="D17" s="62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/>
      <c r="B19" s="62" t="s">
        <v>30</v>
      </c>
      <c r="C19" s="62"/>
      <c r="D19" s="62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/>
      <c r="B21" s="62" t="s">
        <v>33</v>
      </c>
      <c r="C21" s="62"/>
      <c r="D21" s="62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/>
      <c r="B22" s="61" t="s">
        <v>31</v>
      </c>
      <c r="C22" s="61"/>
      <c r="D22" s="61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62" t="s">
        <v>48</v>
      </c>
      <c r="C23" s="62"/>
      <c r="D23" s="6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61" t="s">
        <v>32</v>
      </c>
      <c r="C24" s="61"/>
      <c r="D24" s="61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Lewis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6" priority="2" operator="equal">
      <formula>"Returned"</formula>
    </cfRule>
    <cfRule type="cellIs" dxfId="25" priority="5" operator="equal">
      <formula>"Ready To Order"</formula>
    </cfRule>
    <cfRule type="cellIs" dxfId="24" priority="6" operator="equal">
      <formula>"UNP"</formula>
    </cfRule>
    <cfRule type="containsText" dxfId="23" priority="7" operator="containsText" text="Ordered">
      <formula>NOT(ISERROR(SEARCH("Ordered",G6)))</formula>
    </cfRule>
    <cfRule type="containsText" dxfId="22" priority="8" operator="containsText" text="Pick Up">
      <formula>NOT(ISERROR(SEARCH("Pick Up",G6)))</formula>
    </cfRule>
    <cfRule type="containsText" dxfId="21" priority="9" operator="containsText" text="Complete">
      <formula>NOT(ISERROR(SEARCH("Complete",G6)))</formula>
    </cfRule>
  </conditionalFormatting>
  <conditionalFormatting sqref="G30:G33">
    <cfRule type="containsText" dxfId="20" priority="4" operator="containsText" text="Given">
      <formula>NOT(ISERROR(SEARCH("Given",G30)))</formula>
    </cfRule>
  </conditionalFormatting>
  <conditionalFormatting sqref="G30:G34">
    <cfRule type="containsText" dxfId="19" priority="3" operator="containsText" text="Returned">
      <formula>NOT(ISERROR(SEARCH("Returned",G30)))</formula>
    </cfRule>
  </conditionalFormatting>
  <conditionalFormatting sqref="G6:G14 G21:G26 G16:G19">
    <cfRule type="cellIs" dxfId="18" priority="1" operator="equal">
      <formula>"In Stock"</formula>
    </cfRule>
  </conditionalFormatting>
  <dataValidations count="3">
    <dataValidation type="list" allowBlank="1" showInputMessage="1" showErrorMessage="1" sqref="G30:G34" xr:uid="{7CBF1012-0393-48F3-9D41-825042E28A09}">
      <formula1>"--,Returned, Given"</formula1>
    </dataValidation>
    <dataValidation type="list" allowBlank="1" showInputMessage="1" showErrorMessage="1" sqref="G16:G19 G21:G24 G26 G6:G14" xr:uid="{8EEBA70E-17C5-45C0-83B5-41BA0CDFDB78}">
      <formula1>"UNP, Ready To Order, Ordered, In Stock, Pick Up, Complete, Returned"</formula1>
    </dataValidation>
    <dataValidation type="decimal" allowBlank="1" showInputMessage="1" showErrorMessage="1" sqref="L2" xr:uid="{D9A64F0F-FC07-4373-BF96-6291D61B34BA}">
      <formula1>19</formula1>
      <formula2>26</formula2>
    </dataValidation>
  </dataValidations>
  <hyperlinks>
    <hyperlink ref="A1:A2" location="Menu!A1" display="Back to Menu" xr:uid="{419AEB87-6536-413E-BFAA-9333697E7D3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95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9E408-B4F4-4832-93DE-8540A9F42D79}">
  <sheetPr codeName="Sheet27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x14ac:dyDescent="0.3">
      <c r="A2" s="69"/>
      <c r="B2" s="2" t="s">
        <v>43</v>
      </c>
      <c r="C2" s="62" t="s">
        <v>127</v>
      </c>
      <c r="D2" s="62"/>
      <c r="E2" s="62" t="s">
        <v>83</v>
      </c>
      <c r="F2" s="62"/>
      <c r="G2" s="58" t="s">
        <v>311</v>
      </c>
      <c r="K2" s="4" t="s">
        <v>9</v>
      </c>
      <c r="L2" s="4">
        <v>23.6</v>
      </c>
    </row>
    <row r="3" spans="1:12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>
        <v>15.9</v>
      </c>
    </row>
    <row r="4" spans="1:12" x14ac:dyDescent="0.3">
      <c r="A4" s="1" t="s">
        <v>39</v>
      </c>
      <c r="B4" s="73">
        <v>7345806215</v>
      </c>
      <c r="C4" s="73"/>
      <c r="D4" s="73"/>
      <c r="E4" s="62" t="s">
        <v>52</v>
      </c>
      <c r="F4" s="62"/>
      <c r="G4" s="1" t="s">
        <v>44</v>
      </c>
      <c r="K4" s="4" t="s">
        <v>12</v>
      </c>
      <c r="L4" s="4">
        <v>48.6</v>
      </c>
    </row>
    <row r="5" spans="1:12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>
        <v>40.700000000000003</v>
      </c>
    </row>
    <row r="6" spans="1:12" x14ac:dyDescent="0.3">
      <c r="A6" s="3" t="s">
        <v>312</v>
      </c>
      <c r="B6" s="61" t="s">
        <v>18</v>
      </c>
      <c r="C6" s="61"/>
      <c r="D6" s="61"/>
      <c r="E6" s="4">
        <v>7050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65.8</v>
      </c>
    </row>
    <row r="7" spans="1:12" x14ac:dyDescent="0.3">
      <c r="A7" s="2" t="s">
        <v>314</v>
      </c>
      <c r="B7" s="62" t="s">
        <v>21</v>
      </c>
      <c r="C7" s="62"/>
      <c r="D7" s="62"/>
      <c r="E7" s="1" t="s">
        <v>313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107</v>
      </c>
      <c r="B8" s="61" t="s">
        <v>19</v>
      </c>
      <c r="C8" s="61"/>
      <c r="D8" s="61"/>
      <c r="E8" s="4" t="s">
        <v>58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244.2</v>
      </c>
    </row>
    <row r="9" spans="1:12" x14ac:dyDescent="0.3">
      <c r="A9" s="2" t="s">
        <v>73</v>
      </c>
      <c r="B9" s="62" t="s">
        <v>20</v>
      </c>
      <c r="C9" s="62"/>
      <c r="D9" s="62"/>
      <c r="E9" s="1">
        <v>7060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86.7</v>
      </c>
    </row>
    <row r="10" spans="1:12" x14ac:dyDescent="0.3">
      <c r="A10" s="3" t="s">
        <v>315</v>
      </c>
      <c r="B10" s="61" t="s">
        <v>24</v>
      </c>
      <c r="C10" s="61"/>
      <c r="D10" s="61"/>
      <c r="E10" s="8">
        <v>7.625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8.6</v>
      </c>
    </row>
    <row r="11" spans="1:12" x14ac:dyDescent="0.3">
      <c r="A11" s="2" t="s">
        <v>63</v>
      </c>
      <c r="B11" s="62" t="s">
        <v>23</v>
      </c>
      <c r="C11" s="62"/>
      <c r="D11" s="6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154</v>
      </c>
      <c r="B12" s="61" t="s">
        <v>25</v>
      </c>
      <c r="C12" s="61"/>
      <c r="D12" s="61"/>
      <c r="E12" s="4" t="s">
        <v>138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91</v>
      </c>
      <c r="B13" s="62" t="s">
        <v>26</v>
      </c>
      <c r="C13" s="62"/>
      <c r="D13" s="62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317</v>
      </c>
      <c r="B14" s="61" t="s">
        <v>27</v>
      </c>
      <c r="C14" s="61"/>
      <c r="D14" s="61"/>
      <c r="E14" s="4" t="s">
        <v>316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67"/>
      <c r="C15" s="67"/>
      <c r="D15" s="67"/>
      <c r="E15" s="1"/>
      <c r="F15" s="16"/>
      <c r="G15" s="16"/>
      <c r="H15" s="14"/>
    </row>
    <row r="16" spans="1:12" x14ac:dyDescent="0.3">
      <c r="A16" s="5" t="s">
        <v>46</v>
      </c>
      <c r="B16" s="61" t="s">
        <v>28</v>
      </c>
      <c r="C16" s="61"/>
      <c r="D16" s="6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157</v>
      </c>
      <c r="B17" s="62" t="s">
        <v>22</v>
      </c>
      <c r="C17" s="62"/>
      <c r="D17" s="62"/>
      <c r="E17" s="1" t="s">
        <v>58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159</v>
      </c>
      <c r="B19" s="62" t="s">
        <v>30</v>
      </c>
      <c r="C19" s="62"/>
      <c r="D19" s="62"/>
      <c r="E19" s="1" t="s">
        <v>158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64"/>
      <c r="C20" s="65"/>
      <c r="D20" s="66"/>
      <c r="E20" s="4"/>
      <c r="F20" s="4"/>
      <c r="G20" s="4"/>
      <c r="H20" s="14"/>
    </row>
    <row r="21" spans="1:10" x14ac:dyDescent="0.3">
      <c r="A21" s="2" t="s">
        <v>318</v>
      </c>
      <c r="B21" s="62" t="s">
        <v>33</v>
      </c>
      <c r="C21" s="62"/>
      <c r="D21" s="62"/>
      <c r="E21" s="9">
        <v>7.625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225</v>
      </c>
      <c r="B22" s="61" t="s">
        <v>31</v>
      </c>
      <c r="C22" s="61"/>
      <c r="D22" s="61"/>
      <c r="E22" s="4">
        <v>7052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162</v>
      </c>
      <c r="B23" s="62" t="s">
        <v>48</v>
      </c>
      <c r="C23" s="62"/>
      <c r="D23" s="62"/>
      <c r="E23" s="1">
        <v>6742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99</v>
      </c>
      <c r="B24" s="61" t="s">
        <v>32</v>
      </c>
      <c r="C24" s="61"/>
      <c r="D24" s="61"/>
      <c r="E24" s="4" t="s">
        <v>98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0" x14ac:dyDescent="0.3">
      <c r="A26" s="5"/>
      <c r="B26" s="61" t="s">
        <v>37</v>
      </c>
      <c r="C26" s="61"/>
      <c r="D26" s="61"/>
      <c r="E26" s="4" t="str">
        <f>C2</f>
        <v>Miller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7" priority="2" operator="equal">
      <formula>"Returned"</formula>
    </cfRule>
    <cfRule type="cellIs" dxfId="16" priority="5" operator="equal">
      <formula>"Ready To Order"</formula>
    </cfRule>
    <cfRule type="cellIs" dxfId="15" priority="6" operator="equal">
      <formula>"UNP"</formula>
    </cfRule>
    <cfRule type="containsText" dxfId="14" priority="7" operator="containsText" text="Ordered">
      <formula>NOT(ISERROR(SEARCH("Ordered",G6)))</formula>
    </cfRule>
    <cfRule type="containsText" dxfId="13" priority="8" operator="containsText" text="Pick Up">
      <formula>NOT(ISERROR(SEARCH("Pick Up",G6)))</formula>
    </cfRule>
    <cfRule type="containsText" dxfId="12" priority="9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list" allowBlank="1" showInputMessage="1" showErrorMessage="1" sqref="G30:G34" xr:uid="{F73B516B-3B57-4325-AA97-E8B41792CEA0}">
      <formula1>"--,Returned, Given"</formula1>
    </dataValidation>
    <dataValidation type="list" allowBlank="1" showInputMessage="1" showErrorMessage="1" sqref="G16:G19 G21:G24 G26 G6:G14" xr:uid="{E768F3FE-879F-4F10-B602-0FF0D2503133}">
      <formula1>"UNP, Ready To Order, Ordered, In Stock, Pick Up, Complete, Returned"</formula1>
    </dataValidation>
    <dataValidation type="decimal" allowBlank="1" showInputMessage="1" showErrorMessage="1" sqref="L2" xr:uid="{B3E29C77-60FE-48DF-8D7F-4CCC51C8D7CE}">
      <formula1>19</formula1>
      <formula2>26</formula2>
    </dataValidation>
  </dataValidations>
  <hyperlinks>
    <hyperlink ref="A1:A2" location="Menu!A1" display="Back to Menu" xr:uid="{3D701922-5F10-4107-B5F1-00BF97B5660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7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7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7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8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8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A2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68" t="s">
        <v>42</v>
      </c>
      <c r="B1" s="20" t="s">
        <v>3</v>
      </c>
      <c r="C1" s="63" t="s">
        <v>0</v>
      </c>
      <c r="D1" s="63"/>
      <c r="E1" s="63" t="s">
        <v>2</v>
      </c>
      <c r="F1" s="63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69"/>
      <c r="B2" s="2"/>
      <c r="C2" s="62"/>
      <c r="D2" s="62"/>
      <c r="E2" s="62"/>
      <c r="F2" s="62"/>
      <c r="G2" s="1"/>
      <c r="K2" s="4" t="s">
        <v>9</v>
      </c>
      <c r="L2" s="4"/>
    </row>
    <row r="3" spans="1:12" ht="17.25" customHeight="1" x14ac:dyDescent="0.3">
      <c r="A3" s="20" t="s">
        <v>1</v>
      </c>
      <c r="B3" s="70" t="s">
        <v>4</v>
      </c>
      <c r="C3" s="71"/>
      <c r="D3" s="72"/>
      <c r="E3" s="70" t="s">
        <v>49</v>
      </c>
      <c r="F3" s="72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73"/>
      <c r="C4" s="73"/>
      <c r="D4" s="73"/>
      <c r="E4" s="62"/>
      <c r="F4" s="62"/>
      <c r="G4" s="1"/>
      <c r="K4" s="4" t="s">
        <v>12</v>
      </c>
      <c r="L4" s="4"/>
    </row>
    <row r="5" spans="1:12" ht="17.25" customHeight="1" x14ac:dyDescent="0.3">
      <c r="A5" s="20" t="s">
        <v>6</v>
      </c>
      <c r="B5" s="63" t="s">
        <v>7</v>
      </c>
      <c r="C5" s="63"/>
      <c r="D5" s="63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61" t="s">
        <v>18</v>
      </c>
      <c r="C6" s="61"/>
      <c r="D6" s="61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62" t="s">
        <v>21</v>
      </c>
      <c r="C7" s="62"/>
      <c r="D7" s="62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61" t="s">
        <v>19</v>
      </c>
      <c r="C8" s="61"/>
      <c r="D8" s="61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62" t="s">
        <v>20</v>
      </c>
      <c r="C9" s="62"/>
      <c r="D9" s="62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61" t="s">
        <v>24</v>
      </c>
      <c r="C10" s="61"/>
      <c r="D10" s="61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3">
      <c r="A11" s="2"/>
      <c r="B11" s="62" t="s">
        <v>23</v>
      </c>
      <c r="C11" s="62"/>
      <c r="D11" s="62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3">
      <c r="A12" s="5"/>
      <c r="B12" s="61" t="s">
        <v>25</v>
      </c>
      <c r="C12" s="61"/>
      <c r="D12" s="61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3">
      <c r="A13" s="2"/>
      <c r="B13" s="62" t="s">
        <v>26</v>
      </c>
      <c r="C13" s="62"/>
      <c r="D13" s="62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3">
      <c r="A14" s="5"/>
      <c r="B14" s="61" t="s">
        <v>27</v>
      </c>
      <c r="C14" s="61"/>
      <c r="D14" s="61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3">
      <c r="A15" s="2"/>
      <c r="B15" s="67"/>
      <c r="C15" s="67"/>
      <c r="D15" s="67"/>
      <c r="E15" s="1"/>
      <c r="F15" s="16"/>
      <c r="G15" s="16"/>
      <c r="H15" s="14"/>
    </row>
    <row r="16" spans="1:12" ht="17.25" customHeight="1" x14ac:dyDescent="0.3">
      <c r="A16" s="5"/>
      <c r="B16" s="61" t="s">
        <v>28</v>
      </c>
      <c r="C16" s="61"/>
      <c r="D16" s="61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3">
      <c r="A17" s="2"/>
      <c r="B17" s="62" t="s">
        <v>22</v>
      </c>
      <c r="C17" s="62"/>
      <c r="D17" s="62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3">
      <c r="A18" s="5"/>
      <c r="B18" s="61" t="s">
        <v>29</v>
      </c>
      <c r="C18" s="61"/>
      <c r="D18" s="6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3">
      <c r="A19" s="2"/>
      <c r="B19" s="62" t="s">
        <v>30</v>
      </c>
      <c r="C19" s="62"/>
      <c r="D19" s="62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3">
      <c r="A20" s="5"/>
      <c r="B20" s="64"/>
      <c r="C20" s="65"/>
      <c r="D20" s="66"/>
      <c r="E20" s="4"/>
      <c r="F20" s="4"/>
      <c r="G20" s="4"/>
      <c r="H20" s="14"/>
    </row>
    <row r="21" spans="1:14" x14ac:dyDescent="0.3">
      <c r="A21" s="2"/>
      <c r="B21" s="62" t="s">
        <v>33</v>
      </c>
      <c r="C21" s="62"/>
      <c r="D21" s="62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61" t="s">
        <v>31</v>
      </c>
      <c r="C22" s="61"/>
      <c r="D22" s="61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62" t="s">
        <v>48</v>
      </c>
      <c r="C23" s="62"/>
      <c r="D23" s="6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61" t="s">
        <v>32</v>
      </c>
      <c r="C24" s="61"/>
      <c r="D24" s="61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62"/>
      <c r="C25" s="62"/>
      <c r="D25" s="62"/>
      <c r="E25" s="1"/>
      <c r="F25" s="16"/>
      <c r="G25" s="16"/>
      <c r="H25" s="14"/>
      <c r="I25" s="12"/>
    </row>
    <row r="26" spans="1:14" x14ac:dyDescent="0.3">
      <c r="A26" s="5"/>
      <c r="B26" s="61" t="s">
        <v>37</v>
      </c>
      <c r="C26" s="61"/>
      <c r="D26" s="61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63" t="s">
        <v>50</v>
      </c>
      <c r="C29" s="63"/>
      <c r="D29" s="63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61"/>
      <c r="C30" s="61"/>
      <c r="D30" s="61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62"/>
      <c r="C31" s="62"/>
      <c r="D31" s="62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61"/>
      <c r="C32" s="61"/>
      <c r="D32" s="6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2"/>
      <c r="C33" s="62"/>
      <c r="D33" s="6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1"/>
      <c r="C34" s="61"/>
      <c r="D34" s="6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6" t="s">
        <v>40</v>
      </c>
      <c r="B37" s="46" t="s">
        <v>7</v>
      </c>
      <c r="C37" s="46" t="s">
        <v>67</v>
      </c>
      <c r="D37" s="46" t="s">
        <v>69</v>
      </c>
    </row>
    <row r="38" spans="1:8" x14ac:dyDescent="0.3">
      <c r="A38" s="46"/>
      <c r="B38" s="46"/>
      <c r="C38" s="46"/>
      <c r="D38" s="46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Menu</vt:lpstr>
      <vt:lpstr>Importing</vt:lpstr>
      <vt:lpstr>Pickup</vt:lpstr>
      <vt:lpstr>Master</vt:lpstr>
      <vt:lpstr>Mia_Wilson_795DB783</vt:lpstr>
      <vt:lpstr>aaaa_aaa_F3E668A6</vt:lpstr>
      <vt:lpstr>Liam_Miller_A33FCEBC</vt:lpstr>
      <vt:lpstr>Quinn_Anderson_BF947EB3</vt:lpstr>
      <vt:lpstr>Sheet1</vt:lpstr>
      <vt:lpstr>Yvonne_Martinez_66AC1C8F</vt:lpstr>
      <vt:lpstr>Bob_Robinson_A77A6DA5</vt:lpstr>
      <vt:lpstr>Olivia_Taylor_637855B0</vt:lpstr>
      <vt:lpstr>Grace_Williams_5893D18F</vt:lpstr>
      <vt:lpstr>Liam_Brown_4CDA1BB2</vt:lpstr>
      <vt:lpstr>Henry_Taylor_36CEACB3</vt:lpstr>
      <vt:lpstr>Peter_Anderson_CA66BD9B</vt:lpstr>
      <vt:lpstr>Taylor_Harris_8659C0B1</vt:lpstr>
      <vt:lpstr>David_Lee_2F5AAE8D</vt:lpstr>
      <vt:lpstr>Quinn_Anderson_B8B3A5AF</vt:lpstr>
      <vt:lpstr>Xavier_Martinez_D413A2B4</vt:lpstr>
      <vt:lpstr>Rachel_Jackson_357ABDAE</vt:lpstr>
      <vt:lpstr>Charlie_Lewis_64D94E93</vt:lpstr>
      <vt:lpstr>Mia_Miller_62E6408F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cp:lastPrinted>2023-12-28T05:00:54Z</cp:lastPrinted>
  <dcterms:created xsi:type="dcterms:W3CDTF">2023-08-20T19:28:09Z</dcterms:created>
  <dcterms:modified xsi:type="dcterms:W3CDTF">2024-01-07T04:00:47Z</dcterms:modified>
</cp:coreProperties>
</file>