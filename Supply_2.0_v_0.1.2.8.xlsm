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tables/table9.xml" ContentType="application/vnd.openxmlformats-officedocument.spreadsheetml.table+xml"/>
  <Override PartName="/xl/drawings/drawing12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8_{035A4222-D040-4012-90B4-F3F2E0FDA2D0}" xr6:coauthVersionLast="47" xr6:coauthVersionMax="47" xr10:uidLastSave="{00000000-0000-0000-0000-000000000000}"/>
  <bookViews>
    <workbookView xWindow="-118" yWindow="-118" windowWidth="33749" windowHeight="18471" tabRatio="856" activeTab="3" xr2:uid="{01218C0E-FF84-42AC-8993-DD76AC11461D}"/>
  </bookViews>
  <sheets>
    <sheet name="Menu" sheetId="48" r:id="rId1"/>
    <sheet name="Importing" sheetId="124" r:id="rId2"/>
    <sheet name="Pickup" sheetId="181" r:id="rId3"/>
    <sheet name="Master" sheetId="227" r:id="rId4"/>
    <sheet name="Mia_Wilson_795DB783" sheetId="212" r:id="rId5"/>
    <sheet name="aaaa_aaa_F3E668A6" sheetId="213" r:id="rId6"/>
    <sheet name="Frank_Thomas_215B12B4" sheetId="214" r:id="rId7"/>
    <sheet name="Quinn_Anderson_BF947EB3" sheetId="215" r:id="rId8"/>
    <sheet name="Liam_Miller_A33FCEBC" sheetId="222" r:id="rId9"/>
    <sheet name="Yvonne_Martinez_66AC1C8F" sheetId="225" r:id="rId10"/>
    <sheet name="Bob_Robinson_A77A6DA5" sheetId="226" r:id="rId11"/>
    <sheet name="Template" sheetId="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26" l="1"/>
  <c r="H33" i="226"/>
  <c r="H32" i="226"/>
  <c r="H31" i="226"/>
  <c r="H30" i="226"/>
  <c r="H26" i="226"/>
  <c r="E26" i="226"/>
  <c r="H24" i="226"/>
  <c r="H23" i="226"/>
  <c r="H22" i="226"/>
  <c r="H21" i="226"/>
  <c r="H19" i="226"/>
  <c r="H18" i="226"/>
  <c r="H17" i="226"/>
  <c r="H16" i="226"/>
  <c r="H14" i="226"/>
  <c r="H13" i="226"/>
  <c r="H12" i="226"/>
  <c r="H11" i="226"/>
  <c r="H10" i="226"/>
  <c r="H9" i="226"/>
  <c r="H8" i="226"/>
  <c r="H7" i="226"/>
  <c r="H6" i="226"/>
  <c r="H34" i="225"/>
  <c r="H33" i="225"/>
  <c r="H32" i="225"/>
  <c r="H31" i="225"/>
  <c r="H30" i="225"/>
  <c r="H26" i="225"/>
  <c r="E26" i="225"/>
  <c r="H24" i="225"/>
  <c r="H23" i="225"/>
  <c r="H22" i="225"/>
  <c r="H21" i="225"/>
  <c r="H19" i="225"/>
  <c r="H18" i="225"/>
  <c r="H17" i="225"/>
  <c r="H16" i="225"/>
  <c r="H14" i="225"/>
  <c r="H13" i="225"/>
  <c r="H12" i="225"/>
  <c r="H11" i="225"/>
  <c r="H10" i="225"/>
  <c r="H9" i="225"/>
  <c r="H8" i="225"/>
  <c r="H7" i="225"/>
  <c r="H6" i="225"/>
  <c r="H34" i="222"/>
  <c r="H33" i="222"/>
  <c r="H32" i="222"/>
  <c r="H31" i="222"/>
  <c r="H30" i="222"/>
  <c r="H26" i="222"/>
  <c r="E26" i="222"/>
  <c r="H24" i="222"/>
  <c r="H23" i="222"/>
  <c r="H22" i="222"/>
  <c r="H21" i="222"/>
  <c r="H19" i="222"/>
  <c r="H18" i="222"/>
  <c r="H17" i="222"/>
  <c r="H16" i="222"/>
  <c r="H14" i="222"/>
  <c r="H13" i="222"/>
  <c r="H12" i="222"/>
  <c r="H11" i="222"/>
  <c r="H10" i="222"/>
  <c r="H9" i="222"/>
  <c r="H8" i="222"/>
  <c r="H7" i="222"/>
  <c r="H6" i="222"/>
  <c r="H34" i="215"/>
  <c r="H33" i="215"/>
  <c r="H32" i="215"/>
  <c r="H31" i="215"/>
  <c r="H30" i="215"/>
  <c r="H26" i="215"/>
  <c r="E26" i="215"/>
  <c r="H24" i="215"/>
  <c r="H23" i="215"/>
  <c r="H22" i="215"/>
  <c r="H21" i="215"/>
  <c r="H19" i="215"/>
  <c r="H18" i="215"/>
  <c r="H17" i="215"/>
  <c r="H16" i="215"/>
  <c r="H14" i="215"/>
  <c r="H13" i="215"/>
  <c r="H12" i="215"/>
  <c r="H11" i="215"/>
  <c r="H10" i="215"/>
  <c r="H9" i="215"/>
  <c r="H8" i="215"/>
  <c r="H7" i="215"/>
  <c r="H6" i="215"/>
  <c r="H34" i="214"/>
  <c r="H33" i="214"/>
  <c r="H32" i="214"/>
  <c r="H31" i="214"/>
  <c r="H30" i="214"/>
  <c r="H26" i="214"/>
  <c r="E26" i="214"/>
  <c r="H24" i="214"/>
  <c r="H23" i="214"/>
  <c r="H22" i="214"/>
  <c r="H21" i="214"/>
  <c r="H19" i="214"/>
  <c r="H18" i="214"/>
  <c r="H17" i="214"/>
  <c r="H16" i="214"/>
  <c r="H14" i="214"/>
  <c r="H13" i="214"/>
  <c r="H12" i="214"/>
  <c r="H11" i="214"/>
  <c r="H10" i="214"/>
  <c r="H9" i="214"/>
  <c r="H8" i="214"/>
  <c r="H7" i="214"/>
  <c r="H6" i="214"/>
  <c r="H34" i="213"/>
  <c r="H33" i="213"/>
  <c r="H32" i="213"/>
  <c r="H31" i="213"/>
  <c r="H30" i="213"/>
  <c r="H26" i="213"/>
  <c r="H24" i="213"/>
  <c r="H23" i="213"/>
  <c r="H22" i="213"/>
  <c r="H21" i="213"/>
  <c r="H19" i="213"/>
  <c r="H18" i="213"/>
  <c r="H17" i="213"/>
  <c r="H16" i="213"/>
  <c r="H14" i="213"/>
  <c r="H13" i="213"/>
  <c r="H12" i="213"/>
  <c r="H11" i="213"/>
  <c r="H10" i="213"/>
  <c r="H9" i="213"/>
  <c r="H8" i="213"/>
  <c r="H7" i="213"/>
  <c r="H6" i="213"/>
  <c r="H34" i="212"/>
  <c r="H33" i="212"/>
  <c r="H32" i="212"/>
  <c r="H31" i="212"/>
  <c r="H30" i="212"/>
  <c r="H26" i="212"/>
  <c r="E26" i="212"/>
  <c r="H24" i="212"/>
  <c r="H23" i="212"/>
  <c r="H22" i="212"/>
  <c r="H21" i="212"/>
  <c r="H19" i="212"/>
  <c r="H18" i="212"/>
  <c r="H17" i="212"/>
  <c r="H16" i="212"/>
  <c r="H14" i="212"/>
  <c r="H13" i="212"/>
  <c r="H12" i="212"/>
  <c r="H11" i="212"/>
  <c r="H10" i="212"/>
  <c r="H9" i="212"/>
  <c r="H8" i="212"/>
  <c r="H7" i="212"/>
  <c r="H6" i="212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<sst xmlns="http://schemas.openxmlformats.org/spreadsheetml/2006/main" count="952" uniqueCount="201">
  <si>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</si>
  <si>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</si>
  <si>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</si>
  <si>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</si>
  <si>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</si>
  <si>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</si>
  <si>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</si>
  <si>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</si>
  <si>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</si>
  <si>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</si>
  <si>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</si>
  <si>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</si>
  <si>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</si>
  <si>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</si>
  <si>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</si>
  <si>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</si>
  <si>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</si>
  <si>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</si>
  <si>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</si>
  <si>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</si>
  <si>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</si>
  <si>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</si>
  <si>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</si>
  <si>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</si>
  <si>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</si>
  <si>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</si>
  <si>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</si>
  <si>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</si>
  <si>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</si>
  <si>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</si>
  <si>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</si>
  <si>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</si>
  <si>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</si>
  <si>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</si>
  <si>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</si>
  <si>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</si>
  <si>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</si>
  <si>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</si>
  <si>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</si>
  <si>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</si>
  <si>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</si>
  <si>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</si>
  <si>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</si>
  <si>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</si>
  <si>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</si>
  <si>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</si>
  <si>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</si>
  <si>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</si>
  <si>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</si>
  <si>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</si>
  <si>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</si>
  <si>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</si>
  <si>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Jesus@hotmail.com</t>
  </si>
  <si>
    <t>Last Name</t>
  </si>
  <si>
    <t>Is Male</t>
  </si>
  <si>
    <t>Hip</t>
  </si>
  <si>
    <t>Foot Len</t>
  </si>
  <si>
    <t>Foot Wid</t>
  </si>
  <si>
    <t>XXL</t>
  </si>
  <si>
    <t>1000-21-215-7658</t>
  </si>
  <si>
    <t>M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</si>
  <si>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</si>
  <si>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</si>
  <si>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</si>
  <si>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</si>
  <si>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</si>
  <si>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</si>
  <si>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</si>
  <si>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S</t>
  </si>
  <si>
    <t>New Size</t>
  </si>
  <si>
    <t>REG</t>
  </si>
  <si>
    <t>8440-20-008-7936</t>
  </si>
  <si>
    <t>Anderson</t>
  </si>
  <si>
    <t>8405-20-001-4513</t>
  </si>
  <si>
    <t>1000-21-070-7060</t>
  </si>
  <si>
    <t>4XL</t>
  </si>
  <si>
    <t>1000-21-264-2550</t>
  </si>
  <si>
    <t>Pick Up</t>
  </si>
  <si>
    <t>Thomas</t>
  </si>
  <si>
    <t>XL/TG</t>
  </si>
  <si>
    <t>8440-20-006-6068</t>
  </si>
  <si>
    <t>(JR / JR)</t>
  </si>
  <si>
    <t>8415-20-006-8915</t>
  </si>
  <si>
    <t>UNP, In Stock</t>
  </si>
  <si>
    <t>Wilson</t>
  </si>
  <si>
    <t>Mia</t>
  </si>
  <si>
    <t>795DB783</t>
  </si>
  <si>
    <t>8405-20-001-4516</t>
  </si>
  <si>
    <t>XXXL</t>
  </si>
  <si>
    <t>8420-20-001-0735</t>
  </si>
  <si>
    <t>1000-21-070-7652</t>
  </si>
  <si>
    <t>XL (60 inch)</t>
  </si>
  <si>
    <t>8440-20-005-2931</t>
  </si>
  <si>
    <t>8440-20-006-6070</t>
  </si>
  <si>
    <t>250/94</t>
  </si>
  <si>
    <t>8430-20-006-2520</t>
  </si>
  <si>
    <t>8405-20-001-1049</t>
  </si>
  <si>
    <t>(L/XL - G/TG)</t>
  </si>
  <si>
    <t>8415-20-006-8917</t>
  </si>
  <si>
    <t>8405-20-004-7503</t>
  </si>
  <si>
    <t>7D</t>
  </si>
  <si>
    <t>8430-20-A0X-9048</t>
  </si>
  <si>
    <t>ac</t>
  </si>
  <si>
    <t>aaa</t>
  </si>
  <si>
    <t>aaaa</t>
  </si>
  <si>
    <t>F3E668A6</t>
  </si>
  <si>
    <t>1000-21-059-6140</t>
  </si>
  <si>
    <t>L</t>
  </si>
  <si>
    <t>---------</t>
  </si>
  <si>
    <t>Frank</t>
  </si>
  <si>
    <t>215B12B4</t>
  </si>
  <si>
    <t>1000-21-059-6148</t>
  </si>
  <si>
    <t>8420-20-001-0734</t>
  </si>
  <si>
    <t>1000-21-070-6448</t>
  </si>
  <si>
    <t>8405-20-003-5841</t>
  </si>
  <si>
    <t>295/112</t>
  </si>
  <si>
    <t>8430-20-006-2563</t>
  </si>
  <si>
    <t>8405-21-920-7101</t>
  </si>
  <si>
    <t>8405-20-013-1471</t>
  </si>
  <si>
    <t>8405-20-004-7489</t>
  </si>
  <si>
    <t>8405-20-004-7508</t>
  </si>
  <si>
    <t>15EEE</t>
  </si>
  <si>
    <t>8430-20-A0X-9354</t>
  </si>
  <si>
    <t>S.O.S</t>
  </si>
  <si>
    <t>Wilson, Mia</t>
  </si>
  <si>
    <t>aaa, aaaa</t>
  </si>
  <si>
    <t xml:space="preserve">S </t>
  </si>
  <si>
    <t>Quinn</t>
  </si>
  <si>
    <t>BF947EB3</t>
  </si>
  <si>
    <t>1000-21-059-7054</t>
  </si>
  <si>
    <t>18-1/2</t>
  </si>
  <si>
    <t>8405-20-001-4517</t>
  </si>
  <si>
    <t>8405-20-003-5842</t>
  </si>
  <si>
    <t>265/112</t>
  </si>
  <si>
    <t>8430-20-006-2538</t>
  </si>
  <si>
    <t>8405-21-920-7279</t>
  </si>
  <si>
    <t>8405-20-013-1472</t>
  </si>
  <si>
    <t>8405-21-920-7276</t>
  </si>
  <si>
    <t>Pick Up, Complete</t>
  </si>
  <si>
    <t>Miller</t>
  </si>
  <si>
    <t>Liam</t>
  </si>
  <si>
    <t>Female</t>
  </si>
  <si>
    <t>A33FCEBC</t>
  </si>
  <si>
    <t>8405-21-905-7820</t>
  </si>
  <si>
    <t>8L</t>
  </si>
  <si>
    <t>1000-21-165-723</t>
  </si>
  <si>
    <t>8420-20-001-0728</t>
  </si>
  <si>
    <t>8405-20-003-5845</t>
  </si>
  <si>
    <t>310/122</t>
  </si>
  <si>
    <t>8430-20-006-2568</t>
  </si>
  <si>
    <t>XL</t>
  </si>
  <si>
    <t>8405-21-920-7280</t>
  </si>
  <si>
    <t>8405-21-920-7094</t>
  </si>
  <si>
    <t>8405-20-013-1475</t>
  </si>
  <si>
    <t>8405-20-004-7486</t>
  </si>
  <si>
    <t>15D</t>
  </si>
  <si>
    <t>8430-20-A0X-9360</t>
  </si>
  <si>
    <t>7 2/3</t>
  </si>
  <si>
    <t>UNP, Pick Up</t>
  </si>
  <si>
    <t>36 M</t>
  </si>
  <si>
    <t>1000-21-165-3600</t>
  </si>
  <si>
    <t>Martinez</t>
  </si>
  <si>
    <t>Yvonne</t>
  </si>
  <si>
    <t>66AC1C8F</t>
  </si>
  <si>
    <t>1000-21-059-7332</t>
  </si>
  <si>
    <t>8405-20-001-4503</t>
  </si>
  <si>
    <t>8405-20-003-5848</t>
  </si>
  <si>
    <t>1000-21-215-7652</t>
  </si>
  <si>
    <t>250/106</t>
  </si>
  <si>
    <t>8430-20-006-2523</t>
  </si>
  <si>
    <t>8405-21-920-7281</t>
  </si>
  <si>
    <t>(S/M - P/M)</t>
  </si>
  <si>
    <t>8415-20-006-8916</t>
  </si>
  <si>
    <t>8405-20-013-1478</t>
  </si>
  <si>
    <t>8405-20-004-7483</t>
  </si>
  <si>
    <t>8405-20-004-7512</t>
  </si>
  <si>
    <t>12EEE</t>
  </si>
  <si>
    <t>8430-20-A0X-9358</t>
  </si>
  <si>
    <t>8420-20-001-0732</t>
  </si>
  <si>
    <t>Robinson</t>
  </si>
  <si>
    <t>Bob</t>
  </si>
  <si>
    <t>A77A6DA5</t>
  </si>
  <si>
    <t>1000-21-059-6428</t>
  </si>
  <si>
    <t>XS</t>
  </si>
  <si>
    <t>8420-20-001-0711</t>
  </si>
  <si>
    <t>6334 (H44-1/2)</t>
  </si>
  <si>
    <t>8410-21-912-3638</t>
  </si>
  <si>
    <t>8405-21-920-7091</t>
  </si>
  <si>
    <t>(XS / TP)</t>
  </si>
  <si>
    <t>1001-21-154-2000</t>
  </si>
  <si>
    <t>14D</t>
  </si>
  <si>
    <t>8430-20-A0X-9352</t>
  </si>
  <si>
    <t>Thomas, Frank</t>
  </si>
  <si>
    <t>Anderson, Quinn</t>
  </si>
  <si>
    <t>Miller, Liam</t>
  </si>
  <si>
    <t>Martinez, Yvonne</t>
  </si>
  <si>
    <t>Robinson, Bob</t>
  </si>
  <si>
    <t>Column1</t>
  </si>
  <si>
    <t>Column2</t>
  </si>
  <si>
    <t>Complete</t>
  </si>
  <si>
    <t>Toggle 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</si>
</sst>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C8888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62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12" fontId="1" fillId="2" borderId="1" xfId="1" applyNumberFormat="1" applyBorder="1" applyAlignment="1">
      <alignment horizontal="center"/>
    </xf>
    <xf numFmtId="12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2" fillId="0" borderId="8" xfId="3" applyFill="1" applyBorder="1" applyAlignment="1">
      <alignment horizontal="center" vertical="center"/>
    </xf>
    <xf numFmtId="0" fontId="0" fillId="9" borderId="0" xfId="0" applyFill="1"/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0" fillId="0" borderId="0" xfId="0" applyNumberFormat="1"/>
    <xf numFmtId="0" fontId="12" fillId="8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0" fillId="2" borderId="1" xfId="1" applyFont="1" applyBorder="1" applyAlignment="1">
      <alignment horizontal="center"/>
    </xf>
    <xf numFmtId="49" fontId="0" fillId="0" borderId="0" xfId="0" applyNumberFormat="1"/>
    <xf numFmtId="0" fontId="0" fillId="11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1" fillId="2" borderId="1" xfId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13" fillId="0" borderId="13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117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B873F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16"/>
      <tableStyleElement type="headerRow" dxfId="115"/>
      <tableStyleElement type="firstRowStripe" dxfId="114"/>
      <tableStyleElement type="secondRowStripe" dxfId="113"/>
    </tableStyle>
  </tableStyles>
  <colors>
    <mruColors>
      <color rgb="FFFBA3FB"/>
      <color rgb="FF66FF99"/>
      <color rgb="FFC39BE1"/>
      <color rgb="FF70AE8C"/>
      <color rgb="FFDAA100"/>
      <color rgb="FF03E4DF"/>
      <color rgb="FF699BFF"/>
      <color rgb="FFFB873F"/>
      <color rgb="FFFF7575"/>
      <color rgb="FFF6F6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277908</xdr:colOff>
      <xdr:row>0</xdr:row>
      <xdr:rowOff>251011</xdr:rowOff>
    </xdr:from>
    <xdr:to>
      <xdr:col>7</xdr:col>
      <xdr:colOff>421342</xdr:colOff>
      <xdr:row>1</xdr:row>
      <xdr:rowOff>125506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251014</xdr:colOff>
      <xdr:row>3</xdr:row>
      <xdr:rowOff>89646</xdr:rowOff>
    </xdr:from>
    <xdr:to>
      <xdr:col>7</xdr:col>
      <xdr:colOff>439272</xdr:colOff>
      <xdr:row>5</xdr:row>
      <xdr:rowOff>161365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251012</xdr:colOff>
      <xdr:row>11</xdr:row>
      <xdr:rowOff>125503</xdr:rowOff>
    </xdr:from>
    <xdr:to>
      <xdr:col>7</xdr:col>
      <xdr:colOff>448235</xdr:colOff>
      <xdr:row>14</xdr:row>
      <xdr:rowOff>17928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251013</xdr:colOff>
      <xdr:row>7</xdr:row>
      <xdr:rowOff>107575</xdr:rowOff>
    </xdr:from>
    <xdr:to>
      <xdr:col>7</xdr:col>
      <xdr:colOff>430306</xdr:colOff>
      <xdr:row>9</xdr:row>
      <xdr:rowOff>179293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161364</xdr:colOff>
      <xdr:row>0</xdr:row>
      <xdr:rowOff>89644</xdr:rowOff>
    </xdr:from>
    <xdr:to>
      <xdr:col>16</xdr:col>
      <xdr:colOff>179294</xdr:colOff>
      <xdr:row>0</xdr:row>
      <xdr:rowOff>519951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399011</xdr:colOff>
          <xdr:row>0</xdr:row>
          <xdr:rowOff>133004</xdr:rowOff>
        </xdr:from>
        <xdr:to>
          <xdr:col>16</xdr:col>
          <xdr:colOff>340822</xdr:colOff>
          <xdr:row>1</xdr:row>
          <xdr:rowOff>0</xdr:rowOff>
        </xdr:to>
        <xdr:sp macro="" textlink="">
          <xdr:nvSpPr>
            <xdr:cNvPr id="105473" name="Button 1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id="{00000000-0008-0000-01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To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149629</xdr:colOff>
          <xdr:row>0</xdr:row>
          <xdr:rowOff>49876</xdr:rowOff>
        </xdr:from>
        <xdr:to>
          <xdr:col>22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2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249382</xdr:colOff>
          <xdr:row>0</xdr:row>
          <xdr:rowOff>49876</xdr:rowOff>
        </xdr:from>
        <xdr:to>
          <xdr:col>25</xdr:col>
          <xdr:colOff>41564</xdr:colOff>
          <xdr:row>0</xdr:row>
          <xdr:rowOff>390698</xdr:rowOff>
        </xdr:to>
        <xdr:sp macro="" textlink="">
          <xdr:nvSpPr>
            <xdr:cNvPr id="226305" name="Button 1" hidden="1">
              <a:extLst>
                <a:ext uri="{63B3BB69-23CF-44E3-9099-C40C66FF867C}">
                  <a14:compatExt spid="_x0000_s226305"/>
                </a:ext>
                <a:ext uri="{FF2B5EF4-FFF2-40B4-BE49-F238E27FC236}">
                  <a16:creationId xmlns:a16="http://schemas.microsoft.com/office/drawing/2014/main" id="{00000000-0008-0000-0300-0000017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21</xdr:col>
          <xdr:colOff>0</xdr:colOff>
          <xdr:row>2</xdr:row>
          <xdr:rowOff>0</xdr:rowOff>
        </xdr:to>
        <xdr:sp macro="" textlink="">
          <xdr:nvSpPr>
            <xdr:cNvPr id="226598" name="Toggle1" hidden="1">
              <a:extLst>
                <a:ext uri="{63B3BB69-23CF-44E3-9099-C40C66FF867C}">
                  <a14:compatExt spid="_x0000_s226598"/>
                </a:ext>
                <a:ext uri="{FF2B5EF4-FFF2-40B4-BE49-F238E27FC236}">
                  <a16:creationId xmlns:a16="http://schemas.microsoft.com/office/drawing/2014/main" id="{00000000-0008-0000-0300-000026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3</xdr:row>
          <xdr:rowOff>0</xdr:rowOff>
        </xdr:to>
        <xdr:sp macro="" textlink="">
          <xdr:nvSpPr>
            <xdr:cNvPr id="226599" name="Toggle2" hidden="1">
              <a:extLst>
                <a:ext uri="{63B3BB69-23CF-44E3-9099-C40C66FF867C}">
                  <a14:compatExt spid="_x0000_s226599"/>
                </a:ext>
                <a:ext uri="{FF2B5EF4-FFF2-40B4-BE49-F238E27FC236}">
                  <a16:creationId xmlns:a16="http://schemas.microsoft.com/office/drawing/2014/main" id="{00000000-0008-0000-0300-000027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3</xdr:row>
          <xdr:rowOff>0</xdr:rowOff>
        </xdr:from>
        <xdr:to>
          <xdr:col>21</xdr:col>
          <xdr:colOff>0</xdr:colOff>
          <xdr:row>4</xdr:row>
          <xdr:rowOff>0</xdr:rowOff>
        </xdr:to>
        <xdr:sp macro="" textlink="">
          <xdr:nvSpPr>
            <xdr:cNvPr id="226600" name="Toggle3" hidden="1">
              <a:extLst>
                <a:ext uri="{63B3BB69-23CF-44E3-9099-C40C66FF867C}">
                  <a14:compatExt spid="_x0000_s226600"/>
                </a:ext>
                <a:ext uri="{FF2B5EF4-FFF2-40B4-BE49-F238E27FC236}">
                  <a16:creationId xmlns:a16="http://schemas.microsoft.com/office/drawing/2014/main" id="{00000000-0008-0000-0300-000028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4</xdr:row>
          <xdr:rowOff>0</xdr:rowOff>
        </xdr:from>
        <xdr:to>
          <xdr:col>21</xdr:col>
          <xdr:colOff>0</xdr:colOff>
          <xdr:row>5</xdr:row>
          <xdr:rowOff>0</xdr:rowOff>
        </xdr:to>
        <xdr:sp macro="" textlink="">
          <xdr:nvSpPr>
            <xdr:cNvPr id="226601" name="Toggle4" hidden="1">
              <a:extLst>
                <a:ext uri="{63B3BB69-23CF-44E3-9099-C40C66FF867C}">
                  <a14:compatExt spid="_x0000_s226601"/>
                </a:ext>
                <a:ext uri="{FF2B5EF4-FFF2-40B4-BE49-F238E27FC236}">
                  <a16:creationId xmlns:a16="http://schemas.microsoft.com/office/drawing/2014/main" id="{00000000-0008-0000-0300-000029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226602" name="Toggle5" hidden="1">
              <a:extLst>
                <a:ext uri="{63B3BB69-23CF-44E3-9099-C40C66FF867C}">
                  <a14:compatExt spid="_x0000_s226602"/>
                </a:ext>
                <a:ext uri="{FF2B5EF4-FFF2-40B4-BE49-F238E27FC236}">
                  <a16:creationId xmlns:a16="http://schemas.microsoft.com/office/drawing/2014/main" id="{00000000-0008-0000-0300-00002A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226603" name="Toggle6" hidden="1">
              <a:extLst>
                <a:ext uri="{63B3BB69-23CF-44E3-9099-C40C66FF867C}">
                  <a14:compatExt spid="_x0000_s226603"/>
                </a:ext>
                <a:ext uri="{FF2B5EF4-FFF2-40B4-BE49-F238E27FC236}">
                  <a16:creationId xmlns:a16="http://schemas.microsoft.com/office/drawing/2014/main" id="{00000000-0008-0000-0300-00002B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7</xdr:row>
          <xdr:rowOff>0</xdr:rowOff>
        </xdr:from>
        <xdr:to>
          <xdr:col>21</xdr:col>
          <xdr:colOff>0</xdr:colOff>
          <xdr:row>8</xdr:row>
          <xdr:rowOff>0</xdr:rowOff>
        </xdr:to>
        <xdr:sp macro="" textlink="">
          <xdr:nvSpPr>
            <xdr:cNvPr id="226604" name="Toggle7" hidden="1">
              <a:extLst>
                <a:ext uri="{63B3BB69-23CF-44E3-9099-C40C66FF867C}">
                  <a14:compatExt spid="_x0000_s226604"/>
                </a:ext>
                <a:ext uri="{FF2B5EF4-FFF2-40B4-BE49-F238E27FC236}">
                  <a16:creationId xmlns:a16="http://schemas.microsoft.com/office/drawing/2014/main" id="{00000000-0008-0000-0300-00002C75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05825" name="Button 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4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05826" name="Button 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4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5827" name="Button 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4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5828" name="Button 4" hidden="1">
              <a:extLst>
                <a:ext uri="{63B3BB69-23CF-44E3-9099-C40C66FF867C}">
                  <a14:compatExt spid="_x0000_s205828"/>
                </a:ext>
                <a:ext uri="{FF2B5EF4-FFF2-40B4-BE49-F238E27FC236}">
                  <a16:creationId xmlns:a16="http://schemas.microsoft.com/office/drawing/2014/main" id="{00000000-0008-0000-0400-000004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5829" name="Button 5" hidden="1">
              <a:extLst>
                <a:ext uri="{63B3BB69-23CF-44E3-9099-C40C66FF867C}">
                  <a14:compatExt spid="_x0000_s205829"/>
                </a:ext>
                <a:ext uri="{FF2B5EF4-FFF2-40B4-BE49-F238E27FC236}">
                  <a16:creationId xmlns:a16="http://schemas.microsoft.com/office/drawing/2014/main" id="{00000000-0008-0000-0400-000005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5830" name="Button 6" hidden="1">
              <a:extLst>
                <a:ext uri="{63B3BB69-23CF-44E3-9099-C40C66FF867C}">
                  <a14:compatExt spid="_x0000_s205830"/>
                </a:ext>
                <a:ext uri="{FF2B5EF4-FFF2-40B4-BE49-F238E27FC236}">
                  <a16:creationId xmlns:a16="http://schemas.microsoft.com/office/drawing/2014/main" id="{00000000-0008-0000-0400-000006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06849" name="Button 1" hidden="1">
              <a:extLst>
                <a:ext uri="{63B3BB69-23CF-44E3-9099-C40C66FF867C}">
                  <a14:compatExt spid="_x0000_s206849"/>
                </a:ext>
                <a:ext uri="{FF2B5EF4-FFF2-40B4-BE49-F238E27FC236}">
                  <a16:creationId xmlns:a16="http://schemas.microsoft.com/office/drawing/2014/main" id="{00000000-0008-0000-0500-000001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06850" name="Button 2" hidden="1">
              <a:extLst>
                <a:ext uri="{63B3BB69-23CF-44E3-9099-C40C66FF867C}">
                  <a14:compatExt spid="_x0000_s206850"/>
                </a:ext>
                <a:ext uri="{FF2B5EF4-FFF2-40B4-BE49-F238E27FC236}">
                  <a16:creationId xmlns:a16="http://schemas.microsoft.com/office/drawing/2014/main" id="{00000000-0008-0000-0500-000002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6851" name="Button 3" hidden="1">
              <a:extLst>
                <a:ext uri="{63B3BB69-23CF-44E3-9099-C40C66FF867C}">
                  <a14:compatExt spid="_x0000_s206851"/>
                </a:ext>
                <a:ext uri="{FF2B5EF4-FFF2-40B4-BE49-F238E27FC236}">
                  <a16:creationId xmlns:a16="http://schemas.microsoft.com/office/drawing/2014/main" id="{00000000-0008-0000-0500-000003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6852" name="Button 4" hidden="1">
              <a:extLst>
                <a:ext uri="{63B3BB69-23CF-44E3-9099-C40C66FF867C}">
                  <a14:compatExt spid="_x0000_s206852"/>
                </a:ext>
                <a:ext uri="{FF2B5EF4-FFF2-40B4-BE49-F238E27FC236}">
                  <a16:creationId xmlns:a16="http://schemas.microsoft.com/office/drawing/2014/main" id="{00000000-0008-0000-0500-000004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6853" name="Button 5" hidden="1">
              <a:extLst>
                <a:ext uri="{63B3BB69-23CF-44E3-9099-C40C66FF867C}">
                  <a14:compatExt spid="_x0000_s206853"/>
                </a:ext>
                <a:ext uri="{FF2B5EF4-FFF2-40B4-BE49-F238E27FC236}">
                  <a16:creationId xmlns:a16="http://schemas.microsoft.com/office/drawing/2014/main" id="{00000000-0008-0000-0500-000005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6854" name="Button 6" hidden="1">
              <a:extLst>
                <a:ext uri="{63B3BB69-23CF-44E3-9099-C40C66FF867C}">
                  <a14:compatExt spid="_x0000_s206854"/>
                </a:ext>
                <a:ext uri="{FF2B5EF4-FFF2-40B4-BE49-F238E27FC236}">
                  <a16:creationId xmlns:a16="http://schemas.microsoft.com/office/drawing/2014/main" id="{00000000-0008-0000-0500-0000062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07873" name="Button 1" hidden="1">
              <a:extLst>
                <a:ext uri="{63B3BB69-23CF-44E3-9099-C40C66FF867C}">
                  <a14:compatExt spid="_x0000_s207873"/>
                </a:ext>
                <a:ext uri="{FF2B5EF4-FFF2-40B4-BE49-F238E27FC236}">
                  <a16:creationId xmlns:a16="http://schemas.microsoft.com/office/drawing/2014/main" id="{00000000-0008-0000-0600-000001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07874" name="Button 2" hidden="1">
              <a:extLst>
                <a:ext uri="{63B3BB69-23CF-44E3-9099-C40C66FF867C}">
                  <a14:compatExt spid="_x0000_s207874"/>
                </a:ext>
                <a:ext uri="{FF2B5EF4-FFF2-40B4-BE49-F238E27FC236}">
                  <a16:creationId xmlns:a16="http://schemas.microsoft.com/office/drawing/2014/main" id="{00000000-0008-0000-0600-000002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7875" name="Button 3" hidden="1">
              <a:extLst>
                <a:ext uri="{63B3BB69-23CF-44E3-9099-C40C66FF867C}">
                  <a14:compatExt spid="_x0000_s207875"/>
                </a:ext>
                <a:ext uri="{FF2B5EF4-FFF2-40B4-BE49-F238E27FC236}">
                  <a16:creationId xmlns:a16="http://schemas.microsoft.com/office/drawing/2014/main" id="{00000000-0008-0000-0600-000003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7876" name="Button 4" hidden="1">
              <a:extLst>
                <a:ext uri="{63B3BB69-23CF-44E3-9099-C40C66FF867C}">
                  <a14:compatExt spid="_x0000_s207876"/>
                </a:ext>
                <a:ext uri="{FF2B5EF4-FFF2-40B4-BE49-F238E27FC236}">
                  <a16:creationId xmlns:a16="http://schemas.microsoft.com/office/drawing/2014/main" id="{00000000-0008-0000-0600-000004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7877" name="Button 5" hidden="1">
              <a:extLst>
                <a:ext uri="{63B3BB69-23CF-44E3-9099-C40C66FF867C}">
                  <a14:compatExt spid="_x0000_s207877"/>
                </a:ext>
                <a:ext uri="{FF2B5EF4-FFF2-40B4-BE49-F238E27FC236}">
                  <a16:creationId xmlns:a16="http://schemas.microsoft.com/office/drawing/2014/main" id="{00000000-0008-0000-0600-000005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7878" name="Button 6" hidden="1">
              <a:extLst>
                <a:ext uri="{63B3BB69-23CF-44E3-9099-C40C66FF867C}">
                  <a14:compatExt spid="_x0000_s207878"/>
                </a:ext>
                <a:ext uri="{FF2B5EF4-FFF2-40B4-BE49-F238E27FC236}">
                  <a16:creationId xmlns:a16="http://schemas.microsoft.com/office/drawing/2014/main" id="{00000000-0008-0000-0600-0000062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08897" name="Button 1" hidden="1">
              <a:extLst>
                <a:ext uri="{63B3BB69-23CF-44E3-9099-C40C66FF867C}">
                  <a14:compatExt spid="_x0000_s208897"/>
                </a:ext>
                <a:ext uri="{FF2B5EF4-FFF2-40B4-BE49-F238E27FC236}">
                  <a16:creationId xmlns:a16="http://schemas.microsoft.com/office/drawing/2014/main" id="{00000000-0008-0000-0700-000001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08898" name="Button 2" hidden="1">
              <a:extLst>
                <a:ext uri="{63B3BB69-23CF-44E3-9099-C40C66FF867C}">
                  <a14:compatExt spid="_x0000_s208898"/>
                </a:ext>
                <a:ext uri="{FF2B5EF4-FFF2-40B4-BE49-F238E27FC236}">
                  <a16:creationId xmlns:a16="http://schemas.microsoft.com/office/drawing/2014/main" id="{00000000-0008-0000-0700-000002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08899" name="Button 3" hidden="1">
              <a:extLst>
                <a:ext uri="{63B3BB69-23CF-44E3-9099-C40C66FF867C}">
                  <a14:compatExt spid="_x0000_s208899"/>
                </a:ext>
                <a:ext uri="{FF2B5EF4-FFF2-40B4-BE49-F238E27FC236}">
                  <a16:creationId xmlns:a16="http://schemas.microsoft.com/office/drawing/2014/main" id="{00000000-0008-0000-0700-000003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08900" name="Button 4" hidden="1">
              <a:extLst>
                <a:ext uri="{63B3BB69-23CF-44E3-9099-C40C66FF867C}">
                  <a14:compatExt spid="_x0000_s208900"/>
                </a:ext>
                <a:ext uri="{FF2B5EF4-FFF2-40B4-BE49-F238E27FC236}">
                  <a16:creationId xmlns:a16="http://schemas.microsoft.com/office/drawing/2014/main" id="{00000000-0008-0000-0700-000004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08901" name="Button 5" hidden="1">
              <a:extLst>
                <a:ext uri="{63B3BB69-23CF-44E3-9099-C40C66FF867C}">
                  <a14:compatExt spid="_x0000_s208901"/>
                </a:ext>
                <a:ext uri="{FF2B5EF4-FFF2-40B4-BE49-F238E27FC236}">
                  <a16:creationId xmlns:a16="http://schemas.microsoft.com/office/drawing/2014/main" id="{00000000-0008-0000-0700-000005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08902" name="Button 6" hidden="1">
              <a:extLst>
                <a:ext uri="{63B3BB69-23CF-44E3-9099-C40C66FF867C}">
                  <a14:compatExt spid="_x0000_s208902"/>
                </a:ext>
                <a:ext uri="{FF2B5EF4-FFF2-40B4-BE49-F238E27FC236}">
                  <a16:creationId xmlns:a16="http://schemas.microsoft.com/office/drawing/2014/main" id="{00000000-0008-0000-0700-0000063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8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18114" name="Button 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8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18115" name="Button 3" hidden="1">
              <a:extLst>
                <a:ext uri="{63B3BB69-23CF-44E3-9099-C40C66FF867C}">
                  <a14:compatExt spid="_x0000_s218115"/>
                </a:ext>
                <a:ext uri="{FF2B5EF4-FFF2-40B4-BE49-F238E27FC236}">
                  <a16:creationId xmlns:a16="http://schemas.microsoft.com/office/drawing/2014/main" id="{00000000-0008-0000-0800-00000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18116" name="Button 4" hidden="1">
              <a:extLst>
                <a:ext uri="{63B3BB69-23CF-44E3-9099-C40C66FF867C}">
                  <a14:compatExt spid="_x0000_s218116"/>
                </a:ext>
                <a:ext uri="{FF2B5EF4-FFF2-40B4-BE49-F238E27FC236}">
                  <a16:creationId xmlns:a16="http://schemas.microsoft.com/office/drawing/2014/main" id="{00000000-0008-0000-0800-00000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8117" name="Button 5" hidden="1">
              <a:extLst>
                <a:ext uri="{63B3BB69-23CF-44E3-9099-C40C66FF867C}">
                  <a14:compatExt spid="_x0000_s218117"/>
                </a:ext>
                <a:ext uri="{FF2B5EF4-FFF2-40B4-BE49-F238E27FC236}">
                  <a16:creationId xmlns:a16="http://schemas.microsoft.com/office/drawing/2014/main" id="{00000000-0008-0000-0800-00000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18118" name="Button 6" hidden="1">
              <a:extLst>
                <a:ext uri="{63B3BB69-23CF-44E3-9099-C40C66FF867C}">
                  <a14:compatExt spid="_x0000_s218118"/>
                </a:ext>
                <a:ext uri="{FF2B5EF4-FFF2-40B4-BE49-F238E27FC236}">
                  <a16:creationId xmlns:a16="http://schemas.microsoft.com/office/drawing/2014/main" id="{00000000-0008-0000-0800-000006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23233" name="Button 1" hidden="1">
              <a:extLst>
                <a:ext uri="{63B3BB69-23CF-44E3-9099-C40C66FF867C}">
                  <a14:compatExt spid="_x0000_s223233"/>
                </a:ext>
                <a:ext uri="{FF2B5EF4-FFF2-40B4-BE49-F238E27FC236}">
                  <a16:creationId xmlns:a16="http://schemas.microsoft.com/office/drawing/2014/main" id="{00000000-0008-0000-0900-000001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23234" name="Button 2" hidden="1">
              <a:extLst>
                <a:ext uri="{63B3BB69-23CF-44E3-9099-C40C66FF867C}">
                  <a14:compatExt spid="_x0000_s223234"/>
                </a:ext>
                <a:ext uri="{FF2B5EF4-FFF2-40B4-BE49-F238E27FC236}">
                  <a16:creationId xmlns:a16="http://schemas.microsoft.com/office/drawing/2014/main" id="{00000000-0008-0000-0900-000002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23235" name="Button 3" hidden="1">
              <a:extLst>
                <a:ext uri="{63B3BB69-23CF-44E3-9099-C40C66FF867C}">
                  <a14:compatExt spid="_x0000_s223235"/>
                </a:ext>
                <a:ext uri="{FF2B5EF4-FFF2-40B4-BE49-F238E27FC236}">
                  <a16:creationId xmlns:a16="http://schemas.microsoft.com/office/drawing/2014/main" id="{00000000-0008-0000-0900-000003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23236" name="Button 4" hidden="1">
              <a:extLst>
                <a:ext uri="{63B3BB69-23CF-44E3-9099-C40C66FF867C}">
                  <a14:compatExt spid="_x0000_s223236"/>
                </a:ext>
                <a:ext uri="{FF2B5EF4-FFF2-40B4-BE49-F238E27FC236}">
                  <a16:creationId xmlns:a16="http://schemas.microsoft.com/office/drawing/2014/main" id="{00000000-0008-0000-0900-000004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3237" name="Button 5" hidden="1">
              <a:extLst>
                <a:ext uri="{63B3BB69-23CF-44E3-9099-C40C66FF867C}">
                  <a14:compatExt spid="_x0000_s223237"/>
                </a:ext>
                <a:ext uri="{FF2B5EF4-FFF2-40B4-BE49-F238E27FC236}">
                  <a16:creationId xmlns:a16="http://schemas.microsoft.com/office/drawing/2014/main" id="{00000000-0008-0000-0900-000005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23238" name="Button 6" hidden="1">
              <a:extLst>
                <a:ext uri="{63B3BB69-23CF-44E3-9099-C40C66FF867C}">
                  <a14:compatExt spid="_x0000_s223238"/>
                </a:ext>
                <a:ext uri="{FF2B5EF4-FFF2-40B4-BE49-F238E27FC236}">
                  <a16:creationId xmlns:a16="http://schemas.microsoft.com/office/drawing/2014/main" id="{00000000-0008-0000-0900-0000066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224257" name="Button 1" hidden="1">
              <a:extLst>
                <a:ext uri="{63B3BB69-23CF-44E3-9099-C40C66FF867C}">
                  <a14:compatExt spid="_x0000_s224257"/>
                </a:ext>
                <a:ext uri="{FF2B5EF4-FFF2-40B4-BE49-F238E27FC236}">
                  <a16:creationId xmlns:a16="http://schemas.microsoft.com/office/drawing/2014/main" id="{00000000-0008-0000-0A00-000001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224258" name="Button 2" hidden="1">
              <a:extLst>
                <a:ext uri="{63B3BB69-23CF-44E3-9099-C40C66FF867C}">
                  <a14:compatExt spid="_x0000_s224258"/>
                </a:ext>
                <a:ext uri="{FF2B5EF4-FFF2-40B4-BE49-F238E27FC236}">
                  <a16:creationId xmlns:a16="http://schemas.microsoft.com/office/drawing/2014/main" id="{00000000-0008-0000-0A00-000002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24259" name="Button 3" hidden="1">
              <a:extLst>
                <a:ext uri="{63B3BB69-23CF-44E3-9099-C40C66FF867C}">
                  <a14:compatExt spid="_x0000_s224259"/>
                </a:ext>
                <a:ext uri="{FF2B5EF4-FFF2-40B4-BE49-F238E27FC236}">
                  <a16:creationId xmlns:a16="http://schemas.microsoft.com/office/drawing/2014/main" id="{00000000-0008-0000-0A00-000003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24260" name="Button 4" hidden="1">
              <a:extLst>
                <a:ext uri="{63B3BB69-23CF-44E3-9099-C40C66FF867C}">
                  <a14:compatExt spid="_x0000_s224260"/>
                </a:ext>
                <a:ext uri="{FF2B5EF4-FFF2-40B4-BE49-F238E27FC236}">
                  <a16:creationId xmlns:a16="http://schemas.microsoft.com/office/drawing/2014/main" id="{00000000-0008-0000-0A00-000004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24261" name="Button 5" hidden="1">
              <a:extLst>
                <a:ext uri="{63B3BB69-23CF-44E3-9099-C40C66FF867C}">
                  <a14:compatExt spid="_x0000_s224261"/>
                </a:ext>
                <a:ext uri="{FF2B5EF4-FFF2-40B4-BE49-F238E27FC236}">
                  <a16:creationId xmlns:a16="http://schemas.microsoft.com/office/drawing/2014/main" id="{00000000-0008-0000-0A00-000005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24262" name="Button 6" hidden="1">
              <a:extLst>
                <a:ext uri="{63B3BB69-23CF-44E3-9099-C40C66FF867C}">
                  <a14:compatExt spid="_x0000_s224262"/>
                </a:ext>
                <a:ext uri="{FF2B5EF4-FFF2-40B4-BE49-F238E27FC236}">
                  <a16:creationId xmlns:a16="http://schemas.microsoft.com/office/drawing/2014/main" id="{00000000-0008-0000-0A00-0000066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8313</xdr:colOff>
          <xdr:row>10</xdr:row>
          <xdr:rowOff>199505</xdr:rowOff>
        </xdr:from>
        <xdr:to>
          <xdr:col>12</xdr:col>
          <xdr:colOff>8313</xdr:colOff>
          <xdr:row>12</xdr:row>
          <xdr:rowOff>199505</xdr:rowOff>
        </xdr:to>
        <xdr:sp macro="" textlink="">
          <xdr:nvSpPr>
            <xdr:cNvPr id="60421" name="Button 5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0B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13</xdr:row>
          <xdr:rowOff>207818</xdr:rowOff>
        </xdr:from>
        <xdr:to>
          <xdr:col>12</xdr:col>
          <xdr:colOff>0</xdr:colOff>
          <xdr:row>15</xdr:row>
          <xdr:rowOff>191193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B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B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B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B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B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10" totalsRowShown="0" headerRowDxfId="104" dataDxfId="102" headerRowBorderDxfId="103" tableBorderDxfId="101" totalsRowBorderDxfId="100" headerRowCellStyle="60% - Accent5">
  <autoFilter ref="A1:E10" xr:uid="{7E3155DF-3CB2-4063-8346-D3006162EB2E}"/>
  <sortState xmlns:xlrd2="http://schemas.microsoft.com/office/spreadsheetml/2017/richdata2" ref="A2:E10">
    <sortCondition ref="A1:A10"/>
  </sortState>
  <tableColumns count="5">
    <tableColumn id="1" xr3:uid="{4A3C96D4-74F9-46DA-B54B-0CD347E35136}" name="Surname" dataDxfId="99" dataCellStyle="Hyperlink"/>
    <tableColumn id="2" xr3:uid="{2B90B92F-5F96-4EDA-9BBB-0E797162ECC4}" name="First Name" dataDxfId="98" dataCellStyle="Hyperlink"/>
    <tableColumn id="8" xr3:uid="{CFE0A41F-FE26-4CF3-BAA8-F6CEC7B006D4}" name="Status" dataDxfId="97" dataCellStyle="Hyperlink"/>
    <tableColumn id="3" xr3:uid="{EBBDE5FC-4AD9-4996-A6CE-25D9B52D4D03}" name="Date" dataDxfId="96"/>
    <tableColumn id="4" xr3:uid="{854BBB0E-E50E-4F6C-90CC-6180E0CE5D32}" name="ID" dataDxfId="95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1:U8" totalsRowShown="0" headerRowDxfId="94" dataDxfId="93">
  <autoFilter ref="A1:U8" xr:uid="{BBE43AA0-FEFE-4953-BA96-A0217731DC97}"/>
  <tableColumns count="21">
    <tableColumn id="1" xr3:uid="{77C7B428-E99D-49B8-8796-47FEBA3B8CD2}" name="Name" dataDxfId="92"/>
    <tableColumn id="2" xr3:uid="{36FC8A03-C285-4FA4-AEC4-647B7067D01E}" name="Tunic" dataDxfId="91"/>
    <tableColumn id="3" xr3:uid="{E2B75A82-055F-492D-97B2-03C8E9C74CBF}" name="Collar Shirt" dataDxfId="90"/>
    <tableColumn id="4" xr3:uid="{89128C49-0667-4328-9CC8-935C76EB5CFF}" name="T-Shirt" dataDxfId="89"/>
    <tableColumn id="5" xr3:uid="{58E02DDF-FF68-4A85-A160-1478AFFC5301}" name="Dress Pants" dataDxfId="88"/>
    <tableColumn id="6" xr3:uid="{3C885A6D-7C6D-47FE-9D20-7FB555626C24}" name="Wedge" dataDxfId="87"/>
    <tableColumn id="7" xr3:uid="{650E09C5-6A05-4527-A321-E6D98102B309}" name="Tie" dataDxfId="86"/>
    <tableColumn id="8" xr3:uid="{B5F54AB4-5997-4EA8-AF06-4966A756DE93}" name="Belt" dataDxfId="85"/>
    <tableColumn id="9" xr3:uid="{8136261F-5775-4352-A73E-8E659AD02B53}" name="Socks" dataDxfId="84"/>
    <tableColumn id="10" xr3:uid="{9DEA83F4-EB2F-4D7E-9C9C-751F43044531}" name="Leather Boots" dataDxfId="83"/>
    <tableColumn id="11" xr3:uid="{1CEE23EA-B0BC-483E-BE3B-570F93C07C1A}" name="Column1" dataDxfId="82"/>
    <tableColumn id="12" xr3:uid="{1D45495D-88A2-4A94-96C4-B047B6ED62D3}" name="Toque" dataDxfId="81"/>
    <tableColumn id="13" xr3:uid="{5954CB37-ED15-4CF3-A1FD-DCA35E0B036C}" name="Tilly" dataDxfId="80"/>
    <tableColumn id="14" xr3:uid="{4EB0159F-D44E-4237-807C-59C05B43CC3A}" name="Parka" dataDxfId="79"/>
    <tableColumn id="15" xr3:uid="{2D7F5042-3E7C-429C-8AFF-8601B19B8A0F}" name="Gloves" dataDxfId="78"/>
    <tableColumn id="16" xr3:uid="{D45A8E58-834C-42E4-980C-B85C418519A9}" name="Column2" dataDxfId="77"/>
    <tableColumn id="17" xr3:uid="{433672DD-A406-4334-A746-FB02B994A2E4}" name="Beret" dataDxfId="76"/>
    <tableColumn id="18" xr3:uid="{EE18EFD7-E877-490B-B14E-3FC28D0B1264}" name="FTU Tunic" dataDxfId="75"/>
    <tableColumn id="19" xr3:uid="{29AC551F-F02C-4401-9F86-D5A21F3B8962}" name="FTU Pants" dataDxfId="74"/>
    <tableColumn id="20" xr3:uid="{6DB4DDF9-B627-4BC2-B983-0DA0719B49B1}" name="FTU Boots" dataDxfId="73"/>
    <tableColumn id="21" xr3:uid="{AEFDE823-D276-4BBA-8AAC-39096CA09601}" name="Toggle Done" dataDxfId="72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E4FF29-238F-4282-BF0D-2AE6E318C4D2}" name="Mia_Wilson_795DB783ExchangeTable" displayName="Mia_Wilson_795DB783ExchangeTable" ref="A37:D39" totalsRowShown="0">
  <autoFilter ref="A37:D39" xr:uid="{6FE4FF29-238F-4282-BF0D-2AE6E318C4D2}"/>
  <tableColumns count="4">
    <tableColumn id="1" xr3:uid="{A273C31D-8974-4B1C-B818-5D68CE626B6C}" name="Date"/>
    <tableColumn id="2" xr3:uid="{D68340BE-E5C3-46F5-9F4E-B12BC40E0A43}" name="Item"/>
    <tableColumn id="3" xr3:uid="{DB3A997A-942E-4771-830A-92579AAB258F}" name="Old Size"/>
    <tableColumn id="4" xr3:uid="{DDDE9B8C-2EE8-405C-88A9-2B19EC23F569}" name="New Size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5D644CD-AC6E-4079-9073-937A6C916236}" name="aaaa_aaa_F3E668A6ExchangeTable" displayName="aaaa_aaa_F3E668A6ExchangeTable" ref="A37:D38" totalsRowShown="0">
  <autoFilter ref="A37:D38" xr:uid="{65D644CD-AC6E-4079-9073-937A6C916236}"/>
  <tableColumns count="4">
    <tableColumn id="1" xr3:uid="{B45FD0D5-3323-4313-A905-FE5D5A2D7375}" name="Date"/>
    <tableColumn id="2" xr3:uid="{C470C874-E413-4C2D-A48D-9B2B68A28C30}" name="Item"/>
    <tableColumn id="3" xr3:uid="{B21B9665-E936-4815-B8A2-926E8E570397}" name="Old Size"/>
    <tableColumn id="4" xr3:uid="{44A76371-C4ED-49AE-A16E-FE2E7B0C2873}" name="New Size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77FEB2-A574-4699-A9AE-355CBD4B64E0}" name="Frank_Thomas_215B12B4ExchangeTable" displayName="Frank_Thomas_215B12B4ExchangeTable" ref="A37:D38" insertRow="1" totalsRowShown="0">
  <autoFilter ref="A37:D38" xr:uid="{9777FEB2-A574-4699-A9AE-355CBD4B64E0}"/>
  <tableColumns count="4">
    <tableColumn id="1" xr3:uid="{77774DBD-B138-491C-89DD-2E309835BCDE}" name="Date"/>
    <tableColumn id="2" xr3:uid="{93630F4F-4D70-4674-B489-EF2407F8947F}" name="Item"/>
    <tableColumn id="3" xr3:uid="{797DA114-6F3B-40A9-8E42-3ACF4FF5036B}" name="Old Size"/>
    <tableColumn id="4" xr3:uid="{FF7181D8-8B11-4DE9-8CD3-1D14FD27CC68}" name="New Size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C95624B-5AF6-46AC-B2DA-EC86E277F28D}" name="Quinn_Anderson_BF947EB3ExchangeTable" displayName="Quinn_Anderson_BF947EB3ExchangeTable" ref="A37:D38" totalsRowShown="0">
  <autoFilter ref="A37:D38" xr:uid="{CC95624B-5AF6-46AC-B2DA-EC86E277F28D}"/>
  <tableColumns count="4">
    <tableColumn id="1" xr3:uid="{BF076273-6F88-4F1A-99F3-34B35F939A6A}" name="Date"/>
    <tableColumn id="2" xr3:uid="{E4966B22-4CB8-4281-B7F8-6CF313BEE831}" name="Item"/>
    <tableColumn id="3" xr3:uid="{FB4104A9-694E-4816-8539-AE0F7AC19815}" name="Old Size"/>
    <tableColumn id="4" xr3:uid="{211E4848-DE82-40FC-90AD-39E240A9CB30}" name="New Size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BE9AA11-1132-4D7A-B1CC-231355B19241}" name="Liam_Miller_A33FCEBCExchangeTable" displayName="Liam_Miller_A33FCEBCExchangeTable" ref="A37:D38" insertRow="1" totalsRowShown="0">
  <autoFilter ref="A37:D38" xr:uid="{7BE9AA11-1132-4D7A-B1CC-231355B19241}"/>
  <tableColumns count="4">
    <tableColumn id="1" xr3:uid="{F6E73920-74C2-4EEA-903C-7B1912223F64}" name="Date"/>
    <tableColumn id="2" xr3:uid="{3360DB5A-0E55-4666-933A-8B0187479A92}" name="Item"/>
    <tableColumn id="3" xr3:uid="{A31BEBF8-B2B9-4600-8966-4029F15404B6}" name="Old Size"/>
    <tableColumn id="4" xr3:uid="{1888082C-1F5E-4691-9654-1A4CA214CEE2}" name="New Size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10D9498-E413-450F-92B1-BACCE063620A}" name="Yvonne_Martinez_66AC1C8FExchangeTable" displayName="Yvonne_Martinez_66AC1C8FExchangeTable" ref="A37:D38" totalsRowShown="0">
  <autoFilter ref="A37:D38" xr:uid="{C10D9498-E413-450F-92B1-BACCE063620A}"/>
  <tableColumns count="4">
    <tableColumn id="1" xr3:uid="{67ADBF02-C722-4C87-B957-B9B220CC0311}" name="Date"/>
    <tableColumn id="2" xr3:uid="{E4784BD5-1DAA-496D-8053-CD26BEBDB9C1}" name="Item"/>
    <tableColumn id="3" xr3:uid="{942CFB4B-11D7-4B90-B308-C91261D8DE5A}" name="Old Size"/>
    <tableColumn id="4" xr3:uid="{BEAE6B99-01AC-45C2-8438-3A2DC0A37512}" name="New Size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76E1929-A12B-491D-AF90-C72D5ACECCC6}" name="Bob_Robinson_A77A6DA5ExchangeTable" displayName="Bob_Robinson_A77A6DA5ExchangeTable" ref="A37:D38" insertRow="1" totalsRowShown="0">
  <autoFilter ref="A37:D38" xr:uid="{176E1929-A12B-491D-AF90-C72D5ACECCC6}"/>
  <tableColumns count="4">
    <tableColumn id="1" xr3:uid="{D44EDA49-2367-4FFA-BC75-5A86449B607B}" name="Date"/>
    <tableColumn id="2" xr3:uid="{B22AE27B-0218-4588-A3B1-5EED326244A1}" name="Item"/>
    <tableColumn id="3" xr3:uid="{6E9EBD1E-6188-4D1F-AF83-0E1675F58C5E}" name="Old Size"/>
    <tableColumn id="4" xr3:uid="{C916034D-3C9F-42EC-B56B-E32551D49AFF}" name="New Size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.xml"/><Relationship Id="rId3" Type="http://schemas.openxmlformats.org/officeDocument/2006/relationships/ctrlProp" Target="../ctrlProps/ctrlProp23.xml"/><Relationship Id="rId7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Relationship Id="rId9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Relationship Id="rId9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3" Type="http://schemas.openxmlformats.org/officeDocument/2006/relationships/ctrlProp" Target="../ctrlProps/ctrlProp35.xml"/><Relationship Id="rId7" Type="http://schemas.openxmlformats.org/officeDocument/2006/relationships/ctrlProp" Target="../ctrlProps/ctrlProp3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Relationship Id="rId9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4" Type="http://schemas.openxmlformats.org/officeDocument/2006/relationships/ctrlProp" Target="../ctrlProps/ctrlProp42.xml"/><Relationship Id="rId9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2.xml"/><Relationship Id="rId3" Type="http://schemas.openxmlformats.org/officeDocument/2006/relationships/ctrlProp" Target="../ctrlProps/ctrlProp47.xml"/><Relationship Id="rId7" Type="http://schemas.openxmlformats.org/officeDocument/2006/relationships/ctrlProp" Target="../ctrlProps/ctrlProp5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Relationship Id="rId9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10"/>
  <sheetViews>
    <sheetView zoomScale="85" zoomScaleNormal="85" workbookViewId="0">
      <selection activeCell="D45" sqref="D45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5" customHeight="1" x14ac:dyDescent="0.3">
      <c r="A1" s="7" t="s">
        <v>0</v>
      </c>
      <c r="B1" s="6" t="s">
        <v>2</v>
      </c>
      <c r="C1" s="29" t="s">
        <v>36</v>
      </c>
      <c r="D1" s="6" t="s">
        <v>40</v>
      </c>
      <c r="E1" s="13" t="s">
        <v>41</v>
      </c>
      <c r="O1" t="s">
        <v>66</v>
      </c>
    </row>
    <row r="2" spans="1:15" x14ac:dyDescent="0.3">
      <c r="A2" s="32" t="s">
        <v>103</v>
      </c>
      <c r="B2" s="30" t="s">
        <v>104</v>
      </c>
      <c r="C2" s="31" t="s">
        <v>138</v>
      </c>
      <c r="D2" s="34">
        <v>45287.871180555558</v>
      </c>
      <c r="E2" s="35" t="s">
        <v>105</v>
      </c>
    </row>
    <row r="3" spans="1:15" x14ac:dyDescent="0.3">
      <c r="A3" s="32" t="s">
        <v>72</v>
      </c>
      <c r="B3" s="30" t="s">
        <v>127</v>
      </c>
      <c r="C3" s="31" t="s">
        <v>83</v>
      </c>
      <c r="D3" s="34">
        <v>45287.92046296296</v>
      </c>
      <c r="E3" s="35" t="s">
        <v>128</v>
      </c>
    </row>
    <row r="4" spans="1:15" x14ac:dyDescent="0.3">
      <c r="A4" s="32" t="s">
        <v>161</v>
      </c>
      <c r="B4" s="30" t="s">
        <v>162</v>
      </c>
      <c r="C4" s="31"/>
      <c r="D4" s="34">
        <v>45290.682685185187</v>
      </c>
      <c r="E4" s="35" t="s">
        <v>163</v>
      </c>
    </row>
    <row r="5" spans="1:15" x14ac:dyDescent="0.3">
      <c r="A5" s="32" t="s">
        <v>139</v>
      </c>
      <c r="B5" s="30" t="s">
        <v>140</v>
      </c>
      <c r="C5" s="31" t="s">
        <v>45</v>
      </c>
      <c r="D5" s="34">
        <v>45290.647974537038</v>
      </c>
      <c r="E5" s="35" t="s">
        <v>142</v>
      </c>
    </row>
    <row r="6" spans="1:15" x14ac:dyDescent="0.3">
      <c r="A6" s="32" t="s">
        <v>179</v>
      </c>
      <c r="B6" s="30" t="s">
        <v>180</v>
      </c>
      <c r="C6" s="31"/>
      <c r="D6" s="34">
        <v>45290.719259259262</v>
      </c>
      <c r="E6" s="35" t="s">
        <v>181</v>
      </c>
    </row>
    <row r="7" spans="1:15" x14ac:dyDescent="0.3">
      <c r="A7" s="32" t="s">
        <v>78</v>
      </c>
      <c r="B7" s="30" t="s">
        <v>109</v>
      </c>
      <c r="C7" s="31" t="s">
        <v>123</v>
      </c>
      <c r="D7" s="34">
        <v>45287.871516203704</v>
      </c>
      <c r="E7" s="35" t="s">
        <v>110</v>
      </c>
    </row>
    <row r="8" spans="1:15" x14ac:dyDescent="0.3">
      <c r="A8" s="32" t="s">
        <v>84</v>
      </c>
      <c r="B8" s="30" t="s">
        <v>85</v>
      </c>
      <c r="C8" s="31" t="s">
        <v>158</v>
      </c>
      <c r="D8" s="34">
        <v>45287.865833333337</v>
      </c>
      <c r="E8" s="35" t="s">
        <v>86</v>
      </c>
    </row>
    <row r="9" spans="1:15" x14ac:dyDescent="0.3">
      <c r="A9" s="32"/>
      <c r="B9" s="30"/>
      <c r="C9" s="31"/>
      <c r="D9" s="34"/>
      <c r="E9" s="35"/>
    </row>
    <row r="10" spans="1:15" x14ac:dyDescent="0.3">
      <c r="A10" s="32"/>
      <c r="B10" s="30"/>
      <c r="C10" s="31"/>
      <c r="D10" s="34"/>
      <c r="E10" s="35"/>
    </row>
  </sheetData>
  <conditionalFormatting sqref="C2:C10">
    <cfRule type="cellIs" dxfId="112" priority="1" operator="equal">
      <formula>"S.O.S"</formula>
    </cfRule>
    <cfRule type="containsText" dxfId="111" priority="2" operator="containsText" text="UNP">
      <formula>NOT(ISERROR(SEARCH("UNP",C2)))</formula>
    </cfRule>
    <cfRule type="cellIs" dxfId="110" priority="3" operator="equal">
      <formula>"In Stock"</formula>
    </cfRule>
    <cfRule type="containsText" dxfId="109" priority="4" operator="containsText" text="Pick Up">
      <formula>NOT(ISERROR(SEARCH("Pick Up",C2)))</formula>
    </cfRule>
    <cfRule type="cellIs" dxfId="108" priority="9" operator="equal">
      <formula>"Ready To Order"</formula>
    </cfRule>
    <cfRule type="containsText" dxfId="107" priority="10" operator="containsText" text="Ordered">
      <formula>NOT(ISERROR(SEARCH("Ordered",C2)))</formula>
    </cfRule>
    <cfRule type="containsText" dxfId="106" priority="11" operator="containsText" text="Complete">
      <formula>NOT(ISERROR(SEARCH("Complete",C2)))</formula>
    </cfRule>
    <cfRule type="cellIs" dxfId="105" priority="12" operator="equal">
      <formula>"Returned"</formula>
    </cfRule>
  </conditionalFormatting>
  <hyperlinks>
    <hyperlink ref="A8" location="'Mia_Wilson_795DB783'!A1" display="Wilson" xr:uid="{87DDCC41-71EC-4317-9D96-407828C7634C}"/>
    <hyperlink ref="A2" location="'aaaa_aaa_F3E668A6'!A1" display="aaa" xr:uid="{A711CC3A-AAAC-44BC-8206-F6B3CB104A53}"/>
    <hyperlink ref="A7" location="'Frank_Thomas_215B12B4'!A1" display="Thomas" xr:uid="{E17C77DD-5BDD-4855-B566-AC40D78F0C70}"/>
    <hyperlink ref="A3" location="'Quinn_Anderson_BF947EB3'!A1" display="Anderson" xr:uid="{E3D264E0-ABB3-49DB-9EF6-6684ACB43E1E}"/>
    <hyperlink ref="A5" location="'Liam_Miller_A33FCEBC'!A1" display="Miller" xr:uid="{B9BBEB94-D196-4C2A-9A86-C492549C560B}"/>
    <hyperlink ref="A4" location="'Yvonne_Martinez_66AC1C8F'!A1" display="Martinez" xr:uid="{388CCEF0-EB50-4EAA-B839-2F27A72943AA}"/>
    <hyperlink ref="A6" location="'Bob_Robinson_A77A6DA5'!A1" display="Robinson" xr:uid="{D3D96896-4349-45CE-8537-D42691D44715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0BFF2-89D4-4B39-8B77-7D0F1E2AF126}">
  <sheetPr codeName="Sheet3"/>
  <dimension ref="A1:M1"/>
  <sheetViews>
    <sheetView workbookViewId="0">
      <selection activeCell="D46" sqref="D46"/>
    </sheetView>
  </sheetViews>
  <sheetFormatPr defaultRowHeight="15.05" x14ac:dyDescent="0.3"/>
  <sheetData>
    <row r="1" spans="1:13" ht="38" customHeight="1" x14ac:dyDescent="0.3">
      <c r="A1" s="37" t="s">
        <v>49</v>
      </c>
      <c r="B1" s="37" t="s">
        <v>53</v>
      </c>
      <c r="C1" s="37" t="s">
        <v>2</v>
      </c>
      <c r="D1" s="37" t="s">
        <v>54</v>
      </c>
      <c r="E1" s="37" t="s">
        <v>9</v>
      </c>
      <c r="F1" s="37" t="s">
        <v>11</v>
      </c>
      <c r="G1" s="37" t="s">
        <v>12</v>
      </c>
      <c r="H1" s="37" t="s">
        <v>13</v>
      </c>
      <c r="I1" s="37" t="s">
        <v>55</v>
      </c>
      <c r="J1" s="37" t="s">
        <v>15</v>
      </c>
      <c r="K1" s="37" t="s">
        <v>56</v>
      </c>
      <c r="L1" s="37" t="s">
        <v>57</v>
      </c>
      <c r="M1" s="37" t="s">
        <v>61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3" r:id="rId3" name="Button 1">
              <controlPr defaultSize="0" print="0" autoFill="0" autoPict="0" macro="[0]!Importing.Importing">
                <anchor moveWithCells="1" sizeWithCells="1">
                  <from>
                    <xdr:col>13</xdr:col>
                    <xdr:colOff>399011</xdr:colOff>
                    <xdr:row>0</xdr:row>
                    <xdr:rowOff>133004</xdr:rowOff>
                  </from>
                  <to>
                    <xdr:col>16</xdr:col>
                    <xdr:colOff>340822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W1"/>
  <sheetViews>
    <sheetView workbookViewId="0">
      <selection activeCell="B46" sqref="B46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0.4414062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0.44140625" customWidth="1"/>
    <col min="17" max="17" width="6.109375" customWidth="1"/>
    <col min="23" max="23" width="10.21875" customWidth="1"/>
  </cols>
  <sheetData>
    <row r="1" spans="1:23" ht="41.75" customHeight="1" x14ac:dyDescent="0.3">
      <c r="A1" s="38" t="s">
        <v>64</v>
      </c>
      <c r="B1" s="38" t="s">
        <v>18</v>
      </c>
      <c r="C1" s="38" t="s">
        <v>21</v>
      </c>
      <c r="D1" s="38" t="s">
        <v>19</v>
      </c>
      <c r="E1" s="38" t="s">
        <v>20</v>
      </c>
      <c r="F1" s="38" t="s">
        <v>24</v>
      </c>
      <c r="G1" s="38" t="s">
        <v>23</v>
      </c>
      <c r="H1" s="38" t="s">
        <v>25</v>
      </c>
      <c r="I1" s="38" t="s">
        <v>26</v>
      </c>
      <c r="J1" s="38" t="s">
        <v>27</v>
      </c>
      <c r="K1" s="38"/>
      <c r="L1" s="38" t="s">
        <v>28</v>
      </c>
      <c r="M1" s="38" t="s">
        <v>22</v>
      </c>
      <c r="N1" s="38" t="s">
        <v>29</v>
      </c>
      <c r="O1" s="38" t="s">
        <v>30</v>
      </c>
      <c r="P1" s="38"/>
      <c r="Q1" s="38" t="s">
        <v>33</v>
      </c>
      <c r="R1" s="38" t="s">
        <v>31</v>
      </c>
      <c r="S1" s="38" t="s">
        <v>48</v>
      </c>
      <c r="T1" s="38" t="s">
        <v>32</v>
      </c>
      <c r="U1" s="33"/>
      <c r="V1" s="33"/>
      <c r="W1" s="33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20</xdr:col>
                    <xdr:colOff>149629</xdr:colOff>
                    <xdr:row>0</xdr:row>
                    <xdr:rowOff>49876</xdr:rowOff>
                  </from>
                  <to>
                    <xdr:col>22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U8"/>
  <sheetViews>
    <sheetView tabSelected="1" workbookViewId="0">
      <selection activeCell="U18" sqref="U18"/>
    </sheetView>
  </sheetViews>
  <sheetFormatPr defaultRowHeight="15.05" x14ac:dyDescent="0.3"/>
  <cols>
    <col min="1" max="1" width="16.21875" customWidth="1"/>
    <col min="2" max="9" width="9.6640625" customWidth="1"/>
    <col min="10" max="10" width="10.6640625" customWidth="1"/>
    <col min="11" max="11" width="1.33203125" customWidth="1"/>
    <col min="12" max="15" width="10.6640625" customWidth="1"/>
    <col min="16" max="16" width="1.77734375" customWidth="1"/>
    <col min="17" max="20" width="10.6640625" customWidth="1"/>
    <col min="21" max="21" width="13.6640625" customWidth="1"/>
  </cols>
  <sheetData>
    <row r="1" spans="1:21" ht="37.35" customHeight="1" x14ac:dyDescent="0.3">
      <c r="A1" s="38" t="s">
        <v>64</v>
      </c>
      <c r="B1" s="38" t="s">
        <v>18</v>
      </c>
      <c r="C1" s="38" t="s">
        <v>21</v>
      </c>
      <c r="D1" s="38" t="s">
        <v>19</v>
      </c>
      <c r="E1" s="38" t="s">
        <v>20</v>
      </c>
      <c r="F1" s="38" t="s">
        <v>24</v>
      </c>
      <c r="G1" s="38" t="s">
        <v>23</v>
      </c>
      <c r="H1" s="38" t="s">
        <v>25</v>
      </c>
      <c r="I1" s="38" t="s">
        <v>26</v>
      </c>
      <c r="J1" s="38" t="s">
        <v>27</v>
      </c>
      <c r="K1" s="38" t="s">
        <v>197</v>
      </c>
      <c r="L1" s="38" t="s">
        <v>28</v>
      </c>
      <c r="M1" s="38" t="s">
        <v>22</v>
      </c>
      <c r="N1" s="38" t="s">
        <v>29</v>
      </c>
      <c r="O1" s="38" t="s">
        <v>30</v>
      </c>
      <c r="P1" s="38" t="s">
        <v>198</v>
      </c>
      <c r="Q1" s="38" t="s">
        <v>33</v>
      </c>
      <c r="R1" s="38" t="s">
        <v>31</v>
      </c>
      <c r="S1" s="38" t="s">
        <v>48</v>
      </c>
      <c r="T1" s="38" t="s">
        <v>32</v>
      </c>
      <c r="U1" s="38" t="s">
        <v>200</v>
      </c>
    </row>
    <row r="2" spans="1:21" x14ac:dyDescent="0.3">
      <c r="A2" s="45" t="s">
        <v>124</v>
      </c>
      <c r="B2" s="44">
        <v>6732</v>
      </c>
      <c r="C2" s="44">
        <v>18</v>
      </c>
      <c r="D2" s="44" t="s">
        <v>88</v>
      </c>
      <c r="E2" s="44">
        <v>7652</v>
      </c>
      <c r="F2" s="44">
        <v>7.5</v>
      </c>
      <c r="G2" s="44" t="s">
        <v>91</v>
      </c>
      <c r="H2" s="44" t="s">
        <v>58</v>
      </c>
      <c r="I2" s="44" t="s">
        <v>126</v>
      </c>
      <c r="J2" s="44" t="s">
        <v>94</v>
      </c>
      <c r="K2" s="43"/>
      <c r="L2" s="44" t="s">
        <v>51</v>
      </c>
      <c r="M2" s="44" t="s">
        <v>75</v>
      </c>
      <c r="N2" s="44">
        <v>7656</v>
      </c>
      <c r="O2" s="44" t="s">
        <v>97</v>
      </c>
      <c r="P2" s="43"/>
      <c r="Q2" s="44">
        <v>7</v>
      </c>
      <c r="R2" s="44">
        <v>7652</v>
      </c>
      <c r="S2" s="44">
        <v>7047</v>
      </c>
      <c r="T2" s="44" t="s">
        <v>100</v>
      </c>
      <c r="U2" s="43"/>
    </row>
    <row r="3" spans="1:21" x14ac:dyDescent="0.3">
      <c r="A3" s="45" t="s">
        <v>125</v>
      </c>
      <c r="B3" s="44">
        <v>6140</v>
      </c>
      <c r="C3" s="44" t="s">
        <v>108</v>
      </c>
      <c r="D3" s="44" t="s">
        <v>108</v>
      </c>
      <c r="E3" s="44" t="s">
        <v>108</v>
      </c>
      <c r="F3" s="44" t="s">
        <v>108</v>
      </c>
      <c r="G3" s="44" t="s">
        <v>108</v>
      </c>
      <c r="H3" s="44" t="s">
        <v>108</v>
      </c>
      <c r="I3" s="44" t="s">
        <v>108</v>
      </c>
      <c r="J3" s="44" t="s">
        <v>108</v>
      </c>
      <c r="K3" s="43"/>
      <c r="L3" s="44" t="s">
        <v>108</v>
      </c>
      <c r="M3" s="44" t="s">
        <v>108</v>
      </c>
      <c r="N3" s="44" t="s">
        <v>108</v>
      </c>
      <c r="O3" s="44" t="s">
        <v>108</v>
      </c>
      <c r="P3" s="43"/>
      <c r="Q3" s="44" t="s">
        <v>108</v>
      </c>
      <c r="R3" s="44" t="s">
        <v>108</v>
      </c>
      <c r="S3" s="44" t="s">
        <v>108</v>
      </c>
      <c r="T3" s="44" t="s">
        <v>108</v>
      </c>
      <c r="U3" s="43"/>
    </row>
    <row r="4" spans="1:21" x14ac:dyDescent="0.3">
      <c r="A4" s="46" t="s">
        <v>192</v>
      </c>
      <c r="B4" s="44">
        <v>6148</v>
      </c>
      <c r="C4" s="42">
        <v>17</v>
      </c>
      <c r="D4" s="42" t="s">
        <v>58</v>
      </c>
      <c r="E4" s="42">
        <v>6448</v>
      </c>
      <c r="F4" s="44">
        <v>6.875</v>
      </c>
      <c r="G4" s="42" t="s">
        <v>62</v>
      </c>
      <c r="H4" s="42" t="s">
        <v>70</v>
      </c>
      <c r="I4" s="41" t="s">
        <v>79</v>
      </c>
      <c r="J4" s="42" t="s">
        <v>115</v>
      </c>
      <c r="K4" s="43"/>
      <c r="L4" s="42" t="s">
        <v>51</v>
      </c>
      <c r="M4" s="42" t="s">
        <v>68</v>
      </c>
      <c r="N4" s="42">
        <v>7652</v>
      </c>
      <c r="O4" s="42" t="s">
        <v>81</v>
      </c>
      <c r="P4" s="43"/>
      <c r="Q4" s="42">
        <v>6.875</v>
      </c>
      <c r="R4" s="42">
        <v>6748</v>
      </c>
      <c r="S4" s="42">
        <v>6434</v>
      </c>
      <c r="T4" s="42" t="s">
        <v>121</v>
      </c>
      <c r="U4" s="43"/>
    </row>
    <row r="5" spans="1:21" x14ac:dyDescent="0.3">
      <c r="A5" s="46" t="s">
        <v>193</v>
      </c>
      <c r="B5" s="42">
        <v>7054</v>
      </c>
      <c r="C5" s="42" t="s">
        <v>130</v>
      </c>
      <c r="D5" s="41" t="s">
        <v>68</v>
      </c>
      <c r="E5" s="42">
        <v>7060</v>
      </c>
      <c r="F5" s="42">
        <v>7</v>
      </c>
      <c r="G5" s="42" t="s">
        <v>62</v>
      </c>
      <c r="H5" s="43"/>
      <c r="I5" s="42" t="s">
        <v>60</v>
      </c>
      <c r="J5" s="42" t="s">
        <v>133</v>
      </c>
      <c r="K5" s="43"/>
      <c r="L5" s="44" t="s">
        <v>51</v>
      </c>
      <c r="M5" s="44" t="s">
        <v>107</v>
      </c>
      <c r="N5" s="42">
        <v>7656</v>
      </c>
      <c r="O5" s="42" t="s">
        <v>97</v>
      </c>
      <c r="P5" s="43"/>
      <c r="Q5" s="44">
        <v>7</v>
      </c>
      <c r="R5" s="43"/>
      <c r="S5" s="43"/>
      <c r="T5" s="44" t="s">
        <v>121</v>
      </c>
      <c r="U5" s="43"/>
    </row>
    <row r="6" spans="1:21" x14ac:dyDescent="0.3">
      <c r="A6" s="46" t="s">
        <v>194</v>
      </c>
      <c r="B6" s="41">
        <v>6732</v>
      </c>
      <c r="C6" s="41" t="s">
        <v>144</v>
      </c>
      <c r="D6" s="41" t="s">
        <v>68</v>
      </c>
      <c r="E6" s="43"/>
      <c r="F6" s="41">
        <v>7.375</v>
      </c>
      <c r="G6" s="41" t="s">
        <v>62</v>
      </c>
      <c r="H6" s="43"/>
      <c r="I6" s="41" t="s">
        <v>79</v>
      </c>
      <c r="J6" s="41" t="s">
        <v>148</v>
      </c>
      <c r="K6" s="43"/>
      <c r="L6" s="41" t="s">
        <v>51</v>
      </c>
      <c r="M6" s="41" t="s">
        <v>150</v>
      </c>
      <c r="N6" s="41">
        <v>7040</v>
      </c>
      <c r="O6" s="41" t="s">
        <v>97</v>
      </c>
      <c r="P6" s="43"/>
      <c r="Q6" s="41">
        <v>7.375</v>
      </c>
      <c r="R6" s="41">
        <v>6736</v>
      </c>
      <c r="S6" s="43"/>
      <c r="T6" s="41" t="s">
        <v>155</v>
      </c>
      <c r="U6" s="43"/>
    </row>
    <row r="7" spans="1:21" x14ac:dyDescent="0.3">
      <c r="A7" s="46" t="s">
        <v>195</v>
      </c>
      <c r="B7" s="42">
        <v>7332</v>
      </c>
      <c r="C7" s="42">
        <v>14</v>
      </c>
      <c r="D7" s="41" t="s">
        <v>150</v>
      </c>
      <c r="E7" s="42">
        <v>6448</v>
      </c>
      <c r="F7" s="42">
        <v>7.75</v>
      </c>
      <c r="G7" s="42" t="s">
        <v>62</v>
      </c>
      <c r="H7" s="42" t="s">
        <v>150</v>
      </c>
      <c r="I7" s="42" t="s">
        <v>60</v>
      </c>
      <c r="J7" s="42" t="s">
        <v>168</v>
      </c>
      <c r="K7" s="43"/>
      <c r="L7" s="42" t="s">
        <v>51</v>
      </c>
      <c r="M7" s="42" t="s">
        <v>58</v>
      </c>
      <c r="N7" s="42">
        <v>7652</v>
      </c>
      <c r="O7" s="42" t="s">
        <v>171</v>
      </c>
      <c r="P7" s="43"/>
      <c r="Q7" s="42">
        <v>7.75</v>
      </c>
      <c r="R7" s="42">
        <v>6432</v>
      </c>
      <c r="S7" s="42">
        <v>6742</v>
      </c>
      <c r="T7" s="42" t="s">
        <v>176</v>
      </c>
      <c r="U7" s="43"/>
    </row>
    <row r="8" spans="1:21" x14ac:dyDescent="0.3">
      <c r="A8" s="46" t="s">
        <v>196</v>
      </c>
      <c r="B8" s="42">
        <v>6428</v>
      </c>
      <c r="C8" s="42" t="s">
        <v>159</v>
      </c>
      <c r="D8" s="42" t="s">
        <v>183</v>
      </c>
      <c r="E8" s="42" t="s">
        <v>185</v>
      </c>
      <c r="F8" s="42">
        <v>7.375</v>
      </c>
      <c r="G8" s="42" t="s">
        <v>62</v>
      </c>
      <c r="H8" s="42" t="s">
        <v>70</v>
      </c>
      <c r="I8" s="41" t="s">
        <v>79</v>
      </c>
      <c r="J8" s="42" t="s">
        <v>148</v>
      </c>
      <c r="K8" s="43"/>
      <c r="L8" s="42" t="s">
        <v>51</v>
      </c>
      <c r="M8" s="42" t="s">
        <v>107</v>
      </c>
      <c r="N8" s="42">
        <v>6440</v>
      </c>
      <c r="O8" s="42" t="s">
        <v>188</v>
      </c>
      <c r="P8" s="43"/>
      <c r="Q8" s="42">
        <v>7.375</v>
      </c>
      <c r="R8" s="42">
        <v>6432</v>
      </c>
      <c r="S8" s="42">
        <v>6434</v>
      </c>
      <c r="T8" s="42" t="s">
        <v>190</v>
      </c>
      <c r="U8" s="4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6305" r:id="rId3" name="Button 1">
              <controlPr defaultSize="0" print="0" autoFill="0" autoPict="0" macro="[0]!master">
                <anchor>
                  <from>
                    <xdr:col>21</xdr:col>
                    <xdr:colOff>249382</xdr:colOff>
                    <xdr:row>0</xdr:row>
                    <xdr:rowOff>49876</xdr:rowOff>
                  </from>
                  <to>
                    <xdr:col>25</xdr:col>
                    <xdr:colOff>41564</xdr:colOff>
                    <xdr:row>0</xdr:row>
                    <xdr:rowOff>390698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8" r:id="rId4" name="Toggle1">
              <controlPr defaultSize="0" print="0" autoFill="0" autoPict="0" macro="[0]!'togglePersonAsComplete 2'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9" r:id="rId5" name="Toggle2">
              <controlPr defaultSize="0" print="0" autoFill="0" autoPict="0" macro="[0]!'togglePersonAsComplete 3'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0" r:id="rId6" name="Toggle3">
              <controlPr defaultSize="0" print="0" autoFill="0" autoPict="0" macro="[0]!'togglePersonAsComplete 4'">
                <anchor moveWithCells="1" sizeWithCells="1">
                  <from>
                    <xdr:col>20</xdr:col>
                    <xdr:colOff>0</xdr:colOff>
                    <xdr:row>3</xdr:row>
                    <xdr:rowOff>0</xdr:rowOff>
                  </from>
                  <to>
                    <xdr:col>21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1" r:id="rId7" name="Toggle4">
              <controlPr defaultSize="0" print="0" autoFill="0" autoPict="0" macro="[0]!'togglePersonAsComplete 5'">
                <anchor moveWithCells="1" sizeWithCells="1">
                  <from>
                    <xdr:col>20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2" r:id="rId8" name="Toggle5">
              <controlPr defaultSize="0" print="0" autoFill="0" autoPict="0" macro="[0]!'togglePersonAsComplete 6'">
                <anchor moveWithCells="1" sizeWithCells="1">
                  <from>
                    <xdr:col>20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3" r:id="rId9" name="Toggle6">
              <controlPr defaultSize="0" print="0" autoFill="0" autoPict="0" macro="[0]!'togglePersonAsComplete 7'">
                <anchor moveWithCells="1" sizeWithCells="1">
                  <from>
                    <xdr:col>20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04" r:id="rId10" name="Toggle7">
              <controlPr defaultSize="0" print="0" autoFill="0" autoPict="0" macro="[0]!'togglePersonAsComplete 8'">
                <anchor moveWithCells="1" sizeWithCells="1">
                  <from>
                    <xdr:col>20</xdr:col>
                    <xdr:colOff>0</xdr:colOff>
                    <xdr:row>7</xdr:row>
                    <xdr:rowOff>0</xdr:rowOff>
                  </from>
                  <to>
                    <xdr:col>21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D42BA-C064-4EC6-A94F-79B86C5C4A1F}">
  <sheetPr codeName="Sheet5"/>
  <dimension ref="A1:L39"/>
  <sheetViews>
    <sheetView workbookViewId="0">
      <selection activeCell="T47" sqref="T47"/>
    </sheetView>
  </sheetViews>
  <sheetFormatPr defaultRowHeight="15.05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51" t="s">
        <v>84</v>
      </c>
      <c r="D2" s="51"/>
      <c r="E2" s="51" t="s">
        <v>85</v>
      </c>
      <c r="F2" s="51"/>
      <c r="G2" s="1" t="s">
        <v>86</v>
      </c>
      <c r="K2" s="4" t="s">
        <v>9</v>
      </c>
      <c r="L2" s="4">
        <v>22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>
        <v>17.3</v>
      </c>
    </row>
    <row r="4" spans="1:12" x14ac:dyDescent="0.3">
      <c r="A4" s="1" t="s">
        <v>39</v>
      </c>
      <c r="B4" s="55">
        <v>7345806215</v>
      </c>
      <c r="C4" s="55"/>
      <c r="D4" s="55"/>
      <c r="E4" s="51" t="s">
        <v>52</v>
      </c>
      <c r="F4" s="51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>
        <v>51</v>
      </c>
    </row>
    <row r="6" spans="1:12" x14ac:dyDescent="0.3">
      <c r="A6" s="3" t="s">
        <v>143</v>
      </c>
      <c r="B6" s="47" t="s">
        <v>18</v>
      </c>
      <c r="C6" s="47"/>
      <c r="D6" s="47"/>
      <c r="E6" s="4">
        <v>6732</v>
      </c>
      <c r="F6" s="4">
        <v>1</v>
      </c>
      <c r="G6" s="25" t="s">
        <v>199</v>
      </c>
      <c r="H6" s="28" t="str">
        <f>HYPERLINK("#G6",CHAR(128))</f>
        <v>€</v>
      </c>
      <c r="K6" s="4" t="s">
        <v>14</v>
      </c>
      <c r="L6" s="4">
        <v>36.5</v>
      </c>
    </row>
    <row r="7" spans="1:12" x14ac:dyDescent="0.3">
      <c r="A7" s="2" t="s">
        <v>87</v>
      </c>
      <c r="B7" s="51" t="s">
        <v>21</v>
      </c>
      <c r="C7" s="51"/>
      <c r="D7" s="51"/>
      <c r="E7" s="1">
        <v>18</v>
      </c>
      <c r="F7" s="16">
        <v>1</v>
      </c>
      <c r="G7" s="25" t="s">
        <v>199</v>
      </c>
      <c r="H7" s="28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89</v>
      </c>
      <c r="B8" s="47" t="s">
        <v>19</v>
      </c>
      <c r="C8" s="47"/>
      <c r="D8" s="47"/>
      <c r="E8" s="4" t="s">
        <v>88</v>
      </c>
      <c r="F8" s="4">
        <v>1</v>
      </c>
      <c r="G8" s="25" t="s">
        <v>199</v>
      </c>
      <c r="H8" s="28" t="str">
        <f>HYPERLINK("#G8",CHAR(128))</f>
        <v>€</v>
      </c>
      <c r="K8" s="4" t="s">
        <v>16</v>
      </c>
      <c r="L8" s="4">
        <v>248.5</v>
      </c>
    </row>
    <row r="9" spans="1:12" x14ac:dyDescent="0.3">
      <c r="A9" s="2" t="s">
        <v>90</v>
      </c>
      <c r="B9" s="51" t="s">
        <v>20</v>
      </c>
      <c r="C9" s="51"/>
      <c r="D9" s="51"/>
      <c r="E9" s="1">
        <v>7652</v>
      </c>
      <c r="F9" s="16">
        <v>1</v>
      </c>
      <c r="G9" s="25" t="s">
        <v>199</v>
      </c>
      <c r="H9" s="28" t="str">
        <f>HYPERLINK("#G9",CHAR(128))</f>
        <v>€</v>
      </c>
      <c r="I9" s="11"/>
      <c r="K9" s="1" t="s">
        <v>17</v>
      </c>
      <c r="L9" s="1">
        <v>90.1</v>
      </c>
    </row>
    <row r="10" spans="1:12" x14ac:dyDescent="0.3">
      <c r="A10" s="3"/>
      <c r="B10" s="47" t="s">
        <v>24</v>
      </c>
      <c r="C10" s="47"/>
      <c r="D10" s="47"/>
      <c r="E10" s="8">
        <v>7.5</v>
      </c>
      <c r="F10" s="4">
        <v>1</v>
      </c>
      <c r="G10" s="25" t="s">
        <v>199</v>
      </c>
      <c r="H10" s="28" t="str">
        <f>HYPERLINK("#G10",CHAR(128))</f>
        <v>€</v>
      </c>
      <c r="K10" s="15" t="s">
        <v>47</v>
      </c>
      <c r="L10" s="15">
        <v>9.3000000000000007</v>
      </c>
    </row>
    <row r="11" spans="1:12" x14ac:dyDescent="0.3">
      <c r="A11" s="2" t="s">
        <v>92</v>
      </c>
      <c r="B11" s="51" t="s">
        <v>23</v>
      </c>
      <c r="C11" s="51"/>
      <c r="D11" s="51"/>
      <c r="E11" s="1" t="s">
        <v>91</v>
      </c>
      <c r="F11" s="16">
        <v>1</v>
      </c>
      <c r="G11" s="25" t="s">
        <v>199</v>
      </c>
      <c r="H11" s="28" t="str">
        <f>HYPERLINK("#G11",CHAR(128))</f>
        <v>€</v>
      </c>
    </row>
    <row r="12" spans="1:12" x14ac:dyDescent="0.3">
      <c r="A12" s="5" t="s">
        <v>59</v>
      </c>
      <c r="B12" s="47" t="s">
        <v>25</v>
      </c>
      <c r="C12" s="47"/>
      <c r="D12" s="47"/>
      <c r="E12" s="4" t="s">
        <v>58</v>
      </c>
      <c r="F12" s="4">
        <v>1</v>
      </c>
      <c r="G12" s="25" t="s">
        <v>199</v>
      </c>
      <c r="H12" s="28" t="str">
        <f>HYPERLINK("#G12",CHAR(128))</f>
        <v>€</v>
      </c>
    </row>
    <row r="13" spans="1:12" x14ac:dyDescent="0.3">
      <c r="A13" s="2" t="s">
        <v>93</v>
      </c>
      <c r="B13" s="51" t="s">
        <v>26</v>
      </c>
      <c r="C13" s="51"/>
      <c r="D13" s="51"/>
      <c r="E13" s="1" t="s">
        <v>126</v>
      </c>
      <c r="F13" s="16">
        <v>1</v>
      </c>
      <c r="G13" s="25" t="s">
        <v>199</v>
      </c>
      <c r="H13" s="28" t="str">
        <f>HYPERLINK("#G13",CHAR(128))</f>
        <v>€</v>
      </c>
    </row>
    <row r="14" spans="1:12" x14ac:dyDescent="0.3">
      <c r="A14" s="5" t="s">
        <v>95</v>
      </c>
      <c r="B14" s="47" t="s">
        <v>27</v>
      </c>
      <c r="C14" s="47"/>
      <c r="D14" s="47"/>
      <c r="E14" s="4" t="s">
        <v>94</v>
      </c>
      <c r="F14" s="4">
        <v>1</v>
      </c>
      <c r="G14" s="25" t="s">
        <v>199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/>
      <c r="F15" s="16"/>
      <c r="G15" s="25" t="s">
        <v>199</v>
      </c>
      <c r="H15" s="14"/>
    </row>
    <row r="16" spans="1:12" x14ac:dyDescent="0.3">
      <c r="A16" s="5" t="s">
        <v>46</v>
      </c>
      <c r="B16" s="47" t="s">
        <v>28</v>
      </c>
      <c r="C16" s="47"/>
      <c r="D16" s="47"/>
      <c r="E16" s="4" t="s">
        <v>51</v>
      </c>
      <c r="F16" s="4">
        <v>1</v>
      </c>
      <c r="G16" s="25" t="s">
        <v>199</v>
      </c>
      <c r="H16" s="23" t="str">
        <f>HYPERLINK("#G16",CHAR(128))</f>
        <v>€</v>
      </c>
    </row>
    <row r="17" spans="1:10" x14ac:dyDescent="0.3">
      <c r="A17" s="2" t="s">
        <v>76</v>
      </c>
      <c r="B17" s="51" t="s">
        <v>22</v>
      </c>
      <c r="C17" s="51"/>
      <c r="D17" s="51"/>
      <c r="E17" s="1" t="s">
        <v>75</v>
      </c>
      <c r="F17" s="16">
        <v>1</v>
      </c>
      <c r="G17" s="25" t="s">
        <v>199</v>
      </c>
      <c r="H17" s="23" t="str">
        <f>HYPERLINK("#G17",CHAR(128))</f>
        <v>€</v>
      </c>
    </row>
    <row r="18" spans="1:10" x14ac:dyDescent="0.3">
      <c r="A18" s="5" t="s">
        <v>96</v>
      </c>
      <c r="B18" s="47" t="s">
        <v>29</v>
      </c>
      <c r="C18" s="47"/>
      <c r="D18" s="47"/>
      <c r="E18" s="4">
        <v>7656</v>
      </c>
      <c r="F18" s="4">
        <v>1</v>
      </c>
      <c r="G18" s="25" t="s">
        <v>199</v>
      </c>
      <c r="H18" s="23" t="str">
        <f>HYPERLINK("#G18",CHAR(128))</f>
        <v>€</v>
      </c>
    </row>
    <row r="19" spans="1:10" x14ac:dyDescent="0.3">
      <c r="A19" s="2" t="s">
        <v>98</v>
      </c>
      <c r="B19" s="51" t="s">
        <v>30</v>
      </c>
      <c r="C19" s="51"/>
      <c r="D19" s="51"/>
      <c r="E19" s="1" t="s">
        <v>97</v>
      </c>
      <c r="F19" s="16">
        <v>1</v>
      </c>
      <c r="G19" s="25" t="s">
        <v>199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/>
      <c r="F20" s="4"/>
      <c r="G20" s="25" t="s">
        <v>199</v>
      </c>
      <c r="H20" s="14"/>
    </row>
    <row r="21" spans="1:10" x14ac:dyDescent="0.3">
      <c r="A21" s="2" t="s">
        <v>136</v>
      </c>
      <c r="B21" s="51" t="s">
        <v>33</v>
      </c>
      <c r="C21" s="51"/>
      <c r="D21" s="51"/>
      <c r="E21" s="9">
        <v>7</v>
      </c>
      <c r="F21" s="16">
        <v>1</v>
      </c>
      <c r="G21" s="25" t="s">
        <v>199</v>
      </c>
      <c r="H21" s="23" t="str">
        <f>HYPERLINK("#G21",CHAR(128))</f>
        <v>€</v>
      </c>
    </row>
    <row r="22" spans="1:10" x14ac:dyDescent="0.3">
      <c r="A22" s="5" t="s">
        <v>99</v>
      </c>
      <c r="B22" s="47" t="s">
        <v>31</v>
      </c>
      <c r="C22" s="47"/>
      <c r="D22" s="47"/>
      <c r="E22" s="4">
        <v>7652</v>
      </c>
      <c r="F22" s="4">
        <v>1</v>
      </c>
      <c r="G22" s="25" t="s">
        <v>199</v>
      </c>
      <c r="H22" s="23" t="str">
        <f>HYPERLINK("#G22",CHAR(128))</f>
        <v>€</v>
      </c>
    </row>
    <row r="23" spans="1:10" x14ac:dyDescent="0.3">
      <c r="A23" s="2"/>
      <c r="B23" s="51" t="s">
        <v>48</v>
      </c>
      <c r="C23" s="51"/>
      <c r="D23" s="51"/>
      <c r="E23" s="1">
        <v>7047</v>
      </c>
      <c r="F23" s="16">
        <v>1</v>
      </c>
      <c r="G23" s="25" t="s">
        <v>199</v>
      </c>
      <c r="H23" s="22" t="str">
        <f>HYPERLINK("#G23",CHAR(128))</f>
        <v>€</v>
      </c>
    </row>
    <row r="24" spans="1:10" x14ac:dyDescent="0.3">
      <c r="A24" s="5" t="s">
        <v>101</v>
      </c>
      <c r="B24" s="47" t="s">
        <v>32</v>
      </c>
      <c r="C24" s="47"/>
      <c r="D24" s="47"/>
      <c r="E24" s="4" t="s">
        <v>100</v>
      </c>
      <c r="F24" s="4">
        <v>1</v>
      </c>
      <c r="G24" s="25" t="s">
        <v>199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25" t="s">
        <v>77</v>
      </c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tr">
        <f>C2</f>
        <v>Wilson</v>
      </c>
      <c r="F26" s="4">
        <v>1</v>
      </c>
      <c r="G26" s="25" t="s">
        <v>77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s="40" t="s">
        <v>67</v>
      </c>
      <c r="D37" t="s">
        <v>69</v>
      </c>
    </row>
    <row r="38" spans="1:8" x14ac:dyDescent="0.3">
      <c r="A38" s="36">
        <v>45290</v>
      </c>
      <c r="B38" t="s">
        <v>33</v>
      </c>
      <c r="C38" s="40" t="s">
        <v>157</v>
      </c>
      <c r="D38">
        <v>7</v>
      </c>
    </row>
    <row r="39" spans="1:8" x14ac:dyDescent="0.3">
      <c r="A39" s="36">
        <v>45290</v>
      </c>
      <c r="B39" t="s">
        <v>18</v>
      </c>
      <c r="C39">
        <v>8052</v>
      </c>
      <c r="D39">
        <v>6732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71" priority="2" operator="equal">
      <formula>"Returned"</formula>
    </cfRule>
    <cfRule type="cellIs" dxfId="70" priority="5" operator="equal">
      <formula>"Ready To Order"</formula>
    </cfRule>
    <cfRule type="cellIs" dxfId="69" priority="6" operator="equal">
      <formula>"UNP"</formula>
    </cfRule>
    <cfRule type="containsText" dxfId="68" priority="7" operator="containsText" text="Ordered">
      <formula>NOT(ISERROR(SEARCH("Ordered",G6)))</formula>
    </cfRule>
    <cfRule type="containsText" dxfId="67" priority="8" operator="containsText" text="Pick Up">
      <formula>NOT(ISERROR(SEARCH("Pick Up",G6)))</formula>
    </cfRule>
    <cfRule type="containsText" dxfId="66" priority="9" operator="containsText" text="Complete">
      <formula>NOT(ISERROR(SEARCH("Complete",G6)))</formula>
    </cfRule>
  </conditionalFormatting>
  <conditionalFormatting sqref="G30:G33">
    <cfRule type="containsText" dxfId="65" priority="4" operator="containsText" text="Given">
      <formula>NOT(ISERROR(SEARCH("Given",G30)))</formula>
    </cfRule>
  </conditionalFormatting>
  <conditionalFormatting sqref="G30:G34">
    <cfRule type="containsText" dxfId="64" priority="3" operator="containsText" text="Returned">
      <formula>NOT(ISERROR(SEARCH("Returned",G30)))</formula>
    </cfRule>
  </conditionalFormatting>
  <conditionalFormatting sqref="G6:G26">
    <cfRule type="cellIs" dxfId="63" priority="1" operator="equal">
      <formula>"In Stock"</formula>
    </cfRule>
  </conditionalFormatting>
  <dataValidations count="3">
    <dataValidation type="list" allowBlank="1" showInputMessage="1" showErrorMessage="1" sqref="G30:G34" xr:uid="{2B62E819-9219-41C3-996B-3F5786D06890}">
      <formula1>"--,Returned, Given"</formula1>
    </dataValidation>
    <dataValidation type="list" allowBlank="1" showInputMessage="1" showErrorMessage="1" sqref="G6:G26" xr:uid="{EADC0533-6E83-4F85-93C6-C6AB50BB6941}">
      <formula1>"UNP, Ready To Order, Ordered, In Stock, Pick Up, Complete, Returned"</formula1>
    </dataValidation>
    <dataValidation type="decimal" allowBlank="1" showInputMessage="1" showErrorMessage="1" sqref="L2" xr:uid="{6BFEC26B-DDB7-4B3F-8284-034BAF44735D}">
      <formula1>19</formula1>
      <formula2>26</formula2>
    </dataValidation>
  </dataValidations>
  <hyperlinks>
    <hyperlink ref="A1:A2" location="Menu!A1" display="Back to Menu" xr:uid="{9104947B-DA43-4337-B6D1-AD4616C6D6D2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25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6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7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8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29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30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8D5F7-0485-43E4-B39C-F180B3C340E0}">
  <sheetPr codeName="Sheet6"/>
  <dimension ref="A1:L38"/>
  <sheetViews>
    <sheetView workbookViewId="0">
      <selection activeCell="G41" sqref="G41"/>
    </sheetView>
  </sheetViews>
  <sheetFormatPr defaultRowHeight="15.05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102</v>
      </c>
      <c r="C2" s="51" t="s">
        <v>103</v>
      </c>
      <c r="D2" s="51"/>
      <c r="E2" s="51" t="s">
        <v>104</v>
      </c>
      <c r="F2" s="51"/>
      <c r="G2" s="1" t="s">
        <v>105</v>
      </c>
      <c r="K2" s="4" t="s">
        <v>9</v>
      </c>
      <c r="L2" s="4"/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/>
    </row>
    <row r="4" spans="1:12" x14ac:dyDescent="0.3">
      <c r="A4" s="1" t="s">
        <v>39</v>
      </c>
      <c r="B4" s="55"/>
      <c r="C4" s="55"/>
      <c r="D4" s="55"/>
      <c r="E4" s="51"/>
      <c r="F4" s="51"/>
      <c r="G4" s="1" t="s">
        <v>44</v>
      </c>
      <c r="K4" s="4" t="s">
        <v>12</v>
      </c>
      <c r="L4" s="4">
        <v>40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x14ac:dyDescent="0.3">
      <c r="A6" s="3" t="s">
        <v>106</v>
      </c>
      <c r="B6" s="47" t="s">
        <v>18</v>
      </c>
      <c r="C6" s="47"/>
      <c r="D6" s="47"/>
      <c r="E6" s="4">
        <v>6140</v>
      </c>
      <c r="F6" s="4">
        <v>1</v>
      </c>
      <c r="G6" s="25" t="s">
        <v>199</v>
      </c>
      <c r="H6" s="28" t="str">
        <f>HYPERLINK("#G6",CHAR(128))</f>
        <v>€</v>
      </c>
      <c r="K6" s="4" t="s">
        <v>14</v>
      </c>
      <c r="L6" s="4"/>
    </row>
    <row r="7" spans="1:12" x14ac:dyDescent="0.3">
      <c r="A7" s="2"/>
      <c r="B7" s="51" t="s">
        <v>21</v>
      </c>
      <c r="C7" s="51"/>
      <c r="D7" s="51"/>
      <c r="E7" s="1" t="s">
        <v>108</v>
      </c>
      <c r="F7" s="16">
        <v>1</v>
      </c>
      <c r="G7" s="25" t="s">
        <v>199</v>
      </c>
      <c r="H7" s="28" t="str">
        <f>HYPERLINK("#G7",CHAR(128))</f>
        <v>€</v>
      </c>
      <c r="K7" s="1" t="s">
        <v>15</v>
      </c>
      <c r="L7" s="1">
        <v>60</v>
      </c>
    </row>
    <row r="8" spans="1:12" x14ac:dyDescent="0.3">
      <c r="A8" s="3"/>
      <c r="B8" s="47" t="s">
        <v>19</v>
      </c>
      <c r="C8" s="47"/>
      <c r="D8" s="47"/>
      <c r="E8" s="4" t="s">
        <v>108</v>
      </c>
      <c r="F8" s="4">
        <v>1</v>
      </c>
      <c r="G8" s="25" t="s">
        <v>199</v>
      </c>
      <c r="H8" s="28" t="str">
        <f>HYPERLINK("#G8",CHAR(128))</f>
        <v>€</v>
      </c>
      <c r="K8" s="4" t="s">
        <v>16</v>
      </c>
      <c r="L8" s="4"/>
    </row>
    <row r="9" spans="1:12" x14ac:dyDescent="0.3">
      <c r="A9" s="2"/>
      <c r="B9" s="51" t="s">
        <v>20</v>
      </c>
      <c r="C9" s="51"/>
      <c r="D9" s="51"/>
      <c r="E9" s="1" t="s">
        <v>108</v>
      </c>
      <c r="F9" s="16">
        <v>1</v>
      </c>
      <c r="G9" s="25" t="s">
        <v>199</v>
      </c>
      <c r="H9" s="28" t="str">
        <f>HYPERLINK("#G9",CHAR(128))</f>
        <v>€</v>
      </c>
      <c r="I9" s="11"/>
      <c r="K9" s="1" t="s">
        <v>17</v>
      </c>
      <c r="L9" s="1"/>
    </row>
    <row r="10" spans="1:12" x14ac:dyDescent="0.3">
      <c r="A10" s="3"/>
      <c r="B10" s="47" t="s">
        <v>24</v>
      </c>
      <c r="C10" s="47"/>
      <c r="D10" s="47"/>
      <c r="E10" s="8" t="s">
        <v>108</v>
      </c>
      <c r="F10" s="4">
        <v>1</v>
      </c>
      <c r="G10" s="25" t="s">
        <v>199</v>
      </c>
      <c r="H10" s="28" t="str">
        <f>HYPERLINK("#G10",CHAR(128))</f>
        <v>€</v>
      </c>
      <c r="K10" s="15" t="s">
        <v>47</v>
      </c>
      <c r="L10" s="15"/>
    </row>
    <row r="11" spans="1:12" x14ac:dyDescent="0.3">
      <c r="A11" s="2"/>
      <c r="B11" s="51" t="s">
        <v>23</v>
      </c>
      <c r="C11" s="51"/>
      <c r="D11" s="51"/>
      <c r="E11" s="1" t="s">
        <v>108</v>
      </c>
      <c r="F11" s="16">
        <v>1</v>
      </c>
      <c r="G11" s="25" t="s">
        <v>199</v>
      </c>
      <c r="H11" s="28" t="str">
        <f>HYPERLINK("#G11",CHAR(128))</f>
        <v>€</v>
      </c>
    </row>
    <row r="12" spans="1:12" x14ac:dyDescent="0.3">
      <c r="A12" s="5"/>
      <c r="B12" s="47" t="s">
        <v>25</v>
      </c>
      <c r="C12" s="47"/>
      <c r="D12" s="47"/>
      <c r="E12" s="4" t="s">
        <v>108</v>
      </c>
      <c r="F12" s="4">
        <v>1</v>
      </c>
      <c r="G12" s="25" t="s">
        <v>199</v>
      </c>
      <c r="H12" s="28" t="str">
        <f>HYPERLINK("#G12",CHAR(128))</f>
        <v>€</v>
      </c>
    </row>
    <row r="13" spans="1:12" x14ac:dyDescent="0.3">
      <c r="A13" s="2"/>
      <c r="B13" s="51" t="s">
        <v>26</v>
      </c>
      <c r="C13" s="51"/>
      <c r="D13" s="51"/>
      <c r="E13" s="1" t="s">
        <v>108</v>
      </c>
      <c r="F13" s="16">
        <v>1</v>
      </c>
      <c r="G13" s="25" t="s">
        <v>199</v>
      </c>
      <c r="H13" s="28" t="str">
        <f>HYPERLINK("#G13",CHAR(128))</f>
        <v>€</v>
      </c>
    </row>
    <row r="14" spans="1:12" x14ac:dyDescent="0.3">
      <c r="A14" s="5"/>
      <c r="B14" s="47" t="s">
        <v>27</v>
      </c>
      <c r="C14" s="47"/>
      <c r="D14" s="47"/>
      <c r="E14" s="4" t="s">
        <v>108</v>
      </c>
      <c r="F14" s="4">
        <v>1</v>
      </c>
      <c r="G14" s="25" t="s">
        <v>199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 t="s">
        <v>108</v>
      </c>
      <c r="F15" s="16"/>
      <c r="G15" s="25" t="s">
        <v>199</v>
      </c>
      <c r="H15" s="14"/>
    </row>
    <row r="16" spans="1:12" x14ac:dyDescent="0.3">
      <c r="A16" s="5"/>
      <c r="B16" s="47" t="s">
        <v>28</v>
      </c>
      <c r="C16" s="47"/>
      <c r="D16" s="47"/>
      <c r="E16" s="4" t="s">
        <v>108</v>
      </c>
      <c r="F16" s="4">
        <v>1</v>
      </c>
      <c r="G16" s="25" t="s">
        <v>199</v>
      </c>
      <c r="H16" s="23" t="str">
        <f>HYPERLINK("#G16",CHAR(128))</f>
        <v>€</v>
      </c>
    </row>
    <row r="17" spans="1:10" x14ac:dyDescent="0.3">
      <c r="A17" s="2"/>
      <c r="B17" s="51" t="s">
        <v>22</v>
      </c>
      <c r="C17" s="51"/>
      <c r="D17" s="51"/>
      <c r="E17" s="1" t="s">
        <v>108</v>
      </c>
      <c r="F17" s="16">
        <v>1</v>
      </c>
      <c r="G17" s="25" t="s">
        <v>199</v>
      </c>
      <c r="H17" s="23" t="str">
        <f>HYPERLINK("#G17",CHAR(128))</f>
        <v>€</v>
      </c>
    </row>
    <row r="18" spans="1:10" x14ac:dyDescent="0.3">
      <c r="A18" s="5"/>
      <c r="B18" s="47" t="s">
        <v>29</v>
      </c>
      <c r="C18" s="47"/>
      <c r="D18" s="47"/>
      <c r="E18" s="4" t="s">
        <v>108</v>
      </c>
      <c r="F18" s="4">
        <v>1</v>
      </c>
      <c r="G18" s="25" t="s">
        <v>199</v>
      </c>
      <c r="H18" s="23" t="str">
        <f>HYPERLINK("#G18",CHAR(128))</f>
        <v>€</v>
      </c>
    </row>
    <row r="19" spans="1:10" x14ac:dyDescent="0.3">
      <c r="A19" s="2"/>
      <c r="B19" s="51" t="s">
        <v>30</v>
      </c>
      <c r="C19" s="51"/>
      <c r="D19" s="51"/>
      <c r="E19" s="1" t="s">
        <v>108</v>
      </c>
      <c r="F19" s="16">
        <v>1</v>
      </c>
      <c r="G19" s="25" t="s">
        <v>199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 t="s">
        <v>108</v>
      </c>
      <c r="F20" s="4"/>
      <c r="G20" s="25" t="s">
        <v>199</v>
      </c>
      <c r="H20" s="14"/>
    </row>
    <row r="21" spans="1:10" x14ac:dyDescent="0.3">
      <c r="A21" s="2"/>
      <c r="B21" s="51" t="s">
        <v>33</v>
      </c>
      <c r="C21" s="51"/>
      <c r="D21" s="51"/>
      <c r="E21" s="9" t="s">
        <v>108</v>
      </c>
      <c r="F21" s="16">
        <v>1</v>
      </c>
      <c r="G21" s="25" t="s">
        <v>199</v>
      </c>
      <c r="H21" s="23" t="str">
        <f>HYPERLINK("#G21",CHAR(128))</f>
        <v>€</v>
      </c>
    </row>
    <row r="22" spans="1:10" x14ac:dyDescent="0.3">
      <c r="A22" s="5"/>
      <c r="B22" s="47" t="s">
        <v>31</v>
      </c>
      <c r="C22" s="47"/>
      <c r="D22" s="47"/>
      <c r="E22" s="4" t="s">
        <v>108</v>
      </c>
      <c r="F22" s="4">
        <v>1</v>
      </c>
      <c r="G22" s="25" t="s">
        <v>199</v>
      </c>
      <c r="H22" s="23" t="str">
        <f>HYPERLINK("#G22",CHAR(128))</f>
        <v>€</v>
      </c>
    </row>
    <row r="23" spans="1:10" x14ac:dyDescent="0.3">
      <c r="A23" s="2"/>
      <c r="B23" s="51" t="s">
        <v>48</v>
      </c>
      <c r="C23" s="51"/>
      <c r="D23" s="51"/>
      <c r="E23" s="1" t="s">
        <v>108</v>
      </c>
      <c r="F23" s="16">
        <v>1</v>
      </c>
      <c r="G23" s="25" t="s">
        <v>199</v>
      </c>
      <c r="H23" s="22" t="str">
        <f>HYPERLINK("#G23",CHAR(128))</f>
        <v>€</v>
      </c>
    </row>
    <row r="24" spans="1:10" x14ac:dyDescent="0.3">
      <c r="A24" s="5"/>
      <c r="B24" s="47" t="s">
        <v>32</v>
      </c>
      <c r="C24" s="47"/>
      <c r="D24" s="47"/>
      <c r="E24" s="4" t="s">
        <v>108</v>
      </c>
      <c r="F24" s="4">
        <v>1</v>
      </c>
      <c r="G24" s="25" t="s">
        <v>199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 t="s">
        <v>108</v>
      </c>
      <c r="F25" s="16"/>
      <c r="G25" s="25" t="s">
        <v>199</v>
      </c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">
        <v>108</v>
      </c>
      <c r="F26" s="4">
        <v>1</v>
      </c>
      <c r="G26" s="25" t="s">
        <v>199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45287</v>
      </c>
      <c r="B38" t="s">
        <v>18</v>
      </c>
      <c r="C38">
        <v>7037</v>
      </c>
      <c r="D38">
        <v>6140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26">
    <cfRule type="cellIs" dxfId="62" priority="2" operator="equal">
      <formula>"Returned"</formula>
    </cfRule>
    <cfRule type="cellIs" dxfId="61" priority="5" operator="equal">
      <formula>"Ready To Order"</formula>
    </cfRule>
    <cfRule type="cellIs" dxfId="60" priority="6" operator="equal">
      <formula>"UNP"</formula>
    </cfRule>
    <cfRule type="containsText" dxfId="59" priority="7" operator="containsText" text="Ordered">
      <formula>NOT(ISERROR(SEARCH("Ordered",G6)))</formula>
    </cfRule>
    <cfRule type="containsText" dxfId="58" priority="8" operator="containsText" text="Pick Up">
      <formula>NOT(ISERROR(SEARCH("Pick Up",G6)))</formula>
    </cfRule>
    <cfRule type="containsText" dxfId="57" priority="9" operator="containsText" text="Complete">
      <formula>NOT(ISERROR(SEARCH("Complete",G6)))</formula>
    </cfRule>
  </conditionalFormatting>
  <conditionalFormatting sqref="G30:G33">
    <cfRule type="containsText" dxfId="56" priority="4" operator="containsText" text="Given">
      <formula>NOT(ISERROR(SEARCH("Given",G30)))</formula>
    </cfRule>
  </conditionalFormatting>
  <conditionalFormatting sqref="G30:G34">
    <cfRule type="containsText" dxfId="55" priority="3" operator="containsText" text="Returned">
      <formula>NOT(ISERROR(SEARCH("Returned",G30)))</formula>
    </cfRule>
  </conditionalFormatting>
  <conditionalFormatting sqref="G6:G26">
    <cfRule type="cellIs" dxfId="54" priority="1" operator="equal">
      <formula>"In Stock"</formula>
    </cfRule>
  </conditionalFormatting>
  <dataValidations count="3">
    <dataValidation type="list" allowBlank="1" showInputMessage="1" showErrorMessage="1" sqref="G30:G34" xr:uid="{2B8101E0-AF7B-4B88-9634-06080FB6AAF0}">
      <formula1>"--,Returned, Given"</formula1>
    </dataValidation>
    <dataValidation type="list" allowBlank="1" showInputMessage="1" showErrorMessage="1" sqref="G6:G26" xr:uid="{214128F4-3127-43F0-886D-E1DE8B5B808F}">
      <formula1>"UNP, Ready To Order, Ordered, In Stock, Pick Up, Complete, Returned"</formula1>
    </dataValidation>
    <dataValidation type="decimal" allowBlank="1" showInputMessage="1" showErrorMessage="1" sqref="L2" xr:uid="{B7D99183-2E87-4EB0-AEF8-C6BC8D2B39FB}">
      <formula1>19</formula1>
      <formula2>26</formula2>
    </dataValidation>
  </dataValidations>
  <hyperlinks>
    <hyperlink ref="A1:A2" location="Menu!A1" display="Back to Menu" xr:uid="{065DC45D-ECEF-4248-B1B2-DE7EF593B86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849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0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1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2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3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54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F7044-DADF-4713-B17D-D5FD76EC194A}">
  <sheetPr codeName="Sheet7"/>
  <dimension ref="A1:L37"/>
  <sheetViews>
    <sheetView workbookViewId="0">
      <selection activeCell="U24" sqref="U24"/>
    </sheetView>
  </sheetViews>
  <sheetFormatPr defaultRowHeight="15.05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51" t="s">
        <v>78</v>
      </c>
      <c r="D2" s="51"/>
      <c r="E2" s="51" t="s">
        <v>109</v>
      </c>
      <c r="F2" s="51"/>
      <c r="G2" s="1" t="s">
        <v>110</v>
      </c>
      <c r="K2" s="4" t="s">
        <v>9</v>
      </c>
      <c r="L2" s="4">
        <v>21.3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>
        <v>15.8</v>
      </c>
    </row>
    <row r="4" spans="1:12" x14ac:dyDescent="0.3">
      <c r="A4" s="1" t="s">
        <v>39</v>
      </c>
      <c r="B4" s="55">
        <v>1262197210</v>
      </c>
      <c r="C4" s="55"/>
      <c r="D4" s="55"/>
      <c r="E4" s="51" t="s">
        <v>52</v>
      </c>
      <c r="F4" s="51"/>
      <c r="G4" s="1" t="s">
        <v>44</v>
      </c>
      <c r="K4" s="4" t="s">
        <v>12</v>
      </c>
      <c r="L4" s="4">
        <v>47.4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>
        <v>32.1</v>
      </c>
    </row>
    <row r="6" spans="1:12" x14ac:dyDescent="0.3">
      <c r="A6" s="3" t="s">
        <v>111</v>
      </c>
      <c r="B6" s="47" t="s">
        <v>18</v>
      </c>
      <c r="C6" s="47"/>
      <c r="D6" s="47"/>
      <c r="E6" s="4">
        <v>6148</v>
      </c>
      <c r="F6" s="4">
        <v>1</v>
      </c>
      <c r="G6" s="25" t="s">
        <v>199</v>
      </c>
      <c r="H6" s="28" t="str">
        <f>HYPERLINK("#G6",CHAR(128))</f>
        <v>€</v>
      </c>
      <c r="K6" s="4" t="s">
        <v>14</v>
      </c>
      <c r="L6" s="4">
        <v>52.8</v>
      </c>
    </row>
    <row r="7" spans="1:12" x14ac:dyDescent="0.3">
      <c r="A7" s="2" t="s">
        <v>73</v>
      </c>
      <c r="B7" s="51" t="s">
        <v>21</v>
      </c>
      <c r="C7" s="51"/>
      <c r="D7" s="51"/>
      <c r="E7" s="1">
        <v>17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112</v>
      </c>
      <c r="B8" s="47" t="s">
        <v>19</v>
      </c>
      <c r="C8" s="47"/>
      <c r="D8" s="47"/>
      <c r="E8" s="4" t="s">
        <v>58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294.3</v>
      </c>
    </row>
    <row r="9" spans="1:12" x14ac:dyDescent="0.3">
      <c r="A9" s="2" t="s">
        <v>113</v>
      </c>
      <c r="B9" s="51" t="s">
        <v>20</v>
      </c>
      <c r="C9" s="51"/>
      <c r="D9" s="51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111.7</v>
      </c>
    </row>
    <row r="10" spans="1:12" x14ac:dyDescent="0.3">
      <c r="A10" s="3" t="s">
        <v>114</v>
      </c>
      <c r="B10" s="47" t="s">
        <v>24</v>
      </c>
      <c r="C10" s="47"/>
      <c r="D10" s="47"/>
      <c r="E10" s="8">
        <v>6.875</v>
      </c>
      <c r="F10" s="4">
        <v>1</v>
      </c>
      <c r="G10" s="25" t="s">
        <v>199</v>
      </c>
      <c r="H10" s="28" t="str">
        <f>HYPERLINK("#G10",CHAR(128))</f>
        <v>€</v>
      </c>
      <c r="K10" s="15" t="s">
        <v>47</v>
      </c>
      <c r="L10" s="15">
        <v>8</v>
      </c>
    </row>
    <row r="11" spans="1:12" x14ac:dyDescent="0.3">
      <c r="A11" s="2" t="s">
        <v>63</v>
      </c>
      <c r="B11" s="51" t="s">
        <v>23</v>
      </c>
      <c r="C11" s="51"/>
      <c r="D11" s="51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47" t="s">
        <v>25</v>
      </c>
      <c r="C12" s="47"/>
      <c r="D12" s="47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80</v>
      </c>
      <c r="B13" s="51" t="s">
        <v>26</v>
      </c>
      <c r="C13" s="51"/>
      <c r="D13" s="51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116</v>
      </c>
      <c r="B14" s="47" t="s">
        <v>27</v>
      </c>
      <c r="C14" s="47"/>
      <c r="D14" s="47"/>
      <c r="E14" s="4" t="s">
        <v>115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/>
      <c r="F15" s="16"/>
      <c r="G15" s="16"/>
      <c r="H15" s="14"/>
    </row>
    <row r="16" spans="1:12" x14ac:dyDescent="0.3">
      <c r="A16" s="5" t="s">
        <v>46</v>
      </c>
      <c r="B16" s="47" t="s">
        <v>28</v>
      </c>
      <c r="C16" s="47"/>
      <c r="D16" s="47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137</v>
      </c>
      <c r="B17" s="51" t="s">
        <v>22</v>
      </c>
      <c r="C17" s="51"/>
      <c r="D17" s="51"/>
      <c r="E17" s="1" t="s">
        <v>68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117</v>
      </c>
      <c r="B18" s="47" t="s">
        <v>29</v>
      </c>
      <c r="C18" s="47"/>
      <c r="D18" s="47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82</v>
      </c>
      <c r="B19" s="51" t="s">
        <v>30</v>
      </c>
      <c r="C19" s="51"/>
      <c r="D19" s="51"/>
      <c r="E19" s="1" t="s">
        <v>81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/>
      <c r="F20" s="4"/>
      <c r="G20" s="4"/>
      <c r="H20" s="14"/>
    </row>
    <row r="21" spans="1:10" x14ac:dyDescent="0.3">
      <c r="A21" s="2" t="s">
        <v>118</v>
      </c>
      <c r="B21" s="51" t="s">
        <v>33</v>
      </c>
      <c r="C21" s="51"/>
      <c r="D21" s="51"/>
      <c r="E21" s="9">
        <v>6.875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119</v>
      </c>
      <c r="B22" s="47" t="s">
        <v>31</v>
      </c>
      <c r="C22" s="47"/>
      <c r="D22" s="47"/>
      <c r="E22" s="4">
        <v>6748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120</v>
      </c>
      <c r="B23" s="51" t="s">
        <v>48</v>
      </c>
      <c r="C23" s="51"/>
      <c r="D23" s="51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122</v>
      </c>
      <c r="B24" s="47" t="s">
        <v>32</v>
      </c>
      <c r="C24" s="47"/>
      <c r="D24" s="47"/>
      <c r="E24" s="4" t="s">
        <v>121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16"/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tr">
        <f>C2</f>
        <v>Thomas</v>
      </c>
      <c r="F26" s="4">
        <v>1</v>
      </c>
      <c r="G26" s="25" t="s">
        <v>45</v>
      </c>
      <c r="H26" s="24" t="str">
        <f>HYPERLINK("#G26",CHAR(128))</f>
        <v>€</v>
      </c>
    </row>
    <row r="27" spans="1:10" x14ac:dyDescent="0.3">
      <c r="G27" s="60" t="s">
        <v>123</v>
      </c>
    </row>
    <row r="28" spans="1:10" x14ac:dyDescent="0.3">
      <c r="G28" s="61"/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8">
    <mergeCell ref="G27:G28"/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EB1830CB-3AD6-47FB-A03B-78E7F82FA12F}">
      <formula1>"--,Returned, Given"</formula1>
    </dataValidation>
    <dataValidation type="list" allowBlank="1" showInputMessage="1" showErrorMessage="1" sqref="G16:G19 G21:G24 G26 G6:G14" xr:uid="{52136314-50FE-42D5-B550-73849E6200B1}">
      <formula1>"UNP, Ready To Order, Ordered, In Stock, Pick Up, Complete, Returned"</formula1>
    </dataValidation>
    <dataValidation type="decimal" allowBlank="1" showInputMessage="1" showErrorMessage="1" sqref="L2" xr:uid="{908C3F30-6FB3-44BF-A4BB-E73BAFABB747}">
      <formula1>19</formula1>
      <formula2>26</formula2>
    </dataValidation>
  </dataValidations>
  <hyperlinks>
    <hyperlink ref="A1:A2" location="Menu!A1" display="Back to Menu" xr:uid="{504A2FCB-9FA9-4499-A6F6-EC55BD29335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87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7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39789-564E-4C85-96C8-3D856731E567}">
  <sheetPr codeName="Sheet8"/>
  <dimension ref="A1:L38"/>
  <sheetViews>
    <sheetView workbookViewId="0">
      <selection activeCell="G16" sqref="G16"/>
    </sheetView>
  </sheetViews>
  <sheetFormatPr defaultRowHeight="15.05" x14ac:dyDescent="0.3"/>
  <cols>
    <col min="1" max="1" width="18.44140625" customWidth="1"/>
    <col min="3" max="3" width="9.109375" customWidth="1"/>
    <col min="4" max="4" width="10" customWidth="1"/>
    <col min="5" max="5" width="15.5546875" customWidth="1"/>
    <col min="7" max="7" width="16.5546875" customWidth="1"/>
    <col min="8" max="8" width="2.44140625" customWidth="1"/>
    <col min="11" max="11" width="12" customWidth="1"/>
    <col min="12" max="12" width="13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51" t="s">
        <v>72</v>
      </c>
      <c r="D2" s="51"/>
      <c r="E2" s="51" t="s">
        <v>127</v>
      </c>
      <c r="F2" s="51"/>
      <c r="G2" s="1" t="s">
        <v>128</v>
      </c>
      <c r="K2" s="4" t="s">
        <v>9</v>
      </c>
      <c r="L2" s="4">
        <v>22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>
        <v>15.7</v>
      </c>
    </row>
    <row r="4" spans="1:12" x14ac:dyDescent="0.3">
      <c r="A4" s="1" t="s">
        <v>39</v>
      </c>
      <c r="B4" s="55">
        <v>7345806215</v>
      </c>
      <c r="C4" s="55"/>
      <c r="D4" s="55"/>
      <c r="E4" s="51" t="s">
        <v>52</v>
      </c>
      <c r="F4" s="51"/>
      <c r="G4" s="1" t="s">
        <v>44</v>
      </c>
      <c r="K4" s="4" t="s">
        <v>12</v>
      </c>
      <c r="L4" s="4">
        <v>32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>
        <v>59.4</v>
      </c>
    </row>
    <row r="6" spans="1:12" x14ac:dyDescent="0.3">
      <c r="A6" s="3" t="s">
        <v>129</v>
      </c>
      <c r="B6" s="47" t="s">
        <v>18</v>
      </c>
      <c r="C6" s="47"/>
      <c r="D6" s="47"/>
      <c r="E6" s="4">
        <v>7054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53.5</v>
      </c>
    </row>
    <row r="7" spans="1:12" x14ac:dyDescent="0.3">
      <c r="A7" s="2" t="s">
        <v>131</v>
      </c>
      <c r="B7" s="51" t="s">
        <v>21</v>
      </c>
      <c r="C7" s="51"/>
      <c r="D7" s="51"/>
      <c r="E7" s="1" t="s">
        <v>130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57.6</v>
      </c>
    </row>
    <row r="8" spans="1:12" x14ac:dyDescent="0.3">
      <c r="A8" s="3" t="s">
        <v>146</v>
      </c>
      <c r="B8" s="47" t="s">
        <v>19</v>
      </c>
      <c r="C8" s="47"/>
      <c r="D8" s="47"/>
      <c r="E8" s="39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240.8</v>
      </c>
    </row>
    <row r="9" spans="1:12" x14ac:dyDescent="0.3">
      <c r="A9" s="2" t="s">
        <v>74</v>
      </c>
      <c r="B9" s="51" t="s">
        <v>20</v>
      </c>
      <c r="C9" s="51"/>
      <c r="D9" s="51"/>
      <c r="E9" s="1">
        <v>7060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111.6</v>
      </c>
    </row>
    <row r="10" spans="1:12" x14ac:dyDescent="0.3">
      <c r="A10" s="3" t="s">
        <v>132</v>
      </c>
      <c r="B10" s="47" t="s">
        <v>24</v>
      </c>
      <c r="C10" s="47"/>
      <c r="D10" s="47"/>
      <c r="E10" s="8">
        <v>7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9.6999999999999993</v>
      </c>
    </row>
    <row r="11" spans="1:12" x14ac:dyDescent="0.3">
      <c r="A11" s="2" t="s">
        <v>63</v>
      </c>
      <c r="B11" s="51" t="s">
        <v>23</v>
      </c>
      <c r="C11" s="51"/>
      <c r="D11" s="51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/>
      <c r="B12" s="47" t="s">
        <v>25</v>
      </c>
      <c r="C12" s="47"/>
      <c r="D12" s="47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93</v>
      </c>
      <c r="B13" s="51" t="s">
        <v>26</v>
      </c>
      <c r="C13" s="51"/>
      <c r="D13" s="51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134</v>
      </c>
      <c r="B14" s="47" t="s">
        <v>27</v>
      </c>
      <c r="C14" s="47"/>
      <c r="D14" s="47"/>
      <c r="E14" s="4" t="s">
        <v>133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/>
      <c r="F15" s="16"/>
      <c r="G15" s="16"/>
      <c r="H15" s="14"/>
    </row>
    <row r="16" spans="1:12" x14ac:dyDescent="0.3">
      <c r="A16" s="5" t="s">
        <v>46</v>
      </c>
      <c r="B16" s="47" t="s">
        <v>28</v>
      </c>
      <c r="C16" s="47"/>
      <c r="D16" s="47"/>
      <c r="E16" s="4" t="s">
        <v>51</v>
      </c>
      <c r="F16" s="4">
        <v>1</v>
      </c>
      <c r="G16" s="25" t="s">
        <v>199</v>
      </c>
      <c r="H16" s="23" t="str">
        <f>HYPERLINK("#G16",CHAR(128))</f>
        <v>€</v>
      </c>
    </row>
    <row r="17" spans="1:10" x14ac:dyDescent="0.3">
      <c r="A17" s="2" t="s">
        <v>135</v>
      </c>
      <c r="B17" s="51" t="s">
        <v>22</v>
      </c>
      <c r="C17" s="51"/>
      <c r="D17" s="51"/>
      <c r="E17" s="1" t="s">
        <v>107</v>
      </c>
      <c r="F17" s="16">
        <v>1</v>
      </c>
      <c r="G17" s="25" t="s">
        <v>199</v>
      </c>
      <c r="H17" s="23" t="str">
        <f>HYPERLINK("#G17",CHAR(128))</f>
        <v>€</v>
      </c>
    </row>
    <row r="18" spans="1:10" x14ac:dyDescent="0.3">
      <c r="A18" s="5" t="s">
        <v>96</v>
      </c>
      <c r="B18" s="47" t="s">
        <v>29</v>
      </c>
      <c r="C18" s="47"/>
      <c r="D18" s="47"/>
      <c r="E18" s="4">
        <v>7656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98</v>
      </c>
      <c r="B19" s="51" t="s">
        <v>30</v>
      </c>
      <c r="C19" s="51"/>
      <c r="D19" s="51"/>
      <c r="E19" s="1" t="s">
        <v>97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/>
      <c r="F20" s="4"/>
      <c r="G20" s="4"/>
      <c r="H20" s="14"/>
    </row>
    <row r="21" spans="1:10" x14ac:dyDescent="0.3">
      <c r="A21" s="2" t="s">
        <v>136</v>
      </c>
      <c r="B21" s="51" t="s">
        <v>33</v>
      </c>
      <c r="C21" s="51"/>
      <c r="D21" s="51"/>
      <c r="E21" s="9">
        <v>7</v>
      </c>
      <c r="F21" s="16">
        <v>1</v>
      </c>
      <c r="G21" s="25" t="s">
        <v>199</v>
      </c>
      <c r="H21" s="23" t="str">
        <f>HYPERLINK("#G21",CHAR(128))</f>
        <v>€</v>
      </c>
    </row>
    <row r="22" spans="1:10" x14ac:dyDescent="0.3">
      <c r="A22" s="5"/>
      <c r="B22" s="47" t="s">
        <v>31</v>
      </c>
      <c r="C22" s="47"/>
      <c r="D22" s="47"/>
      <c r="E22" s="4"/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51" t="s">
        <v>48</v>
      </c>
      <c r="C23" s="51"/>
      <c r="D23" s="51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0" x14ac:dyDescent="0.3">
      <c r="A24" s="5" t="s">
        <v>122</v>
      </c>
      <c r="B24" s="47" t="s">
        <v>32</v>
      </c>
      <c r="C24" s="47"/>
      <c r="D24" s="47"/>
      <c r="E24" s="4" t="s">
        <v>121</v>
      </c>
      <c r="F24" s="4">
        <v>1</v>
      </c>
      <c r="G24" s="25" t="s">
        <v>199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16"/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tr">
        <f>C2</f>
        <v>Anderson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60</v>
      </c>
      <c r="D38" t="s">
        <v>68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44" priority="2" operator="equal">
      <formula>"Returned"</formula>
    </cfRule>
    <cfRule type="cellIs" dxfId="43" priority="5" operator="equal">
      <formula>"Ready To Order"</formula>
    </cfRule>
    <cfRule type="cellIs" dxfId="42" priority="6" operator="equal">
      <formula>"UNP"</formula>
    </cfRule>
    <cfRule type="containsText" dxfId="41" priority="7" operator="containsText" text="Ordered">
      <formula>NOT(ISERROR(SEARCH("Ordered",G6)))</formula>
    </cfRule>
    <cfRule type="containsText" dxfId="40" priority="8" operator="containsText" text="Pick Up">
      <formula>NOT(ISERROR(SEARCH("Pick Up",G6)))</formula>
    </cfRule>
    <cfRule type="containsText" dxfId="39" priority="9" operator="containsText" text="Complete">
      <formula>NOT(ISERROR(SEARCH("Complete",G6)))</formula>
    </cfRule>
  </conditionalFormatting>
  <conditionalFormatting sqref="G30:G33">
    <cfRule type="containsText" dxfId="38" priority="4" operator="containsText" text="Given">
      <formula>NOT(ISERROR(SEARCH("Given",G30)))</formula>
    </cfRule>
  </conditionalFormatting>
  <conditionalFormatting sqref="G30:G34">
    <cfRule type="containsText" dxfId="37" priority="3" operator="containsText" text="Returned">
      <formula>NOT(ISERROR(SEARCH("Returned",G30)))</formula>
    </cfRule>
  </conditionalFormatting>
  <conditionalFormatting sqref="G6:G14 G21:G26 G16:G19">
    <cfRule type="cellIs" dxfId="36" priority="1" operator="equal">
      <formula>"In Stock"</formula>
    </cfRule>
  </conditionalFormatting>
  <dataValidations count="3">
    <dataValidation type="list" allowBlank="1" showInputMessage="1" showErrorMessage="1" sqref="G30:G34" xr:uid="{6ACC78A7-261D-44AD-975B-01963BB8DD89}">
      <formula1>"--,Returned, Given"</formula1>
    </dataValidation>
    <dataValidation type="list" allowBlank="1" showInputMessage="1" showErrorMessage="1" sqref="G16:G19 G21:G24 G26 G6:G14" xr:uid="{109F5442-D4A2-4D82-8D7C-2E6A14EA8321}">
      <formula1>"UNP, Ready To Order, Ordered, In Stock, Pick Up, Complete, Returned"</formula1>
    </dataValidation>
    <dataValidation type="decimal" allowBlank="1" showInputMessage="1" showErrorMessage="1" sqref="L2" xr:uid="{F51527CC-0894-4DF2-B174-D5C13B55F690}">
      <formula1>19</formula1>
      <formula2>26</formula2>
    </dataValidation>
  </dataValidations>
  <hyperlinks>
    <hyperlink ref="A1:A2" location="Menu!A1" display="Back to Menu" xr:uid="{0CEE4971-FA6F-4AE9-A7CB-677F13288FEF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89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9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0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0EC3-50E8-465C-8295-5C0BFF787508}">
  <sheetPr codeName="Sheet15"/>
  <dimension ref="A1:L37"/>
  <sheetViews>
    <sheetView workbookViewId="0">
      <selection activeCell="E23" sqref="E23"/>
    </sheetView>
  </sheetViews>
  <sheetFormatPr defaultRowHeight="15.05" x14ac:dyDescent="0.3"/>
  <cols>
    <col min="1" max="1" width="18.6640625" customWidth="1"/>
    <col min="3" max="3" width="9.44140625" customWidth="1"/>
    <col min="4" max="4" width="10.3320312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51" t="s">
        <v>139</v>
      </c>
      <c r="D2" s="51"/>
      <c r="E2" s="51" t="s">
        <v>140</v>
      </c>
      <c r="F2" s="51"/>
      <c r="G2" s="1" t="s">
        <v>142</v>
      </c>
      <c r="K2" s="4" t="s">
        <v>9</v>
      </c>
      <c r="L2" s="4">
        <v>23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55">
        <v>7345806215</v>
      </c>
      <c r="C4" s="55"/>
      <c r="D4" s="55"/>
      <c r="E4" s="51" t="s">
        <v>52</v>
      </c>
      <c r="F4" s="51"/>
      <c r="G4" s="1" t="s">
        <v>141</v>
      </c>
      <c r="K4" s="4" t="s">
        <v>12</v>
      </c>
      <c r="L4" s="4">
        <v>30.9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>
        <v>63</v>
      </c>
    </row>
    <row r="6" spans="1:12" x14ac:dyDescent="0.3">
      <c r="A6" s="3" t="s">
        <v>143</v>
      </c>
      <c r="B6" s="47" t="s">
        <v>18</v>
      </c>
      <c r="C6" s="47"/>
      <c r="D6" s="47"/>
      <c r="E6" s="4">
        <v>6732</v>
      </c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>
        <v>39.700000000000003</v>
      </c>
    </row>
    <row r="7" spans="1:12" x14ac:dyDescent="0.3">
      <c r="A7" s="2" t="s">
        <v>145</v>
      </c>
      <c r="B7" s="51" t="s">
        <v>21</v>
      </c>
      <c r="C7" s="51"/>
      <c r="D7" s="51"/>
      <c r="E7" s="1" t="s">
        <v>144</v>
      </c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>
        <v>65.8</v>
      </c>
    </row>
    <row r="8" spans="1:12" x14ac:dyDescent="0.3">
      <c r="A8" s="3" t="s">
        <v>146</v>
      </c>
      <c r="B8" s="47" t="s">
        <v>19</v>
      </c>
      <c r="C8" s="47"/>
      <c r="D8" s="47"/>
      <c r="E8" s="4" t="s">
        <v>68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308</v>
      </c>
    </row>
    <row r="9" spans="1:12" x14ac:dyDescent="0.3">
      <c r="A9" s="2"/>
      <c r="B9" s="51" t="s">
        <v>20</v>
      </c>
      <c r="C9" s="51"/>
      <c r="D9" s="51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>
        <v>86.8</v>
      </c>
    </row>
    <row r="10" spans="1:12" x14ac:dyDescent="0.3">
      <c r="A10" s="3" t="s">
        <v>147</v>
      </c>
      <c r="B10" s="47" t="s">
        <v>24</v>
      </c>
      <c r="C10" s="47"/>
      <c r="D10" s="47"/>
      <c r="E10" s="8">
        <v>7.375</v>
      </c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>
        <v>9.1</v>
      </c>
    </row>
    <row r="11" spans="1:12" x14ac:dyDescent="0.3">
      <c r="A11" s="2" t="s">
        <v>63</v>
      </c>
      <c r="B11" s="51" t="s">
        <v>23</v>
      </c>
      <c r="C11" s="51"/>
      <c r="D11" s="51"/>
      <c r="E11" s="1" t="s">
        <v>62</v>
      </c>
      <c r="F11" s="16">
        <v>1</v>
      </c>
      <c r="G11" s="25" t="s">
        <v>45</v>
      </c>
      <c r="H11" s="28" t="str">
        <f>HYPERLINK("#G11",CHAR(128))</f>
        <v>€</v>
      </c>
    </row>
    <row r="12" spans="1:12" x14ac:dyDescent="0.3">
      <c r="A12" s="5"/>
      <c r="B12" s="47" t="s">
        <v>25</v>
      </c>
      <c r="C12" s="47"/>
      <c r="D12" s="47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x14ac:dyDescent="0.3">
      <c r="A13" s="2" t="s">
        <v>80</v>
      </c>
      <c r="B13" s="51" t="s">
        <v>26</v>
      </c>
      <c r="C13" s="51"/>
      <c r="D13" s="51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149</v>
      </c>
      <c r="B14" s="47" t="s">
        <v>27</v>
      </c>
      <c r="C14" s="47"/>
      <c r="D14" s="47"/>
      <c r="E14" s="4" t="s">
        <v>148</v>
      </c>
      <c r="F14" s="4">
        <v>1</v>
      </c>
      <c r="G14" s="25" t="s">
        <v>45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/>
      <c r="F15" s="16"/>
      <c r="G15" s="16"/>
      <c r="H15" s="14"/>
    </row>
    <row r="16" spans="1:12" x14ac:dyDescent="0.3">
      <c r="A16" s="5" t="s">
        <v>46</v>
      </c>
      <c r="B16" s="47" t="s">
        <v>28</v>
      </c>
      <c r="C16" s="47"/>
      <c r="D16" s="47"/>
      <c r="E16" s="4" t="s">
        <v>51</v>
      </c>
      <c r="F16" s="4">
        <v>1</v>
      </c>
      <c r="G16" s="25" t="s">
        <v>45</v>
      </c>
      <c r="H16" s="23" t="str">
        <f>HYPERLINK("#G16",CHAR(128))</f>
        <v>€</v>
      </c>
    </row>
    <row r="17" spans="1:10" x14ac:dyDescent="0.3">
      <c r="A17" s="2" t="s">
        <v>151</v>
      </c>
      <c r="B17" s="51" t="s">
        <v>22</v>
      </c>
      <c r="C17" s="51"/>
      <c r="D17" s="51"/>
      <c r="E17" s="1" t="s">
        <v>150</v>
      </c>
      <c r="F17" s="16">
        <v>1</v>
      </c>
      <c r="G17" s="25" t="s">
        <v>45</v>
      </c>
      <c r="H17" s="23" t="str">
        <f>HYPERLINK("#G17",CHAR(128))</f>
        <v>€</v>
      </c>
    </row>
    <row r="18" spans="1:10" x14ac:dyDescent="0.3">
      <c r="A18" s="5" t="s">
        <v>152</v>
      </c>
      <c r="B18" s="47" t="s">
        <v>29</v>
      </c>
      <c r="C18" s="47"/>
      <c r="D18" s="47"/>
      <c r="E18" s="4">
        <v>7040</v>
      </c>
      <c r="F18" s="4">
        <v>1</v>
      </c>
      <c r="G18" s="25" t="s">
        <v>45</v>
      </c>
      <c r="H18" s="23" t="str">
        <f>HYPERLINK("#G18",CHAR(128))</f>
        <v>€</v>
      </c>
    </row>
    <row r="19" spans="1:10" x14ac:dyDescent="0.3">
      <c r="A19" s="2" t="s">
        <v>98</v>
      </c>
      <c r="B19" s="51" t="s">
        <v>30</v>
      </c>
      <c r="C19" s="51"/>
      <c r="D19" s="51"/>
      <c r="E19" s="1" t="s">
        <v>97</v>
      </c>
      <c r="F19" s="16">
        <v>1</v>
      </c>
      <c r="G19" s="25" t="s">
        <v>45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/>
      <c r="F20" s="4"/>
      <c r="G20" s="4"/>
      <c r="H20" s="14"/>
    </row>
    <row r="21" spans="1:10" x14ac:dyDescent="0.3">
      <c r="A21" s="2" t="s">
        <v>153</v>
      </c>
      <c r="B21" s="51" t="s">
        <v>33</v>
      </c>
      <c r="C21" s="51"/>
      <c r="D21" s="51"/>
      <c r="E21" s="9">
        <v>7.375</v>
      </c>
      <c r="F21" s="16">
        <v>1</v>
      </c>
      <c r="G21" s="25" t="s">
        <v>45</v>
      </c>
      <c r="H21" s="23" t="str">
        <f>HYPERLINK("#G21",CHAR(128))</f>
        <v>€</v>
      </c>
    </row>
    <row r="22" spans="1:10" x14ac:dyDescent="0.3">
      <c r="A22" s="5" t="s">
        <v>154</v>
      </c>
      <c r="B22" s="47" t="s">
        <v>31</v>
      </c>
      <c r="C22" s="47"/>
      <c r="D22" s="47"/>
      <c r="E22" s="4">
        <v>6736</v>
      </c>
      <c r="F22" s="4">
        <v>1</v>
      </c>
      <c r="G22" s="25" t="s">
        <v>45</v>
      </c>
      <c r="H22" s="23" t="str">
        <f>HYPERLINK("#G22",CHAR(128))</f>
        <v>€</v>
      </c>
    </row>
    <row r="23" spans="1:10" x14ac:dyDescent="0.3">
      <c r="A23" s="2"/>
      <c r="B23" s="51" t="s">
        <v>48</v>
      </c>
      <c r="C23" s="51"/>
      <c r="D23" s="51"/>
      <c r="E23" s="1"/>
      <c r="F23" s="16">
        <v>1</v>
      </c>
      <c r="G23" s="25" t="s">
        <v>199</v>
      </c>
      <c r="H23" s="22" t="str">
        <f>HYPERLINK("#G23",CHAR(128))</f>
        <v>€</v>
      </c>
    </row>
    <row r="24" spans="1:10" x14ac:dyDescent="0.3">
      <c r="A24" s="5" t="s">
        <v>156</v>
      </c>
      <c r="B24" s="47" t="s">
        <v>32</v>
      </c>
      <c r="C24" s="47"/>
      <c r="D24" s="47"/>
      <c r="E24" s="4" t="s">
        <v>155</v>
      </c>
      <c r="F24" s="4">
        <v>1</v>
      </c>
      <c r="G24" s="25" t="s">
        <v>45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16"/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tr">
        <f>C2</f>
        <v>Miller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35" priority="2" operator="equal">
      <formula>"Returned"</formula>
    </cfRule>
    <cfRule type="cellIs" dxfId="34" priority="5" operator="equal">
      <formula>"Ready To Order"</formula>
    </cfRule>
    <cfRule type="cellIs" dxfId="33" priority="6" operator="equal">
      <formula>"UNP"</formula>
    </cfRule>
    <cfRule type="containsText" dxfId="32" priority="7" operator="containsText" text="Ordered">
      <formula>NOT(ISERROR(SEARCH("Ordered",G6)))</formula>
    </cfRule>
    <cfRule type="containsText" dxfId="31" priority="8" operator="containsText" text="Pick Up">
      <formula>NOT(ISERROR(SEARCH("Pick Up",G6)))</formula>
    </cfRule>
    <cfRule type="containsText" dxfId="30" priority="9" operator="containsText" text="Complete">
      <formula>NOT(ISERROR(SEARCH("Complete",G6)))</formula>
    </cfRule>
  </conditionalFormatting>
  <conditionalFormatting sqref="G30:G33">
    <cfRule type="containsText" dxfId="29" priority="4" operator="containsText" text="Given">
      <formula>NOT(ISERROR(SEARCH("Given",G30)))</formula>
    </cfRule>
  </conditionalFormatting>
  <conditionalFormatting sqref="G30:G34">
    <cfRule type="containsText" dxfId="28" priority="3" operator="containsText" text="Returned">
      <formula>NOT(ISERROR(SEARCH("Returned",G30)))</formula>
    </cfRule>
  </conditionalFormatting>
  <conditionalFormatting sqref="G6:G14 G21:G26 G16:G19">
    <cfRule type="cellIs" dxfId="27" priority="1" operator="equal">
      <formula>"In Stock"</formula>
    </cfRule>
  </conditionalFormatting>
  <dataValidations count="3">
    <dataValidation type="list" allowBlank="1" showInputMessage="1" showErrorMessage="1" sqref="G30:G34" xr:uid="{ABD7BC5C-5955-41BA-89DC-6A7C45D42B40}">
      <formula1>"--,Returned, Given"</formula1>
    </dataValidation>
    <dataValidation type="list" allowBlank="1" showInputMessage="1" showErrorMessage="1" sqref="G16:G19 G21:G24 G26 G6:G14" xr:uid="{DA314DAD-AAE7-4EAB-BEE9-64488E584C7D}">
      <formula1>"UNP, Ready To Order, Ordered, In Stock, Pick Up, Complete, Returned"</formula1>
    </dataValidation>
    <dataValidation type="decimal" allowBlank="1" showInputMessage="1" showErrorMessage="1" sqref="L2" xr:uid="{A2CC4DF5-6F6F-4DD6-8D97-E38BD15DF21D}">
      <formula1>19</formula1>
      <formula2>26</formula2>
    </dataValidation>
  </dataValidations>
  <hyperlinks>
    <hyperlink ref="A1:A2" location="Menu!A1" display="Back to Menu" xr:uid="{F568855C-C292-4A49-BC2C-6BCD04DE2FE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1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01879-77FE-49CA-B364-1D02AD46B89C}">
  <sheetPr codeName="Sheet9"/>
  <dimension ref="A1:L38"/>
  <sheetViews>
    <sheetView workbookViewId="0">
      <selection activeCell="E40" sqref="E40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51" t="s">
        <v>161</v>
      </c>
      <c r="D2" s="51"/>
      <c r="E2" s="51" t="s">
        <v>162</v>
      </c>
      <c r="F2" s="51"/>
      <c r="G2" s="1" t="s">
        <v>163</v>
      </c>
      <c r="K2" s="4" t="s">
        <v>9</v>
      </c>
      <c r="L2" s="4">
        <v>24.1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>
        <v>13.7</v>
      </c>
    </row>
    <row r="4" spans="1:12" x14ac:dyDescent="0.3">
      <c r="A4" s="1" t="s">
        <v>39</v>
      </c>
      <c r="B4" s="55">
        <v>7345806215</v>
      </c>
      <c r="C4" s="55"/>
      <c r="D4" s="55"/>
      <c r="E4" s="51" t="s">
        <v>52</v>
      </c>
      <c r="F4" s="51"/>
      <c r="G4" s="1" t="s">
        <v>44</v>
      </c>
      <c r="K4" s="4" t="s">
        <v>12</v>
      </c>
      <c r="L4" s="4">
        <v>44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>
        <v>40.1</v>
      </c>
    </row>
    <row r="6" spans="1:12" x14ac:dyDescent="0.3">
      <c r="A6" s="3" t="s">
        <v>164</v>
      </c>
      <c r="B6" s="47" t="s">
        <v>18</v>
      </c>
      <c r="C6" s="47"/>
      <c r="D6" s="47"/>
      <c r="E6" s="4">
        <v>7332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52.1</v>
      </c>
    </row>
    <row r="7" spans="1:12" x14ac:dyDescent="0.3">
      <c r="A7" s="2" t="s">
        <v>165</v>
      </c>
      <c r="B7" s="51" t="s">
        <v>21</v>
      </c>
      <c r="C7" s="51"/>
      <c r="D7" s="51"/>
      <c r="E7" s="1">
        <v>14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60.9</v>
      </c>
    </row>
    <row r="8" spans="1:12" x14ac:dyDescent="0.3">
      <c r="A8" s="3" t="s">
        <v>178</v>
      </c>
      <c r="B8" s="47" t="s">
        <v>19</v>
      </c>
      <c r="C8" s="47"/>
      <c r="D8" s="47"/>
      <c r="E8" s="4" t="s">
        <v>150</v>
      </c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>
        <v>238.7</v>
      </c>
    </row>
    <row r="9" spans="1:12" x14ac:dyDescent="0.3">
      <c r="A9" s="2" t="s">
        <v>113</v>
      </c>
      <c r="B9" s="51" t="s">
        <v>20</v>
      </c>
      <c r="C9" s="51"/>
      <c r="D9" s="51"/>
      <c r="E9" s="1">
        <v>6448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105.1</v>
      </c>
    </row>
    <row r="10" spans="1:12" x14ac:dyDescent="0.3">
      <c r="A10" s="3" t="s">
        <v>166</v>
      </c>
      <c r="B10" s="47" t="s">
        <v>24</v>
      </c>
      <c r="C10" s="47"/>
      <c r="D10" s="47"/>
      <c r="E10" s="8">
        <v>7.75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8.3000000000000007</v>
      </c>
    </row>
    <row r="11" spans="1:12" x14ac:dyDescent="0.3">
      <c r="A11" s="2" t="s">
        <v>63</v>
      </c>
      <c r="B11" s="51" t="s">
        <v>23</v>
      </c>
      <c r="C11" s="51"/>
      <c r="D11" s="51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167</v>
      </c>
      <c r="B12" s="47" t="s">
        <v>25</v>
      </c>
      <c r="C12" s="47"/>
      <c r="D12" s="47"/>
      <c r="E12" s="4" t="s">
        <v>150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93</v>
      </c>
      <c r="B13" s="51" t="s">
        <v>26</v>
      </c>
      <c r="C13" s="51"/>
      <c r="D13" s="51"/>
      <c r="E13" s="1" t="s">
        <v>60</v>
      </c>
      <c r="F13" s="16">
        <v>1</v>
      </c>
      <c r="G13" s="25" t="s">
        <v>65</v>
      </c>
      <c r="H13" s="28" t="str">
        <f>HYPERLINK("#G13",CHAR(128))</f>
        <v>€</v>
      </c>
    </row>
    <row r="14" spans="1:12" x14ac:dyDescent="0.3">
      <c r="A14" s="5" t="s">
        <v>169</v>
      </c>
      <c r="B14" s="47" t="s">
        <v>27</v>
      </c>
      <c r="C14" s="47"/>
      <c r="D14" s="47"/>
      <c r="E14" s="4" t="s">
        <v>168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/>
      <c r="F15" s="16"/>
      <c r="G15" s="16"/>
      <c r="H15" s="14"/>
    </row>
    <row r="16" spans="1:12" x14ac:dyDescent="0.3">
      <c r="A16" s="5" t="s">
        <v>46</v>
      </c>
      <c r="B16" s="47" t="s">
        <v>28</v>
      </c>
      <c r="C16" s="47"/>
      <c r="D16" s="47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170</v>
      </c>
      <c r="B17" s="51" t="s">
        <v>22</v>
      </c>
      <c r="C17" s="51"/>
      <c r="D17" s="51"/>
      <c r="E17" s="1" t="s">
        <v>58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117</v>
      </c>
      <c r="B18" s="47" t="s">
        <v>29</v>
      </c>
      <c r="C18" s="47"/>
      <c r="D18" s="47"/>
      <c r="E18" s="4">
        <v>7652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172</v>
      </c>
      <c r="B19" s="51" t="s">
        <v>30</v>
      </c>
      <c r="C19" s="51"/>
      <c r="D19" s="51"/>
      <c r="E19" s="1" t="s">
        <v>171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/>
      <c r="F20" s="4"/>
      <c r="G20" s="4"/>
      <c r="H20" s="14"/>
    </row>
    <row r="21" spans="1:10" x14ac:dyDescent="0.3">
      <c r="A21" s="2" t="s">
        <v>173</v>
      </c>
      <c r="B21" s="51" t="s">
        <v>33</v>
      </c>
      <c r="C21" s="51"/>
      <c r="D21" s="51"/>
      <c r="E21" s="9">
        <v>7.75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174</v>
      </c>
      <c r="B22" s="47" t="s">
        <v>31</v>
      </c>
      <c r="C22" s="47"/>
      <c r="D22" s="47"/>
      <c r="E22" s="4">
        <v>6432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175</v>
      </c>
      <c r="B23" s="51" t="s">
        <v>48</v>
      </c>
      <c r="C23" s="51"/>
      <c r="D23" s="51"/>
      <c r="E23" s="1">
        <v>6742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177</v>
      </c>
      <c r="B24" s="47" t="s">
        <v>32</v>
      </c>
      <c r="C24" s="47"/>
      <c r="D24" s="47"/>
      <c r="E24" s="4" t="s">
        <v>176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16"/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tr">
        <f>C2</f>
        <v>Martinez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  <row r="38" spans="1:8" x14ac:dyDescent="0.3">
      <c r="A38" s="36">
        <v>45290</v>
      </c>
      <c r="B38" t="s">
        <v>19</v>
      </c>
      <c r="C38" t="s">
        <v>68</v>
      </c>
      <c r="D38" t="s">
        <v>150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26" priority="2" operator="equal">
      <formula>"Returned"</formula>
    </cfRule>
    <cfRule type="cellIs" dxfId="25" priority="5" operator="equal">
      <formula>"Ready To Order"</formula>
    </cfRule>
    <cfRule type="cellIs" dxfId="24" priority="6" operator="equal">
      <formula>"UNP"</formula>
    </cfRule>
    <cfRule type="containsText" dxfId="23" priority="7" operator="containsText" text="Ordered">
      <formula>NOT(ISERROR(SEARCH("Ordered",G6)))</formula>
    </cfRule>
    <cfRule type="containsText" dxfId="22" priority="8" operator="containsText" text="Pick Up">
      <formula>NOT(ISERROR(SEARCH("Pick Up",G6)))</formula>
    </cfRule>
    <cfRule type="containsText" dxfId="21" priority="9" operator="containsText" text="Complete">
      <formula>NOT(ISERROR(SEARCH("Complete",G6)))</formula>
    </cfRule>
  </conditionalFormatting>
  <conditionalFormatting sqref="G30:G33">
    <cfRule type="containsText" dxfId="20" priority="4" operator="containsText" text="Given">
      <formula>NOT(ISERROR(SEARCH("Given",G30)))</formula>
    </cfRule>
  </conditionalFormatting>
  <conditionalFormatting sqref="G30:G34">
    <cfRule type="containsText" dxfId="19" priority="3" operator="containsText" text="Returned">
      <formula>NOT(ISERROR(SEARCH("Returned",G30)))</formula>
    </cfRule>
  </conditionalFormatting>
  <conditionalFormatting sqref="G6:G14 G21:G26 G16:G19">
    <cfRule type="cellIs" dxfId="18" priority="1" operator="equal">
      <formula>"In Stock"</formula>
    </cfRule>
  </conditionalFormatting>
  <dataValidations count="3">
    <dataValidation type="list" allowBlank="1" showInputMessage="1" showErrorMessage="1" sqref="G30:G34" xr:uid="{2688952C-D787-4703-B6F4-5E517503E5E2}">
      <formula1>"--,Returned, Given"</formula1>
    </dataValidation>
    <dataValidation type="list" allowBlank="1" showInputMessage="1" showErrorMessage="1" sqref="G16:G19 G21:G24 G26 G6:G14" xr:uid="{88568EB0-0745-4D54-8E73-E66C3A057415}">
      <formula1>"UNP, Ready To Order, Ordered, In Stock, Pick Up, Complete, Returned"</formula1>
    </dataValidation>
    <dataValidation type="decimal" allowBlank="1" showInputMessage="1" showErrorMessage="1" sqref="L2" xr:uid="{7BFA4511-5C5A-4492-9008-BB85EB1DA6AA}">
      <formula1>19</formula1>
      <formula2>26</formula2>
    </dataValidation>
  </dataValidations>
  <hyperlinks>
    <hyperlink ref="A1:A2" location="Menu!A1" display="Back to Menu" xr:uid="{C2ADD5FC-3C29-4EEC-BF57-07DB6964634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3233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4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5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6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7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38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BD5BB-F8BF-4F6B-AC8C-F1C9F870E00A}">
  <sheetPr codeName="Sheet10"/>
  <dimension ref="A1:L37"/>
  <sheetViews>
    <sheetView workbookViewId="0">
      <selection activeCell="J43" sqref="J43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x14ac:dyDescent="0.3">
      <c r="A2" s="49"/>
      <c r="B2" s="2" t="s">
        <v>43</v>
      </c>
      <c r="C2" s="51" t="s">
        <v>179</v>
      </c>
      <c r="D2" s="51"/>
      <c r="E2" s="51" t="s">
        <v>180</v>
      </c>
      <c r="F2" s="51"/>
      <c r="G2" s="1" t="s">
        <v>181</v>
      </c>
      <c r="K2" s="4" t="s">
        <v>9</v>
      </c>
      <c r="L2" s="4">
        <v>22.8</v>
      </c>
    </row>
    <row r="3" spans="1:12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>
        <v>19.8</v>
      </c>
    </row>
    <row r="4" spans="1:12" x14ac:dyDescent="0.3">
      <c r="A4" s="1" t="s">
        <v>39</v>
      </c>
      <c r="B4" s="55">
        <v>7562157018</v>
      </c>
      <c r="C4" s="55"/>
      <c r="D4" s="55"/>
      <c r="E4" s="51" t="s">
        <v>52</v>
      </c>
      <c r="F4" s="51"/>
      <c r="G4" s="1" t="s">
        <v>141</v>
      </c>
      <c r="K4" s="4" t="s">
        <v>12</v>
      </c>
      <c r="L4" s="4">
        <v>24.7</v>
      </c>
    </row>
    <row r="5" spans="1:12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>
        <v>31.6</v>
      </c>
    </row>
    <row r="6" spans="1:12" x14ac:dyDescent="0.3">
      <c r="A6" s="3" t="s">
        <v>182</v>
      </c>
      <c r="B6" s="47" t="s">
        <v>18</v>
      </c>
      <c r="C6" s="47"/>
      <c r="D6" s="47"/>
      <c r="E6" s="4">
        <v>6428</v>
      </c>
      <c r="F6" s="4">
        <v>1</v>
      </c>
      <c r="G6" s="25" t="s">
        <v>65</v>
      </c>
      <c r="H6" s="28" t="str">
        <f>HYPERLINK("#G6",CHAR(128))</f>
        <v>€</v>
      </c>
      <c r="K6" s="4" t="s">
        <v>14</v>
      </c>
      <c r="L6" s="4">
        <v>41.2</v>
      </c>
    </row>
    <row r="7" spans="1:12" x14ac:dyDescent="0.3">
      <c r="A7" s="2" t="s">
        <v>160</v>
      </c>
      <c r="B7" s="51" t="s">
        <v>21</v>
      </c>
      <c r="C7" s="51"/>
      <c r="D7" s="51"/>
      <c r="E7" s="1" t="s">
        <v>159</v>
      </c>
      <c r="F7" s="16">
        <v>1</v>
      </c>
      <c r="G7" s="25" t="s">
        <v>65</v>
      </c>
      <c r="H7" s="28" t="str">
        <f>HYPERLINK("#G7",CHAR(128))</f>
        <v>€</v>
      </c>
      <c r="K7" s="1" t="s">
        <v>15</v>
      </c>
      <c r="L7" s="1">
        <v>62.9</v>
      </c>
    </row>
    <row r="8" spans="1:12" x14ac:dyDescent="0.3">
      <c r="A8" s="3" t="s">
        <v>184</v>
      </c>
      <c r="B8" s="47" t="s">
        <v>19</v>
      </c>
      <c r="C8" s="47"/>
      <c r="D8" s="47"/>
      <c r="E8" s="4" t="s">
        <v>183</v>
      </c>
      <c r="F8" s="4">
        <v>1</v>
      </c>
      <c r="G8" s="25" t="s">
        <v>65</v>
      </c>
      <c r="H8" s="28" t="str">
        <f>HYPERLINK("#G8",CHAR(128))</f>
        <v>€</v>
      </c>
      <c r="K8" s="4" t="s">
        <v>16</v>
      </c>
      <c r="L8" s="4">
        <v>305.39999999999998</v>
      </c>
    </row>
    <row r="9" spans="1:12" x14ac:dyDescent="0.3">
      <c r="A9" s="2" t="s">
        <v>186</v>
      </c>
      <c r="B9" s="51" t="s">
        <v>20</v>
      </c>
      <c r="C9" s="51"/>
      <c r="D9" s="51"/>
      <c r="E9" s="1" t="s">
        <v>185</v>
      </c>
      <c r="F9" s="16">
        <v>1</v>
      </c>
      <c r="G9" s="25" t="s">
        <v>65</v>
      </c>
      <c r="H9" s="28" t="str">
        <f>HYPERLINK("#G9",CHAR(128))</f>
        <v>€</v>
      </c>
      <c r="I9" s="11"/>
      <c r="K9" s="1" t="s">
        <v>17</v>
      </c>
      <c r="L9" s="1">
        <v>90.6</v>
      </c>
    </row>
    <row r="10" spans="1:12" x14ac:dyDescent="0.3">
      <c r="A10" s="3" t="s">
        <v>147</v>
      </c>
      <c r="B10" s="47" t="s">
        <v>24</v>
      </c>
      <c r="C10" s="47"/>
      <c r="D10" s="47"/>
      <c r="E10" s="8">
        <v>7.375</v>
      </c>
      <c r="F10" s="4">
        <v>1</v>
      </c>
      <c r="G10" s="25" t="s">
        <v>65</v>
      </c>
      <c r="H10" s="28" t="str">
        <f>HYPERLINK("#G10",CHAR(128))</f>
        <v>€</v>
      </c>
      <c r="K10" s="15" t="s">
        <v>47</v>
      </c>
      <c r="L10" s="15">
        <v>6.3</v>
      </c>
    </row>
    <row r="11" spans="1:12" x14ac:dyDescent="0.3">
      <c r="A11" s="2" t="s">
        <v>63</v>
      </c>
      <c r="B11" s="51" t="s">
        <v>23</v>
      </c>
      <c r="C11" s="51"/>
      <c r="D11" s="51"/>
      <c r="E11" s="1" t="s">
        <v>62</v>
      </c>
      <c r="F11" s="16">
        <v>1</v>
      </c>
      <c r="G11" s="25" t="s">
        <v>65</v>
      </c>
      <c r="H11" s="28" t="str">
        <f>HYPERLINK("#G11",CHAR(128))</f>
        <v>€</v>
      </c>
    </row>
    <row r="12" spans="1:12" x14ac:dyDescent="0.3">
      <c r="A12" s="5" t="s">
        <v>71</v>
      </c>
      <c r="B12" s="47" t="s">
        <v>25</v>
      </c>
      <c r="C12" s="47"/>
      <c r="D12" s="47"/>
      <c r="E12" s="4" t="s">
        <v>70</v>
      </c>
      <c r="F12" s="4">
        <v>1</v>
      </c>
      <c r="G12" s="25" t="s">
        <v>65</v>
      </c>
      <c r="H12" s="28" t="str">
        <f>HYPERLINK("#G12",CHAR(128))</f>
        <v>€</v>
      </c>
    </row>
    <row r="13" spans="1:12" x14ac:dyDescent="0.3">
      <c r="A13" s="2" t="s">
        <v>80</v>
      </c>
      <c r="B13" s="51" t="s">
        <v>26</v>
      </c>
      <c r="C13" s="51"/>
      <c r="D13" s="51"/>
      <c r="E13" s="1" t="s">
        <v>79</v>
      </c>
      <c r="F13" s="16">
        <v>1</v>
      </c>
      <c r="G13" s="25" t="s">
        <v>45</v>
      </c>
      <c r="H13" s="28" t="str">
        <f>HYPERLINK("#G13",CHAR(128))</f>
        <v>€</v>
      </c>
    </row>
    <row r="14" spans="1:12" x14ac:dyDescent="0.3">
      <c r="A14" s="5" t="s">
        <v>149</v>
      </c>
      <c r="B14" s="47" t="s">
        <v>27</v>
      </c>
      <c r="C14" s="47"/>
      <c r="D14" s="47"/>
      <c r="E14" s="4" t="s">
        <v>148</v>
      </c>
      <c r="F14" s="4">
        <v>1</v>
      </c>
      <c r="G14" s="25" t="s">
        <v>65</v>
      </c>
      <c r="H14" s="28" t="str">
        <f>HYPERLINK("#G14",CHAR(128))</f>
        <v>€</v>
      </c>
    </row>
    <row r="15" spans="1:12" x14ac:dyDescent="0.3">
      <c r="A15" s="2"/>
      <c r="B15" s="59"/>
      <c r="C15" s="59"/>
      <c r="D15" s="59"/>
      <c r="E15" s="1"/>
      <c r="F15" s="16"/>
      <c r="G15" s="16"/>
      <c r="H15" s="14"/>
    </row>
    <row r="16" spans="1:12" x14ac:dyDescent="0.3">
      <c r="A16" s="5" t="s">
        <v>46</v>
      </c>
      <c r="B16" s="47" t="s">
        <v>28</v>
      </c>
      <c r="C16" s="47"/>
      <c r="D16" s="47"/>
      <c r="E16" s="4" t="s">
        <v>51</v>
      </c>
      <c r="F16" s="4">
        <v>1</v>
      </c>
      <c r="G16" s="25" t="s">
        <v>65</v>
      </c>
      <c r="H16" s="23" t="str">
        <f>HYPERLINK("#G16",CHAR(128))</f>
        <v>€</v>
      </c>
    </row>
    <row r="17" spans="1:10" x14ac:dyDescent="0.3">
      <c r="A17" s="2" t="s">
        <v>135</v>
      </c>
      <c r="B17" s="51" t="s">
        <v>22</v>
      </c>
      <c r="C17" s="51"/>
      <c r="D17" s="51"/>
      <c r="E17" s="1" t="s">
        <v>107</v>
      </c>
      <c r="F17" s="16">
        <v>1</v>
      </c>
      <c r="G17" s="25" t="s">
        <v>65</v>
      </c>
      <c r="H17" s="23" t="str">
        <f>HYPERLINK("#G17",CHAR(128))</f>
        <v>€</v>
      </c>
    </row>
    <row r="18" spans="1:10" x14ac:dyDescent="0.3">
      <c r="A18" s="5" t="s">
        <v>187</v>
      </c>
      <c r="B18" s="47" t="s">
        <v>29</v>
      </c>
      <c r="C18" s="47"/>
      <c r="D18" s="47"/>
      <c r="E18" s="4">
        <v>6440</v>
      </c>
      <c r="F18" s="4">
        <v>1</v>
      </c>
      <c r="G18" s="25" t="s">
        <v>65</v>
      </c>
      <c r="H18" s="23" t="str">
        <f>HYPERLINK("#G18",CHAR(128))</f>
        <v>€</v>
      </c>
    </row>
    <row r="19" spans="1:10" x14ac:dyDescent="0.3">
      <c r="A19" s="2" t="s">
        <v>189</v>
      </c>
      <c r="B19" s="51" t="s">
        <v>30</v>
      </c>
      <c r="C19" s="51"/>
      <c r="D19" s="51"/>
      <c r="E19" s="1" t="s">
        <v>188</v>
      </c>
      <c r="F19" s="16">
        <v>1</v>
      </c>
      <c r="G19" s="25" t="s">
        <v>65</v>
      </c>
      <c r="H19" s="23" t="str">
        <f>HYPERLINK("#G19",CHAR(128))</f>
        <v>€</v>
      </c>
    </row>
    <row r="20" spans="1:10" x14ac:dyDescent="0.3">
      <c r="A20" s="5"/>
      <c r="B20" s="56"/>
      <c r="C20" s="57"/>
      <c r="D20" s="58"/>
      <c r="E20" s="4"/>
      <c r="F20" s="4"/>
      <c r="G20" s="4"/>
      <c r="H20" s="14"/>
    </row>
    <row r="21" spans="1:10" x14ac:dyDescent="0.3">
      <c r="A21" s="2" t="s">
        <v>153</v>
      </c>
      <c r="B21" s="51" t="s">
        <v>33</v>
      </c>
      <c r="C21" s="51"/>
      <c r="D21" s="51"/>
      <c r="E21" s="9">
        <v>7.375</v>
      </c>
      <c r="F21" s="16">
        <v>1</v>
      </c>
      <c r="G21" s="25" t="s">
        <v>65</v>
      </c>
      <c r="H21" s="23" t="str">
        <f>HYPERLINK("#G21",CHAR(128))</f>
        <v>€</v>
      </c>
    </row>
    <row r="22" spans="1:10" x14ac:dyDescent="0.3">
      <c r="A22" s="5" t="s">
        <v>174</v>
      </c>
      <c r="B22" s="47" t="s">
        <v>31</v>
      </c>
      <c r="C22" s="47"/>
      <c r="D22" s="47"/>
      <c r="E22" s="4">
        <v>6432</v>
      </c>
      <c r="F22" s="4">
        <v>1</v>
      </c>
      <c r="G22" s="25" t="s">
        <v>65</v>
      </c>
      <c r="H22" s="23" t="str">
        <f>HYPERLINK("#G22",CHAR(128))</f>
        <v>€</v>
      </c>
    </row>
    <row r="23" spans="1:10" x14ac:dyDescent="0.3">
      <c r="A23" s="2" t="s">
        <v>120</v>
      </c>
      <c r="B23" s="51" t="s">
        <v>48</v>
      </c>
      <c r="C23" s="51"/>
      <c r="D23" s="51"/>
      <c r="E23" s="1">
        <v>6434</v>
      </c>
      <c r="F23" s="16">
        <v>1</v>
      </c>
      <c r="G23" s="25" t="s">
        <v>65</v>
      </c>
      <c r="H23" s="22" t="str">
        <f>HYPERLINK("#G23",CHAR(128))</f>
        <v>€</v>
      </c>
    </row>
    <row r="24" spans="1:10" x14ac:dyDescent="0.3">
      <c r="A24" s="5" t="s">
        <v>191</v>
      </c>
      <c r="B24" s="47" t="s">
        <v>32</v>
      </c>
      <c r="C24" s="47"/>
      <c r="D24" s="47"/>
      <c r="E24" s="4" t="s">
        <v>190</v>
      </c>
      <c r="F24" s="4">
        <v>1</v>
      </c>
      <c r="G24" s="25" t="s">
        <v>65</v>
      </c>
      <c r="H24" s="22" t="str">
        <f>HYPERLINK("#G24",CHAR(128))</f>
        <v>€</v>
      </c>
    </row>
    <row r="25" spans="1:10" x14ac:dyDescent="0.3">
      <c r="A25" s="2"/>
      <c r="B25" s="51"/>
      <c r="C25" s="51"/>
      <c r="D25" s="51"/>
      <c r="E25" s="1"/>
      <c r="F25" s="16"/>
      <c r="G25" s="16"/>
      <c r="H25" s="14"/>
      <c r="I25" s="12"/>
    </row>
    <row r="26" spans="1:10" x14ac:dyDescent="0.3">
      <c r="A26" s="5"/>
      <c r="B26" s="47" t="s">
        <v>37</v>
      </c>
      <c r="C26" s="47"/>
      <c r="D26" s="47"/>
      <c r="E26" s="4" t="str">
        <f>C2</f>
        <v>Robinson</v>
      </c>
      <c r="F26" s="4">
        <v>1</v>
      </c>
      <c r="G26" s="25" t="s">
        <v>45</v>
      </c>
      <c r="H26" s="24" t="str">
        <f>HYPERLINK("#G26",CHAR(128))</f>
        <v>€</v>
      </c>
    </row>
    <row r="28" spans="1:10" x14ac:dyDescent="0.3">
      <c r="J28" s="18"/>
    </row>
    <row r="29" spans="1:10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0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0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0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</mergeCells>
  <conditionalFormatting sqref="G6:G14 G21:G26 G16:G19">
    <cfRule type="cellIs" dxfId="17" priority="2" operator="equal">
      <formula>"Returned"</formula>
    </cfRule>
    <cfRule type="cellIs" dxfId="16" priority="5" operator="equal">
      <formula>"Ready To Order"</formula>
    </cfRule>
    <cfRule type="cellIs" dxfId="15" priority="6" operator="equal">
      <formula>"UNP"</formula>
    </cfRule>
    <cfRule type="containsText" dxfId="14" priority="7" operator="containsText" text="Ordered">
      <formula>NOT(ISERROR(SEARCH("Ordered",G6)))</formula>
    </cfRule>
    <cfRule type="containsText" dxfId="13" priority="8" operator="containsText" text="Pick Up">
      <formula>NOT(ISERROR(SEARCH("Pick Up",G6)))</formula>
    </cfRule>
    <cfRule type="containsText" dxfId="12" priority="9" operator="containsText" text="Complete">
      <formula>NOT(ISERROR(SEARCH("Complete",G6)))</formula>
    </cfRule>
  </conditionalFormatting>
  <conditionalFormatting sqref="G30:G33">
    <cfRule type="containsText" dxfId="11" priority="4" operator="containsText" text="Given">
      <formula>NOT(ISERROR(SEARCH("Given",G30)))</formula>
    </cfRule>
  </conditionalFormatting>
  <conditionalFormatting sqref="G30:G34">
    <cfRule type="containsText" dxfId="10" priority="3" operator="containsText" text="Returned">
      <formula>NOT(ISERROR(SEARCH("Returned",G30)))</formula>
    </cfRule>
  </conditionalFormatting>
  <conditionalFormatting sqref="G6:G14 G21:G26 G16:G19">
    <cfRule type="cellIs" dxfId="9" priority="1" operator="equal">
      <formula>"In Stock"</formula>
    </cfRule>
  </conditionalFormatting>
  <dataValidations count="3">
    <dataValidation type="list" allowBlank="1" showInputMessage="1" showErrorMessage="1" sqref="G30:G34" xr:uid="{2BD6310D-9DD8-44DA-901B-3EAB7E5173E0}">
      <formula1>"--,Returned, Given"</formula1>
    </dataValidation>
    <dataValidation type="list" allowBlank="1" showInputMessage="1" showErrorMessage="1" sqref="G16:G19 G21:G24 G26 G6:G14" xr:uid="{E522F0AA-F1B6-4EA5-93B0-506B28955E4D}">
      <formula1>"UNP, Ready To Order, Ordered, In Stock, Pick Up, Complete, Returned"</formula1>
    </dataValidation>
    <dataValidation type="decimal" allowBlank="1" showInputMessage="1" showErrorMessage="1" sqref="L2" xr:uid="{766F2A9F-6844-4B08-8C50-AD2CA3748F85}">
      <formula1>19</formula1>
      <formula2>26</formula2>
    </dataValidation>
  </dataValidations>
  <hyperlinks>
    <hyperlink ref="A1:A2" location="Menu!A1" display="Back to Menu" xr:uid="{1C2D2324-1533-483F-B672-346FE8D9763E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4257" r:id="rId3" name="Button 1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58" r:id="rId4" name="Button 2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59" r:id="rId5" name="Button 3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0" r:id="rId6" name="Button 4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1" r:id="rId7" name="Button 5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62" r:id="rId8" name="Button 6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7"/>
  <sheetViews>
    <sheetView zoomScaleNormal="100" workbookViewId="0">
      <selection activeCell="G6" sqref="G6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48" t="s">
        <v>42</v>
      </c>
      <c r="B1" s="20" t="s">
        <v>3</v>
      </c>
      <c r="C1" s="50" t="s">
        <v>0</v>
      </c>
      <c r="D1" s="50"/>
      <c r="E1" s="50" t="s">
        <v>2</v>
      </c>
      <c r="F1" s="50"/>
      <c r="G1" s="20" t="s">
        <v>34</v>
      </c>
      <c r="K1" s="20" t="s">
        <v>38</v>
      </c>
      <c r="L1" s="20" t="s">
        <v>10</v>
      </c>
    </row>
    <row r="2" spans="1:12" ht="17.2" customHeight="1" x14ac:dyDescent="0.3">
      <c r="A2" s="49"/>
      <c r="B2" s="2"/>
      <c r="C2" s="51"/>
      <c r="D2" s="51"/>
      <c r="E2" s="51"/>
      <c r="F2" s="51"/>
      <c r="G2" s="1"/>
      <c r="K2" s="4" t="s">
        <v>9</v>
      </c>
      <c r="L2" s="4"/>
    </row>
    <row r="3" spans="1:12" ht="17.2" customHeight="1" x14ac:dyDescent="0.3">
      <c r="A3" s="20" t="s">
        <v>1</v>
      </c>
      <c r="B3" s="52" t="s">
        <v>4</v>
      </c>
      <c r="C3" s="53"/>
      <c r="D3" s="54"/>
      <c r="E3" s="52" t="s">
        <v>49</v>
      </c>
      <c r="F3" s="54"/>
      <c r="G3" s="20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55"/>
      <c r="C4" s="55"/>
      <c r="D4" s="55"/>
      <c r="E4" s="51"/>
      <c r="F4" s="51"/>
      <c r="G4" s="1"/>
      <c r="K4" s="4" t="s">
        <v>12</v>
      </c>
      <c r="L4" s="4"/>
    </row>
    <row r="5" spans="1:12" ht="17.2" customHeight="1" x14ac:dyDescent="0.3">
      <c r="A5" s="20" t="s">
        <v>6</v>
      </c>
      <c r="B5" s="50" t="s">
        <v>7</v>
      </c>
      <c r="C5" s="50"/>
      <c r="D5" s="50"/>
      <c r="E5" s="20" t="s">
        <v>8</v>
      </c>
      <c r="F5" s="20" t="s">
        <v>35</v>
      </c>
      <c r="G5" s="20" t="s">
        <v>36</v>
      </c>
      <c r="K5" s="1" t="s">
        <v>13</v>
      </c>
      <c r="L5" s="1"/>
    </row>
    <row r="6" spans="1:12" ht="17.2" customHeight="1" x14ac:dyDescent="0.3">
      <c r="A6" s="3"/>
      <c r="B6" s="47" t="s">
        <v>18</v>
      </c>
      <c r="C6" s="47"/>
      <c r="D6" s="47"/>
      <c r="E6" s="4"/>
      <c r="F6" s="4">
        <v>1</v>
      </c>
      <c r="G6" s="25" t="s">
        <v>45</v>
      </c>
      <c r="H6" s="28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51" t="s">
        <v>21</v>
      </c>
      <c r="C7" s="51"/>
      <c r="D7" s="51"/>
      <c r="E7" s="1"/>
      <c r="F7" s="16">
        <v>1</v>
      </c>
      <c r="G7" s="25" t="s">
        <v>45</v>
      </c>
      <c r="H7" s="28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47" t="s">
        <v>19</v>
      </c>
      <c r="C8" s="47"/>
      <c r="D8" s="47"/>
      <c r="E8" s="4"/>
      <c r="F8" s="4">
        <v>1</v>
      </c>
      <c r="G8" s="25" t="s">
        <v>45</v>
      </c>
      <c r="H8" s="28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51" t="s">
        <v>20</v>
      </c>
      <c r="C9" s="51"/>
      <c r="D9" s="51"/>
      <c r="E9" s="1"/>
      <c r="F9" s="16">
        <v>1</v>
      </c>
      <c r="G9" s="25" t="s">
        <v>45</v>
      </c>
      <c r="H9" s="28" t="str">
        <f>HYPERLINK("#G9",CHAR(128))</f>
        <v>€</v>
      </c>
      <c r="I9" s="11"/>
      <c r="K9" s="1" t="s">
        <v>17</v>
      </c>
      <c r="L9" s="1"/>
    </row>
    <row r="10" spans="1:12" ht="17.2" customHeight="1" x14ac:dyDescent="0.3">
      <c r="A10" s="3"/>
      <c r="B10" s="47" t="s">
        <v>24</v>
      </c>
      <c r="C10" s="47"/>
      <c r="D10" s="47"/>
      <c r="E10" s="8"/>
      <c r="F10" s="4">
        <v>1</v>
      </c>
      <c r="G10" s="25" t="s">
        <v>45</v>
      </c>
      <c r="H10" s="28" t="str">
        <f>HYPERLINK("#G10",CHAR(128))</f>
        <v>€</v>
      </c>
      <c r="K10" s="15" t="s">
        <v>47</v>
      </c>
      <c r="L10" s="15"/>
    </row>
    <row r="11" spans="1:12" ht="17.2" customHeight="1" x14ac:dyDescent="0.3">
      <c r="A11" s="2"/>
      <c r="B11" s="51" t="s">
        <v>23</v>
      </c>
      <c r="C11" s="51"/>
      <c r="D11" s="51"/>
      <c r="E11" s="1"/>
      <c r="F11" s="16">
        <v>1</v>
      </c>
      <c r="G11" s="25" t="s">
        <v>45</v>
      </c>
      <c r="H11" s="28" t="str">
        <f>HYPERLINK("#G11",CHAR(128))</f>
        <v>€</v>
      </c>
    </row>
    <row r="12" spans="1:12" ht="17.2" customHeight="1" x14ac:dyDescent="0.3">
      <c r="A12" s="5"/>
      <c r="B12" s="47" t="s">
        <v>25</v>
      </c>
      <c r="C12" s="47"/>
      <c r="D12" s="47"/>
      <c r="E12" s="4"/>
      <c r="F12" s="4">
        <v>1</v>
      </c>
      <c r="G12" s="25" t="s">
        <v>45</v>
      </c>
      <c r="H12" s="28" t="str">
        <f>HYPERLINK("#G12",CHAR(128))</f>
        <v>€</v>
      </c>
    </row>
    <row r="13" spans="1:12" ht="17.2" customHeight="1" x14ac:dyDescent="0.3">
      <c r="A13" s="2"/>
      <c r="B13" s="51" t="s">
        <v>26</v>
      </c>
      <c r="C13" s="51"/>
      <c r="D13" s="51"/>
      <c r="E13" s="1"/>
      <c r="F13" s="16">
        <v>1</v>
      </c>
      <c r="G13" s="25" t="s">
        <v>45</v>
      </c>
      <c r="H13" s="28" t="str">
        <f>HYPERLINK("#G13",CHAR(128))</f>
        <v>€</v>
      </c>
    </row>
    <row r="14" spans="1:12" ht="17.2" customHeight="1" x14ac:dyDescent="0.3">
      <c r="A14" s="5"/>
      <c r="B14" s="47" t="s">
        <v>27</v>
      </c>
      <c r="C14" s="47"/>
      <c r="D14" s="47"/>
      <c r="E14" s="4"/>
      <c r="F14" s="4">
        <v>1</v>
      </c>
      <c r="G14" s="25" t="s">
        <v>45</v>
      </c>
      <c r="H14" s="28" t="str">
        <f>HYPERLINK("#G14",CHAR(128))</f>
        <v>€</v>
      </c>
    </row>
    <row r="15" spans="1:12" ht="17.2" customHeight="1" x14ac:dyDescent="0.3">
      <c r="A15" s="2"/>
      <c r="B15" s="59"/>
      <c r="C15" s="59"/>
      <c r="D15" s="59"/>
      <c r="E15" s="1"/>
      <c r="F15" s="16"/>
      <c r="G15" s="16"/>
      <c r="H15" s="14"/>
    </row>
    <row r="16" spans="1:12" ht="17.2" customHeight="1" x14ac:dyDescent="0.3">
      <c r="A16" s="5"/>
      <c r="B16" s="47" t="s">
        <v>28</v>
      </c>
      <c r="C16" s="47"/>
      <c r="D16" s="47"/>
      <c r="E16" s="4"/>
      <c r="F16" s="4">
        <v>1</v>
      </c>
      <c r="G16" s="25" t="s">
        <v>45</v>
      </c>
      <c r="H16" s="23" t="str">
        <f>HYPERLINK("#G16",CHAR(128))</f>
        <v>€</v>
      </c>
    </row>
    <row r="17" spans="1:14" ht="17.2" customHeight="1" x14ac:dyDescent="0.3">
      <c r="A17" s="2"/>
      <c r="B17" s="51" t="s">
        <v>22</v>
      </c>
      <c r="C17" s="51"/>
      <c r="D17" s="51"/>
      <c r="E17" s="1"/>
      <c r="F17" s="16">
        <v>1</v>
      </c>
      <c r="G17" s="25" t="s">
        <v>45</v>
      </c>
      <c r="H17" s="23" t="str">
        <f>HYPERLINK("#G17",CHAR(128))</f>
        <v>€</v>
      </c>
    </row>
    <row r="18" spans="1:14" ht="17.2" customHeight="1" x14ac:dyDescent="0.3">
      <c r="A18" s="5"/>
      <c r="B18" s="47" t="s">
        <v>29</v>
      </c>
      <c r="C18" s="47"/>
      <c r="D18" s="47"/>
      <c r="E18" s="4"/>
      <c r="F18" s="4">
        <v>1</v>
      </c>
      <c r="G18" s="25" t="s">
        <v>45</v>
      </c>
      <c r="H18" s="23" t="str">
        <f>HYPERLINK("#G18",CHAR(128))</f>
        <v>€</v>
      </c>
    </row>
    <row r="19" spans="1:14" ht="17.2" customHeight="1" x14ac:dyDescent="0.3">
      <c r="A19" s="2"/>
      <c r="B19" s="51" t="s">
        <v>30</v>
      </c>
      <c r="C19" s="51"/>
      <c r="D19" s="51"/>
      <c r="E19" s="1"/>
      <c r="F19" s="16">
        <v>1</v>
      </c>
      <c r="G19" s="25" t="s">
        <v>45</v>
      </c>
      <c r="H19" s="23" t="str">
        <f>HYPERLINK("#G19",CHAR(128))</f>
        <v>€</v>
      </c>
    </row>
    <row r="20" spans="1:14" ht="17.2" customHeight="1" x14ac:dyDescent="0.3">
      <c r="A20" s="5"/>
      <c r="B20" s="56"/>
      <c r="C20" s="57"/>
      <c r="D20" s="58"/>
      <c r="E20" s="4"/>
      <c r="F20" s="4"/>
      <c r="G20" s="4"/>
      <c r="H20" s="14"/>
    </row>
    <row r="21" spans="1:14" x14ac:dyDescent="0.3">
      <c r="A21" s="2"/>
      <c r="B21" s="51" t="s">
        <v>33</v>
      </c>
      <c r="C21" s="51"/>
      <c r="D21" s="51"/>
      <c r="E21" s="9"/>
      <c r="F21" s="16">
        <v>1</v>
      </c>
      <c r="G21" s="25" t="s">
        <v>45</v>
      </c>
      <c r="H21" s="23" t="str">
        <f>HYPERLINK("#G21",CHAR(128))</f>
        <v>€</v>
      </c>
    </row>
    <row r="22" spans="1:14" x14ac:dyDescent="0.3">
      <c r="A22" s="5"/>
      <c r="B22" s="47" t="s">
        <v>31</v>
      </c>
      <c r="C22" s="47"/>
      <c r="D22" s="47"/>
      <c r="E22" s="4"/>
      <c r="F22" s="4">
        <v>1</v>
      </c>
      <c r="G22" s="25" t="s">
        <v>45</v>
      </c>
      <c r="H22" s="23" t="str">
        <f>HYPERLINK("#G22",CHAR(128))</f>
        <v>€</v>
      </c>
      <c r="N22" s="2"/>
    </row>
    <row r="23" spans="1:14" x14ac:dyDescent="0.3">
      <c r="A23" s="2"/>
      <c r="B23" s="51" t="s">
        <v>48</v>
      </c>
      <c r="C23" s="51"/>
      <c r="D23" s="51"/>
      <c r="E23" s="1"/>
      <c r="F23" s="16">
        <v>1</v>
      </c>
      <c r="G23" s="25" t="s">
        <v>45</v>
      </c>
      <c r="H23" s="22" t="str">
        <f>HYPERLINK("#G23",CHAR(128))</f>
        <v>€</v>
      </c>
    </row>
    <row r="24" spans="1:14" x14ac:dyDescent="0.3">
      <c r="A24" s="5"/>
      <c r="B24" s="47" t="s">
        <v>32</v>
      </c>
      <c r="C24" s="47"/>
      <c r="D24" s="47"/>
      <c r="E24" s="4"/>
      <c r="F24" s="4">
        <v>1</v>
      </c>
      <c r="G24" s="25" t="s">
        <v>45</v>
      </c>
      <c r="H24" s="22" t="str">
        <f>HYPERLINK("#G24",CHAR(128))</f>
        <v>€</v>
      </c>
    </row>
    <row r="25" spans="1:14" x14ac:dyDescent="0.3">
      <c r="A25" s="2"/>
      <c r="B25" s="51"/>
      <c r="C25" s="51"/>
      <c r="D25" s="51"/>
      <c r="E25" s="1"/>
      <c r="F25" s="16"/>
      <c r="G25" s="16"/>
      <c r="H25" s="14"/>
      <c r="I25" s="12"/>
    </row>
    <row r="26" spans="1:14" x14ac:dyDescent="0.3">
      <c r="A26" s="5"/>
      <c r="B26" s="47" t="s">
        <v>37</v>
      </c>
      <c r="C26" s="47"/>
      <c r="D26" s="47"/>
      <c r="E26" s="4">
        <f>C2</f>
        <v>0</v>
      </c>
      <c r="F26" s="4">
        <v>1</v>
      </c>
      <c r="G26" s="25" t="s">
        <v>45</v>
      </c>
      <c r="H26" s="24" t="str">
        <f>HYPERLINK("#G26",CHAR(128))</f>
        <v>€</v>
      </c>
    </row>
    <row r="28" spans="1:14" x14ac:dyDescent="0.3">
      <c r="J28" s="18"/>
    </row>
    <row r="29" spans="1:14" x14ac:dyDescent="0.3">
      <c r="A29" s="20"/>
      <c r="B29" s="50" t="s">
        <v>50</v>
      </c>
      <c r="C29" s="50"/>
      <c r="D29" s="50"/>
      <c r="E29" s="20" t="s">
        <v>8</v>
      </c>
      <c r="F29" s="20" t="s">
        <v>35</v>
      </c>
      <c r="G29" s="21" t="s">
        <v>36</v>
      </c>
    </row>
    <row r="30" spans="1:14" x14ac:dyDescent="0.3">
      <c r="A30" s="3"/>
      <c r="B30" s="47"/>
      <c r="C30" s="47"/>
      <c r="D30" s="47"/>
      <c r="E30" s="4"/>
      <c r="F30" s="10">
        <v>1</v>
      </c>
      <c r="G30" s="17"/>
      <c r="H30" s="19" t="str">
        <f>HYPERLINK("#G30",CHAR(128))</f>
        <v>€</v>
      </c>
    </row>
    <row r="31" spans="1:14" x14ac:dyDescent="0.3">
      <c r="A31" s="2"/>
      <c r="B31" s="51"/>
      <c r="C31" s="51"/>
      <c r="D31" s="51"/>
      <c r="E31" s="1"/>
      <c r="F31" s="16">
        <v>1</v>
      </c>
      <c r="G31" s="26"/>
      <c r="H31" s="19" t="str">
        <f>HYPERLINK("#G31",CHAR(128))</f>
        <v>€</v>
      </c>
    </row>
    <row r="32" spans="1:14" x14ac:dyDescent="0.3">
      <c r="A32" s="3"/>
      <c r="B32" s="47"/>
      <c r="C32" s="47"/>
      <c r="D32" s="47"/>
      <c r="E32" s="4"/>
      <c r="F32" s="4">
        <v>1</v>
      </c>
      <c r="G32" s="27"/>
      <c r="H32" s="19" t="str">
        <f>HYPERLINK("#G32",CHAR(128))</f>
        <v>€</v>
      </c>
    </row>
    <row r="33" spans="1:8" x14ac:dyDescent="0.3">
      <c r="A33" s="2"/>
      <c r="B33" s="51"/>
      <c r="C33" s="51"/>
      <c r="D33" s="51"/>
      <c r="E33" s="1"/>
      <c r="F33" s="16">
        <v>1</v>
      </c>
      <c r="G33" s="26"/>
      <c r="H33" s="19" t="str">
        <f>HYPERLINK("#G33",CHAR(128))</f>
        <v>€</v>
      </c>
    </row>
    <row r="34" spans="1:8" x14ac:dyDescent="0.3">
      <c r="A34" s="3"/>
      <c r="B34" s="47"/>
      <c r="C34" s="47"/>
      <c r="D34" s="47"/>
      <c r="E34" s="4"/>
      <c r="F34" s="4">
        <v>1</v>
      </c>
      <c r="G34" s="27"/>
      <c r="H34" s="19" t="str">
        <f>HYPERLINK("#G34",CHAR(128))</f>
        <v>€</v>
      </c>
    </row>
    <row r="37" spans="1:8" x14ac:dyDescent="0.3">
      <c r="A37" t="s">
        <v>40</v>
      </c>
      <c r="B37" t="s">
        <v>7</v>
      </c>
      <c r="C37" t="s">
        <v>67</v>
      </c>
      <c r="D37" t="s">
        <v>69</v>
      </c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1" r:id="rId3" name="Button 5">
              <controlPr defaultSize="0" print="0" autoFill="0" autoPict="0" macro="[0]!Resize">
                <anchor moveWithCells="1" sizeWithCells="1">
                  <from>
                    <xdr:col>10</xdr:col>
                    <xdr:colOff>8313</xdr:colOff>
                    <xdr:row>10</xdr:row>
                    <xdr:rowOff>199505</xdr:rowOff>
                  </from>
                  <to>
                    <xdr:col>12</xdr:col>
                    <xdr:colOff>8313</xdr:colOff>
                    <xdr:row>12</xdr:row>
                    <xdr:rowOff>199505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4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0</xdr:colOff>
                    <xdr:row>13</xdr:row>
                    <xdr:rowOff>207818</xdr:rowOff>
                  </from>
                  <to>
                    <xdr:col>12</xdr:col>
                    <xdr:colOff>0</xdr:colOff>
                    <xdr:row>15</xdr:row>
                    <xdr:rowOff>191193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5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6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7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8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Menu</vt:lpstr>
      <vt:lpstr>Importing</vt:lpstr>
      <vt:lpstr>Pickup</vt:lpstr>
      <vt:lpstr>Master</vt:lpstr>
      <vt:lpstr>Mia_Wilson_795DB783</vt:lpstr>
      <vt:lpstr>aaaa_aaa_F3E668A6</vt:lpstr>
      <vt:lpstr>Frank_Thomas_215B12B4</vt:lpstr>
      <vt:lpstr>Quinn_Anderson_BF947EB3</vt:lpstr>
      <vt:lpstr>Liam_Miller_A33FCEBC</vt:lpstr>
      <vt:lpstr>Yvonne_Martinez_66AC1C8F</vt:lpstr>
      <vt:lpstr>Bob_Robinson_A77A6DA5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2023-12-28T05:00:54Z</cp:lastPrinted>
  <dcterms:created xsi:type="dcterms:W3CDTF">2023-08-20T19:28:09Z</dcterms:created>
  <dcterms:modified xsi:type="dcterms:W3CDTF">2024-01-01T07:45:31Z</dcterms:modified>
</cp:coreProperties>
</file>