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tables/table14.xml" ContentType="application/vnd.openxmlformats-officedocument.spreadsheetml.table+xml"/>
  <Override PartName="/xl/drawings/drawing17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tables/table15.xml" ContentType="application/vnd.openxmlformats-officedocument.spreadsheetml.table+xml"/>
  <Override PartName="/xl/drawings/drawing18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42742" documentId="13_ncr:1_{BD7FF360-0CFF-47F0-8534-9472465C0534}" xr6:coauthVersionLast="47" xr6:coauthVersionMax="47" xr10:uidLastSave="{397003D9-39B6-4EF2-A5A9-7FC87C993D52}"/>
  <bookViews>
    <workbookView xWindow="28680" yWindow="-120" windowWidth="29040" windowHeight="15720" tabRatio="856" activeTab="3" xr2:uid="{01218C0E-FF84-42AC-8993-DD76AC11461D}"/>
  </bookViews>
  <sheets>
    <sheet name="Menu" sheetId="48" r:id="rId1"/>
    <sheet name="Importing" sheetId="124" r:id="rId2"/>
    <sheet name="Pickup" sheetId="181" r:id="rId3"/>
    <sheet name="Import Sheets" sheetId="248" r:id="rId4"/>
    <sheet name="Master" sheetId="227" r:id="rId5"/>
    <sheet name="Charlie_Clark_6D74C5A2" sheetId="296" r:id="rId6"/>
    <sheet name="Isabella_Taylor_39329697" sheetId="297" r:id="rId7"/>
    <sheet name="Banks_Rob_009907AE" sheetId="298" r:id="rId8"/>
    <sheet name="Rophone_Mike_075E95A3" sheetId="299" r:id="rId9"/>
    <sheet name="Christ_Jesus_1CB2AEBC" sheetId="300" r:id="rId10"/>
    <sheet name="Rhea_Dia_D874C084" sheetId="301" r:id="rId11"/>
    <sheet name="Rhea_Dia_6D7376B0" sheetId="302" r:id="rId12"/>
    <sheet name="Charlie_Clark_705CF08B" sheetId="303" r:id="rId13"/>
    <sheet name="Isabella_Taylor_3DB5A497" sheetId="304" r:id="rId14"/>
    <sheet name="Banks_Rob_DEE84589" sheetId="305" r:id="rId15"/>
    <sheet name="Rophone_Mike_011D10BB" sheetId="306" r:id="rId16"/>
    <sheet name="Christ_Jesus_B5B783A3" sheetId="307" r:id="rId17"/>
    <sheet name="Rhea_Dia_772C83B6" sheetId="308" r:id="rId18"/>
    <sheet name="Template" sheetId="1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308" l="1"/>
  <c r="H33" i="308"/>
  <c r="H32" i="308"/>
  <c r="H31" i="308"/>
  <c r="H30" i="308"/>
  <c r="H26" i="308"/>
  <c r="E26" i="308"/>
  <c r="H24" i="308"/>
  <c r="H23" i="308"/>
  <c r="H22" i="308"/>
  <c r="H21" i="308"/>
  <c r="H19" i="308"/>
  <c r="H18" i="308"/>
  <c r="H17" i="308"/>
  <c r="H16" i="308"/>
  <c r="H14" i="308"/>
  <c r="H13" i="308"/>
  <c r="H12" i="308"/>
  <c r="H11" i="308"/>
  <c r="H10" i="308"/>
  <c r="H9" i="308"/>
  <c r="H8" i="308"/>
  <c r="H7" i="308"/>
  <c r="H6" i="308"/>
  <c r="H34" i="307"/>
  <c r="H33" i="307"/>
  <c r="H32" i="307"/>
  <c r="H31" i="307"/>
  <c r="H30" i="307"/>
  <c r="H26" i="307"/>
  <c r="E26" i="307"/>
  <c r="H24" i="307"/>
  <c r="H23" i="307"/>
  <c r="H22" i="307"/>
  <c r="H21" i="307"/>
  <c r="H19" i="307"/>
  <c r="H18" i="307"/>
  <c r="H17" i="307"/>
  <c r="H16" i="307"/>
  <c r="H14" i="307"/>
  <c r="H13" i="307"/>
  <c r="H12" i="307"/>
  <c r="H11" i="307"/>
  <c r="H10" i="307"/>
  <c r="H9" i="307"/>
  <c r="H8" i="307"/>
  <c r="H7" i="307"/>
  <c r="H6" i="307"/>
  <c r="H34" i="306"/>
  <c r="H33" i="306"/>
  <c r="H32" i="306"/>
  <c r="H31" i="306"/>
  <c r="H30" i="306"/>
  <c r="H26" i="306"/>
  <c r="E26" i="306"/>
  <c r="H24" i="306"/>
  <c r="H23" i="306"/>
  <c r="H22" i="306"/>
  <c r="H21" i="306"/>
  <c r="H19" i="306"/>
  <c r="H18" i="306"/>
  <c r="H17" i="306"/>
  <c r="H16" i="306"/>
  <c r="H14" i="306"/>
  <c r="H13" i="306"/>
  <c r="H12" i="306"/>
  <c r="H11" i="306"/>
  <c r="H10" i="306"/>
  <c r="H9" i="306"/>
  <c r="H8" i="306"/>
  <c r="H7" i="306"/>
  <c r="H6" i="306"/>
  <c r="H34" i="305"/>
  <c r="H33" i="305"/>
  <c r="H32" i="305"/>
  <c r="H31" i="305"/>
  <c r="H30" i="305"/>
  <c r="H26" i="305"/>
  <c r="E26" i="305"/>
  <c r="H24" i="305"/>
  <c r="H23" i="305"/>
  <c r="H22" i="305"/>
  <c r="H21" i="305"/>
  <c r="H19" i="305"/>
  <c r="H18" i="305"/>
  <c r="H17" i="305"/>
  <c r="H16" i="305"/>
  <c r="H14" i="305"/>
  <c r="H13" i="305"/>
  <c r="H12" i="305"/>
  <c r="H11" i="305"/>
  <c r="H10" i="305"/>
  <c r="H9" i="305"/>
  <c r="H8" i="305"/>
  <c r="H7" i="305"/>
  <c r="H6" i="305"/>
  <c r="H34" i="304"/>
  <c r="H33" i="304"/>
  <c r="H32" i="304"/>
  <c r="H31" i="304"/>
  <c r="H30" i="304"/>
  <c r="H26" i="304"/>
  <c r="E26" i="304"/>
  <c r="H24" i="304"/>
  <c r="H23" i="304"/>
  <c r="H22" i="304"/>
  <c r="H21" i="304"/>
  <c r="H19" i="304"/>
  <c r="H18" i="304"/>
  <c r="H17" i="304"/>
  <c r="H16" i="304"/>
  <c r="H14" i="304"/>
  <c r="H13" i="304"/>
  <c r="H12" i="304"/>
  <c r="H11" i="304"/>
  <c r="H10" i="304"/>
  <c r="H9" i="304"/>
  <c r="H8" i="304"/>
  <c r="H7" i="304"/>
  <c r="H6" i="304"/>
  <c r="H34" i="303"/>
  <c r="H33" i="303"/>
  <c r="H32" i="303"/>
  <c r="H31" i="303"/>
  <c r="H30" i="303"/>
  <c r="H26" i="303"/>
  <c r="E26" i="303"/>
  <c r="H24" i="303"/>
  <c r="H23" i="303"/>
  <c r="H22" i="303"/>
  <c r="H21" i="303"/>
  <c r="H19" i="303"/>
  <c r="H18" i="303"/>
  <c r="H17" i="303"/>
  <c r="H16" i="303"/>
  <c r="H14" i="303"/>
  <c r="H13" i="303"/>
  <c r="H12" i="303"/>
  <c r="H11" i="303"/>
  <c r="H10" i="303"/>
  <c r="H9" i="303"/>
  <c r="H8" i="303"/>
  <c r="H7" i="303"/>
  <c r="H6" i="303"/>
  <c r="H34" i="302"/>
  <c r="H33" i="302"/>
  <c r="H32" i="302"/>
  <c r="H31" i="302"/>
  <c r="H30" i="302"/>
  <c r="H26" i="302"/>
  <c r="E26" i="302"/>
  <c r="H24" i="302"/>
  <c r="H23" i="302"/>
  <c r="H22" i="302"/>
  <c r="H21" i="302"/>
  <c r="H19" i="302"/>
  <c r="H18" i="302"/>
  <c r="H17" i="302"/>
  <c r="H16" i="302"/>
  <c r="H14" i="302"/>
  <c r="H13" i="302"/>
  <c r="H12" i="302"/>
  <c r="H11" i="302"/>
  <c r="H10" i="302"/>
  <c r="H9" i="302"/>
  <c r="H8" i="302"/>
  <c r="H7" i="302"/>
  <c r="H6" i="302"/>
  <c r="H34" i="301"/>
  <c r="H33" i="301"/>
  <c r="H32" i="301"/>
  <c r="H31" i="301"/>
  <c r="H30" i="301"/>
  <c r="H26" i="301"/>
  <c r="E26" i="301"/>
  <c r="H24" i="301"/>
  <c r="H23" i="301"/>
  <c r="H22" i="301"/>
  <c r="H21" i="301"/>
  <c r="H19" i="301"/>
  <c r="H18" i="301"/>
  <c r="H17" i="301"/>
  <c r="H16" i="301"/>
  <c r="H14" i="301"/>
  <c r="H13" i="301"/>
  <c r="H12" i="301"/>
  <c r="H11" i="301"/>
  <c r="H10" i="301"/>
  <c r="H9" i="301"/>
  <c r="H8" i="301"/>
  <c r="H7" i="301"/>
  <c r="H6" i="301"/>
  <c r="H34" i="300"/>
  <c r="H33" i="300"/>
  <c r="H32" i="300"/>
  <c r="H31" i="300"/>
  <c r="H30" i="300"/>
  <c r="H26" i="300"/>
  <c r="E26" i="300"/>
  <c r="H24" i="300"/>
  <c r="H23" i="300"/>
  <c r="H22" i="300"/>
  <c r="H21" i="300"/>
  <c r="H19" i="300"/>
  <c r="H18" i="300"/>
  <c r="H17" i="300"/>
  <c r="H16" i="300"/>
  <c r="H14" i="300"/>
  <c r="H13" i="300"/>
  <c r="H12" i="300"/>
  <c r="H11" i="300"/>
  <c r="H10" i="300"/>
  <c r="H9" i="300"/>
  <c r="H8" i="300"/>
  <c r="H7" i="300"/>
  <c r="H6" i="300"/>
  <c r="H34" i="299"/>
  <c r="H33" i="299"/>
  <c r="H32" i="299"/>
  <c r="H31" i="299"/>
  <c r="H30" i="299"/>
  <c r="H26" i="299"/>
  <c r="E26" i="299"/>
  <c r="H24" i="299"/>
  <c r="H23" i="299"/>
  <c r="H22" i="299"/>
  <c r="H21" i="299"/>
  <c r="H19" i="299"/>
  <c r="H18" i="299"/>
  <c r="H17" i="299"/>
  <c r="H16" i="299"/>
  <c r="H14" i="299"/>
  <c r="H13" i="299"/>
  <c r="H12" i="299"/>
  <c r="H11" i="299"/>
  <c r="H10" i="299"/>
  <c r="H9" i="299"/>
  <c r="H8" i="299"/>
  <c r="H7" i="299"/>
  <c r="H6" i="299"/>
  <c r="H34" i="298"/>
  <c r="H33" i="298"/>
  <c r="H32" i="298"/>
  <c r="H31" i="298"/>
  <c r="H30" i="298"/>
  <c r="H26" i="298"/>
  <c r="E26" i="298"/>
  <c r="H24" i="298"/>
  <c r="H23" i="298"/>
  <c r="H22" i="298"/>
  <c r="H21" i="298"/>
  <c r="H19" i="298"/>
  <c r="H18" i="298"/>
  <c r="H17" i="298"/>
  <c r="H16" i="298"/>
  <c r="H14" i="298"/>
  <c r="H13" i="298"/>
  <c r="H12" i="298"/>
  <c r="H11" i="298"/>
  <c r="H10" i="298"/>
  <c r="H9" i="298"/>
  <c r="H8" i="298"/>
  <c r="H7" i="298"/>
  <c r="H6" i="298"/>
  <c r="H34" i="297"/>
  <c r="H33" i="297"/>
  <c r="H32" i="297"/>
  <c r="H31" i="297"/>
  <c r="H30" i="297"/>
  <c r="H26" i="297"/>
  <c r="E26" i="297"/>
  <c r="H24" i="297"/>
  <c r="H23" i="297"/>
  <c r="H22" i="297"/>
  <c r="H21" i="297"/>
  <c r="H19" i="297"/>
  <c r="H18" i="297"/>
  <c r="H17" i="297"/>
  <c r="H16" i="297"/>
  <c r="H14" i="297"/>
  <c r="H13" i="297"/>
  <c r="H12" i="297"/>
  <c r="H11" i="297"/>
  <c r="H10" i="297"/>
  <c r="H9" i="297"/>
  <c r="H8" i="297"/>
  <c r="H7" i="297"/>
  <c r="H6" i="297"/>
  <c r="H34" i="296"/>
  <c r="H33" i="296"/>
  <c r="H32" i="296"/>
  <c r="H31" i="296"/>
  <c r="H30" i="296"/>
  <c r="H26" i="296"/>
  <c r="E26" i="296"/>
  <c r="H24" i="296"/>
  <c r="H23" i="296"/>
  <c r="H22" i="296"/>
  <c r="H21" i="296"/>
  <c r="H19" i="296"/>
  <c r="H18" i="296"/>
  <c r="H17" i="296"/>
  <c r="H16" i="296"/>
  <c r="H14" i="296"/>
  <c r="H13" i="296"/>
  <c r="H12" i="296"/>
  <c r="H11" i="296"/>
  <c r="H10" i="296"/>
  <c r="H9" i="296"/>
  <c r="H8" i="296"/>
  <c r="H7" i="296"/>
  <c r="H6" i="296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<sst xmlns="http://schemas.openxmlformats.org/spreadsheetml/2006/main" count="1754" uniqueCount="197">
  <si>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</si>
  <si>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</si>
  <si>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</si>
  <si>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</si>
  <si>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</si>
  <si>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</si>
  <si>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</si>
  <si>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</si>
  <si>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</si>
  <si>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</si>
  <si>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</si>
  <si>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</si>
  <si>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</si>
  <si>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</si>
  <si>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</si>
  <si>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</si>
  <si>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</si>
  <si>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</si>
  <si>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</si>
  <si>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</si>
  <si>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</si>
  <si>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</si>
  <si>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</si>
  <si>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</si>
  <si>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</si>
  <si>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</si>
  <si>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</si>
  <si>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</si>
  <si>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</si>
  <si>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</si>
  <si>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</si>
  <si>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</si>
  <si>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</si>
  <si>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</si>
  <si>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</si>
  <si>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</si>
  <si>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</si>
  <si>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</si>
  <si>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</si>
  <si>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</si>
  <si>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</si>
  <si>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</si>
  <si>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</si>
  <si>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</si>
  <si>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</si>
  <si>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</si>
  <si>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Hand Length</t>
  </si>
  <si>
    <t>FTU Pants</t>
  </si>
  <si>
    <t>Email</t>
  </si>
  <si>
    <t>Extra Items</t>
  </si>
  <si>
    <t>UNI</t>
  </si>
  <si>
    <t>Last Name</t>
  </si>
  <si>
    <t>Is Male</t>
  </si>
  <si>
    <t>Hip</t>
  </si>
  <si>
    <t>Foot Len</t>
  </si>
  <si>
    <t>Foot Wid</t>
  </si>
  <si>
    <t>XXL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</si>
  <si>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</si>
  <si>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</si>
  <si>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</si>
  <si>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</si>
  <si>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</si>
  <si>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</si>
  <si>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</si>
  <si>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New Size</t>
  </si>
  <si>
    <t>4XL</t>
  </si>
  <si>
    <t>1000-21-264-2550</t>
  </si>
  <si>
    <t>Pick Up</t>
  </si>
  <si>
    <t>XL/TG</t>
  </si>
  <si>
    <t>8440-20-006-6068</t>
  </si>
  <si>
    <t>L</t>
  </si>
  <si>
    <t>8420-20-001-0734</t>
  </si>
  <si>
    <t>Female</t>
  </si>
  <si>
    <t>36 M</t>
  </si>
  <si>
    <t>1000-21-165-3600</t>
  </si>
  <si>
    <t>XS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</si>
  <si>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</si>
  <si>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</si>
  <si>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</si>
  <si>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</si>
  <si>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</si>
  <si>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</si>
  <si>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</si>
  <si>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</si>
  <si>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Taylor</t>
  </si>
  <si>
    <t>8420-20-001-0731</t>
  </si>
  <si>
    <t>320/126</t>
  </si>
  <si>
    <t>8430-20-006-2569</t>
  </si>
  <si>
    <t>8405-21-920-7275</t>
  </si>
  <si>
    <t>3XL</t>
  </si>
  <si>
    <t>1000-21-215-7662</t>
  </si>
  <si>
    <t>L (56 inch)</t>
  </si>
  <si>
    <t>8440-21-899-1182</t>
  </si>
  <si>
    <t>Column3</t>
  </si>
  <si>
    <t>NameTag</t>
  </si>
  <si>
    <t>Charlie</t>
  </si>
  <si>
    <t>Not Done</t>
  </si>
  <si>
    <t>In Progress</t>
  </si>
  <si>
    <t>Done</t>
  </si>
  <si>
    <t>Name Colors:</t>
  </si>
  <si>
    <t>Clark</t>
  </si>
  <si>
    <t>74CD899D</t>
  </si>
  <si>
    <t>8405-21-910-8155</t>
  </si>
  <si>
    <t>16-1/2</t>
  </si>
  <si>
    <t>8405-20-001-4512</t>
  </si>
  <si>
    <t>1000-21-070-7058</t>
  </si>
  <si>
    <t>8405-20-004-7489</t>
  </si>
  <si>
    <t>Clark, Charlie</t>
  </si>
  <si>
    <t>Isabella</t>
  </si>
  <si>
    <t>D098F288</t>
  </si>
  <si>
    <t>1000-21-059-8040</t>
  </si>
  <si>
    <t>8405-20-004-7500</t>
  </si>
  <si>
    <t>16D</t>
  </si>
  <si>
    <t>8430-20-A0X-9353</t>
  </si>
  <si>
    <t>Taylor, Isabella</t>
  </si>
  <si>
    <t>UNP, In Stock</t>
  </si>
  <si>
    <t>Cadet Last Name</t>
  </si>
  <si>
    <t>Cadet First Name</t>
  </si>
  <si>
    <t>M Pants</t>
  </si>
  <si>
    <t>F Pants</t>
  </si>
  <si>
    <t>M Shirt</t>
  </si>
  <si>
    <t>F Shirt</t>
  </si>
  <si>
    <t>TShirt</t>
  </si>
  <si>
    <t>Pant Belt</t>
  </si>
  <si>
    <t>Boots</t>
  </si>
  <si>
    <t>FTU Shirt</t>
  </si>
  <si>
    <t>M</t>
  </si>
  <si>
    <t>Reg</t>
  </si>
  <si>
    <t>?</t>
  </si>
  <si>
    <t>Measure</t>
  </si>
  <si>
    <t>XL</t>
  </si>
  <si>
    <t>X-Long</t>
  </si>
  <si>
    <t>S</t>
  </si>
  <si>
    <t>Short</t>
  </si>
  <si>
    <t>265/96</t>
  </si>
  <si>
    <t>Rob</t>
  </si>
  <si>
    <t>Banks</t>
  </si>
  <si>
    <t>Mike</t>
  </si>
  <si>
    <t>Rophone</t>
  </si>
  <si>
    <t>Jesus</t>
  </si>
  <si>
    <t>Christ</t>
  </si>
  <si>
    <t>Dia</t>
  </si>
  <si>
    <t>Rhea</t>
  </si>
  <si>
    <t>AC</t>
  </si>
  <si>
    <t>B4DD32A8</t>
  </si>
  <si>
    <t>8405-21-905-7822</t>
  </si>
  <si>
    <t>8405-20-001-4510</t>
  </si>
  <si>
    <t>8420-20-001-0730</t>
  </si>
  <si>
    <t>8405-21-909-2448</t>
  </si>
  <si>
    <t>8405-20-003-5842</t>
  </si>
  <si>
    <t>Invalid</t>
  </si>
  <si>
    <t>8405-21-920-7277</t>
  </si>
  <si>
    <t>8405-20-013-1472</t>
  </si>
  <si>
    <t>8405-20-004-7486</t>
  </si>
  <si>
    <t>8405-20-004-7510</t>
  </si>
  <si>
    <t>747A9E83</t>
  </si>
  <si>
    <t>1000-21-059-8046</t>
  </si>
  <si>
    <t>8420-20-001-0732</t>
  </si>
  <si>
    <t>8405-21-909-2424</t>
  </si>
  <si>
    <t>8405-21-920-7280</t>
  </si>
  <si>
    <t>8405-20-004-7502</t>
  </si>
  <si>
    <t>8405-20-004-7526</t>
  </si>
  <si>
    <t>8405-20-001-4538</t>
  </si>
  <si>
    <t>8405-21-909-2390</t>
  </si>
  <si>
    <t>8405-20-004-7485</t>
  </si>
  <si>
    <t>8405-20-004-7507</t>
  </si>
  <si>
    <t>A5D0E0B7</t>
  </si>
  <si>
    <t>8405-21-905-7817</t>
  </si>
  <si>
    <t>8405-20-001-4501</t>
  </si>
  <si>
    <t>8420-20-001-0728</t>
  </si>
  <si>
    <t>8405-21-909-2441</t>
  </si>
  <si>
    <t>8440-20-006-6070</t>
  </si>
  <si>
    <t>8430-20-006-2534</t>
  </si>
  <si>
    <t>8405-20-004-7483</t>
  </si>
  <si>
    <t>Dia, Rhea</t>
  </si>
  <si>
    <t>Rob, Banks</t>
  </si>
  <si>
    <t>Mike, Rophone</t>
  </si>
  <si>
    <t>Jesus, Christ</t>
  </si>
  <si>
    <t>E6C44BB8</t>
  </si>
  <si>
    <t>55C4C183</t>
  </si>
  <si>
    <t>64EC6E84</t>
  </si>
  <si>
    <t>C938A5B0</t>
  </si>
  <si>
    <t>3843859F</t>
  </si>
  <si>
    <t>466A21A0</t>
  </si>
  <si>
    <t>ACB6599D</t>
  </si>
  <si>
    <t>6D74C5A2</t>
  </si>
  <si>
    <t>009907AE</t>
  </si>
  <si>
    <t>075E95A3</t>
  </si>
  <si>
    <t>1CB2AEBC</t>
  </si>
  <si>
    <t>D874C084</t>
  </si>
  <si>
    <t>6D7376B0</t>
  </si>
  <si>
    <t>705CF08B</t>
  </si>
  <si>
    <t>3DB5A497</t>
  </si>
  <si>
    <t>DEE84589</t>
  </si>
  <si>
    <t>011D10BB</t>
  </si>
  <si>
    <t>B5B783A3</t>
  </si>
  <si>
    <t>772C83B6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</si>
</sst>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0FFB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9" borderId="0" xfId="0" applyFill="1"/>
    <xf numFmtId="0" fontId="12" fillId="8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" fillId="13" borderId="0" xfId="3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2" fillId="0" borderId="0" xfId="3"/>
    <xf numFmtId="0" fontId="13" fillId="0" borderId="1" xfId="0" applyFont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0" fontId="0" fillId="21" borderId="0" xfId="0" applyFill="1"/>
    <xf numFmtId="0" fontId="0" fillId="20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251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250"/>
      <tableStyleElement type="headerRow" dxfId="249"/>
      <tableStyleElement type="firstRowStripe" dxfId="248"/>
      <tableStyleElement type="secondRowStripe" dxfId="247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283623</xdr:colOff>
      <xdr:row>0</xdr:row>
      <xdr:rowOff>251011</xdr:rowOff>
    </xdr:from>
    <xdr:to>
      <xdr:col>7</xdr:col>
      <xdr:colOff>421342</xdr:colOff>
      <xdr:row>1</xdr:row>
      <xdr:rowOff>131221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251014</xdr:colOff>
      <xdr:row>3</xdr:row>
      <xdr:rowOff>2800</xdr:rowOff>
    </xdr:from>
    <xdr:to>
      <xdr:col>7</xdr:col>
      <xdr:colOff>439272</xdr:colOff>
      <xdr:row>5</xdr:row>
      <xdr:rowOff>22188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251012</xdr:colOff>
      <xdr:row>10</xdr:row>
      <xdr:rowOff>11313</xdr:rowOff>
    </xdr:from>
    <xdr:to>
      <xdr:col>7</xdr:col>
      <xdr:colOff>436805</xdr:colOff>
      <xdr:row>12</xdr:row>
      <xdr:rowOff>55469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251013</xdr:colOff>
      <xdr:row>6</xdr:row>
      <xdr:rowOff>146572</xdr:rowOff>
    </xdr:from>
    <xdr:to>
      <xdr:col>7</xdr:col>
      <xdr:colOff>436021</xdr:colOff>
      <xdr:row>8</xdr:row>
      <xdr:rowOff>74628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172794</xdr:colOff>
      <xdr:row>0</xdr:row>
      <xdr:rowOff>97264</xdr:rowOff>
    </xdr:from>
    <xdr:to>
      <xdr:col>16</xdr:col>
      <xdr:colOff>173579</xdr:colOff>
      <xdr:row>0</xdr:row>
      <xdr:rowOff>512331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0</xdr:row>
          <xdr:rowOff>53340</xdr:rowOff>
        </xdr:from>
        <xdr:to>
          <xdr:col>24</xdr:col>
          <xdr:colOff>533400</xdr:colOff>
          <xdr:row>0</xdr:row>
          <xdr:rowOff>441960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2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24</xdr:col>
          <xdr:colOff>0</xdr:colOff>
          <xdr:row>2</xdr:row>
          <xdr:rowOff>0</xdr:rowOff>
        </xdr:to>
        <xdr:sp macro="" textlink="">
          <xdr:nvSpPr>
            <xdr:cNvPr id="164007" name="Complete1" hidden="1">
              <a:extLst>
                <a:ext uri="{63B3BB69-23CF-44E3-9099-C40C66FF867C}">
                  <a14:compatExt spid="_x0000_s164007"/>
                </a:ext>
                <a:ext uri="{FF2B5EF4-FFF2-40B4-BE49-F238E27FC236}">
                  <a16:creationId xmlns:a16="http://schemas.microsoft.com/office/drawing/2014/main" id="{00000000-0008-0000-0200-0000A7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64008" name="Complete2" hidden="1">
              <a:extLst>
                <a:ext uri="{63B3BB69-23CF-44E3-9099-C40C66FF867C}">
                  <a14:compatExt spid="_x0000_s164008"/>
                </a:ext>
                <a:ext uri="{FF2B5EF4-FFF2-40B4-BE49-F238E27FC236}">
                  <a16:creationId xmlns:a16="http://schemas.microsoft.com/office/drawing/2014/main" id="{00000000-0008-0000-0200-0000A8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164009" name="Complete3" hidden="1">
              <a:extLst>
                <a:ext uri="{63B3BB69-23CF-44E3-9099-C40C66FF867C}">
                  <a14:compatExt spid="_x0000_s164009"/>
                </a:ext>
                <a:ext uri="{FF2B5EF4-FFF2-40B4-BE49-F238E27FC236}">
                  <a16:creationId xmlns:a16="http://schemas.microsoft.com/office/drawing/2014/main" id="{00000000-0008-0000-0200-0000A9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17929</xdr:rowOff>
    </xdr:from>
    <xdr:to>
      <xdr:col>22</xdr:col>
      <xdr:colOff>857922</xdr:colOff>
      <xdr:row>0</xdr:row>
      <xdr:rowOff>325195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60274" name="Toggle2" hidden="1">
              <a:extLst>
                <a:ext uri="{63B3BB69-23CF-44E3-9099-C40C66FF867C}">
                  <a14:compatExt spid="_x0000_s260274"/>
                </a:ext>
                <a:ext uri="{FF2B5EF4-FFF2-40B4-BE49-F238E27FC236}">
                  <a16:creationId xmlns:a16="http://schemas.microsoft.com/office/drawing/2014/main" id="{00000000-0008-0000-0400-0000B2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60275" name="Toggle3" hidden="1">
              <a:extLst>
                <a:ext uri="{63B3BB69-23CF-44E3-9099-C40C66FF867C}">
                  <a14:compatExt spid="_x0000_s260275"/>
                </a:ext>
                <a:ext uri="{FF2B5EF4-FFF2-40B4-BE49-F238E27FC236}">
                  <a16:creationId xmlns:a16="http://schemas.microsoft.com/office/drawing/2014/main" id="{00000000-0008-0000-0400-0000B3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260276" name="Toggle4" hidden="1">
              <a:extLst>
                <a:ext uri="{63B3BB69-23CF-44E3-9099-C40C66FF867C}">
                  <a14:compatExt spid="_x0000_s260276"/>
                </a:ext>
                <a:ext uri="{FF2B5EF4-FFF2-40B4-BE49-F238E27FC236}">
                  <a16:creationId xmlns:a16="http://schemas.microsoft.com/office/drawing/2014/main" id="{00000000-0008-0000-0400-0000B4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5</xdr:row>
          <xdr:rowOff>0</xdr:rowOff>
        </xdr:from>
        <xdr:to>
          <xdr:col>23</xdr:col>
          <xdr:colOff>0</xdr:colOff>
          <xdr:row>6</xdr:row>
          <xdr:rowOff>0</xdr:rowOff>
        </xdr:to>
        <xdr:sp macro="" textlink="">
          <xdr:nvSpPr>
            <xdr:cNvPr id="260277" name="Toggle5" hidden="1">
              <a:extLst>
                <a:ext uri="{63B3BB69-23CF-44E3-9099-C40C66FF867C}">
                  <a14:compatExt spid="_x0000_s260277"/>
                </a:ext>
                <a:ext uri="{FF2B5EF4-FFF2-40B4-BE49-F238E27FC236}">
                  <a16:creationId xmlns:a16="http://schemas.microsoft.com/office/drawing/2014/main" id="{00000000-0008-0000-0400-0000B5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60278" name="Toggle6" hidden="1">
              <a:extLst>
                <a:ext uri="{63B3BB69-23CF-44E3-9099-C40C66FF867C}">
                  <a14:compatExt spid="_x0000_s260278"/>
                </a:ext>
                <a:ext uri="{FF2B5EF4-FFF2-40B4-BE49-F238E27FC236}">
                  <a16:creationId xmlns:a16="http://schemas.microsoft.com/office/drawing/2014/main" id="{00000000-0008-0000-0400-0000B6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7</xdr:row>
          <xdr:rowOff>0</xdr:rowOff>
        </xdr:from>
        <xdr:to>
          <xdr:col>23</xdr:col>
          <xdr:colOff>0</xdr:colOff>
          <xdr:row>8</xdr:row>
          <xdr:rowOff>0</xdr:rowOff>
        </xdr:to>
        <xdr:sp macro="" textlink="">
          <xdr:nvSpPr>
            <xdr:cNvPr id="260279" name="Toggle7" hidden="1">
              <a:extLst>
                <a:ext uri="{63B3BB69-23CF-44E3-9099-C40C66FF867C}">
                  <a14:compatExt spid="_x0000_s260279"/>
                </a:ext>
                <a:ext uri="{FF2B5EF4-FFF2-40B4-BE49-F238E27FC236}">
                  <a16:creationId xmlns:a16="http://schemas.microsoft.com/office/drawing/2014/main" id="{00000000-0008-0000-0400-0000B7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</xdr:row>
          <xdr:rowOff>0</xdr:rowOff>
        </xdr:from>
        <xdr:to>
          <xdr:col>23</xdr:col>
          <xdr:colOff>0</xdr:colOff>
          <xdr:row>9</xdr:row>
          <xdr:rowOff>0</xdr:rowOff>
        </xdr:to>
        <xdr:sp macro="" textlink="">
          <xdr:nvSpPr>
            <xdr:cNvPr id="260280" name="Toggle8" hidden="1">
              <a:extLst>
                <a:ext uri="{63B3BB69-23CF-44E3-9099-C40C66FF867C}">
                  <a14:compatExt spid="_x0000_s260280"/>
                </a:ext>
                <a:ext uri="{FF2B5EF4-FFF2-40B4-BE49-F238E27FC236}">
                  <a16:creationId xmlns:a16="http://schemas.microsoft.com/office/drawing/2014/main" id="{00000000-0008-0000-0400-0000B8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9</xdr:row>
          <xdr:rowOff>0</xdr:rowOff>
        </xdr:from>
        <xdr:to>
          <xdr:col>23</xdr:col>
          <xdr:colOff>0</xdr:colOff>
          <xdr:row>10</xdr:row>
          <xdr:rowOff>0</xdr:rowOff>
        </xdr:to>
        <xdr:sp macro="" textlink="">
          <xdr:nvSpPr>
            <xdr:cNvPr id="260281" name="Toggle9" hidden="1">
              <a:extLst>
                <a:ext uri="{63B3BB69-23CF-44E3-9099-C40C66FF867C}">
                  <a14:compatExt spid="_x0000_s260281"/>
                </a:ext>
                <a:ext uri="{FF2B5EF4-FFF2-40B4-BE49-F238E27FC236}">
                  <a16:creationId xmlns:a16="http://schemas.microsoft.com/office/drawing/2014/main" id="{00000000-0008-0000-0400-0000B9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260282" name="Toggle10" hidden="1">
              <a:extLst>
                <a:ext uri="{63B3BB69-23CF-44E3-9099-C40C66FF867C}">
                  <a14:compatExt spid="_x0000_s260282"/>
                </a:ext>
                <a:ext uri="{FF2B5EF4-FFF2-40B4-BE49-F238E27FC236}">
                  <a16:creationId xmlns:a16="http://schemas.microsoft.com/office/drawing/2014/main" id="{00000000-0008-0000-0400-0000BA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11</xdr:row>
          <xdr:rowOff>0</xdr:rowOff>
        </xdr:from>
        <xdr:to>
          <xdr:col>23</xdr:col>
          <xdr:colOff>0</xdr:colOff>
          <xdr:row>12</xdr:row>
          <xdr:rowOff>0</xdr:rowOff>
        </xdr:to>
        <xdr:sp macro="" textlink="">
          <xdr:nvSpPr>
            <xdr:cNvPr id="260283" name="Toggle11" hidden="1">
              <a:extLst>
                <a:ext uri="{63B3BB69-23CF-44E3-9099-C40C66FF867C}">
                  <a14:compatExt spid="_x0000_s260283"/>
                </a:ext>
                <a:ext uri="{FF2B5EF4-FFF2-40B4-BE49-F238E27FC236}">
                  <a16:creationId xmlns:a16="http://schemas.microsoft.com/office/drawing/2014/main" id="{00000000-0008-0000-0400-0000BB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12</xdr:row>
          <xdr:rowOff>0</xdr:rowOff>
        </xdr:from>
        <xdr:to>
          <xdr:col>23</xdr:col>
          <xdr:colOff>0</xdr:colOff>
          <xdr:row>13</xdr:row>
          <xdr:rowOff>0</xdr:rowOff>
        </xdr:to>
        <xdr:sp macro="" textlink="">
          <xdr:nvSpPr>
            <xdr:cNvPr id="260284" name="Toggle12" hidden="1">
              <a:extLst>
                <a:ext uri="{63B3BB69-23CF-44E3-9099-C40C66FF867C}">
                  <a14:compatExt spid="_x0000_s260284"/>
                </a:ext>
                <a:ext uri="{FF2B5EF4-FFF2-40B4-BE49-F238E27FC236}">
                  <a16:creationId xmlns:a16="http://schemas.microsoft.com/office/drawing/2014/main" id="{00000000-0008-0000-0400-0000BC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13</xdr:row>
          <xdr:rowOff>0</xdr:rowOff>
        </xdr:from>
        <xdr:to>
          <xdr:col>23</xdr:col>
          <xdr:colOff>0</xdr:colOff>
          <xdr:row>14</xdr:row>
          <xdr:rowOff>0</xdr:rowOff>
        </xdr:to>
        <xdr:sp macro="" textlink="">
          <xdr:nvSpPr>
            <xdr:cNvPr id="260285" name="Toggle13" hidden="1">
              <a:extLst>
                <a:ext uri="{63B3BB69-23CF-44E3-9099-C40C66FF867C}">
                  <a14:compatExt spid="_x0000_s260285"/>
                </a:ext>
                <a:ext uri="{FF2B5EF4-FFF2-40B4-BE49-F238E27FC236}">
                  <a16:creationId xmlns:a16="http://schemas.microsoft.com/office/drawing/2014/main" id="{00000000-0008-0000-0400-0000BD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14</xdr:row>
          <xdr:rowOff>0</xdr:rowOff>
        </xdr:from>
        <xdr:to>
          <xdr:col>23</xdr:col>
          <xdr:colOff>0</xdr:colOff>
          <xdr:row>15</xdr:row>
          <xdr:rowOff>0</xdr:rowOff>
        </xdr:to>
        <xdr:sp macro="" textlink="">
          <xdr:nvSpPr>
            <xdr:cNvPr id="260286" name="Toggle14" hidden="1">
              <a:extLst>
                <a:ext uri="{63B3BB69-23CF-44E3-9099-C40C66FF867C}">
                  <a14:compatExt spid="_x0000_s260286"/>
                </a:ext>
                <a:ext uri="{FF2B5EF4-FFF2-40B4-BE49-F238E27FC236}">
                  <a16:creationId xmlns:a16="http://schemas.microsoft.com/office/drawing/2014/main" id="{00000000-0008-0000-0400-0000BE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05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05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17443" name="Button 3" hidden="1">
              <a:extLst>
                <a:ext uri="{63B3BB69-23CF-44E3-9099-C40C66FF867C}">
                  <a14:compatExt spid="_x0000_s317443"/>
                </a:ext>
                <a:ext uri="{FF2B5EF4-FFF2-40B4-BE49-F238E27FC236}">
                  <a16:creationId xmlns:a16="http://schemas.microsoft.com/office/drawing/2014/main" id="{00000000-0008-0000-0500-000003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17444" name="Button 4" hidden="1">
              <a:extLst>
                <a:ext uri="{63B3BB69-23CF-44E3-9099-C40C66FF867C}">
                  <a14:compatExt spid="_x0000_s317444"/>
                </a:ext>
                <a:ext uri="{FF2B5EF4-FFF2-40B4-BE49-F238E27FC236}">
                  <a16:creationId xmlns:a16="http://schemas.microsoft.com/office/drawing/2014/main" id="{00000000-0008-0000-0500-000004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17445" name="Button 5" hidden="1">
              <a:extLst>
                <a:ext uri="{63B3BB69-23CF-44E3-9099-C40C66FF867C}">
                  <a14:compatExt spid="_x0000_s317445"/>
                </a:ext>
                <a:ext uri="{FF2B5EF4-FFF2-40B4-BE49-F238E27FC236}">
                  <a16:creationId xmlns:a16="http://schemas.microsoft.com/office/drawing/2014/main" id="{00000000-0008-0000-0500-000005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06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18466" name="Button 2" hidden="1">
              <a:extLst>
                <a:ext uri="{63B3BB69-23CF-44E3-9099-C40C66FF867C}">
                  <a14:compatExt spid="_x0000_s318466"/>
                </a:ext>
                <a:ext uri="{FF2B5EF4-FFF2-40B4-BE49-F238E27FC236}">
                  <a16:creationId xmlns:a16="http://schemas.microsoft.com/office/drawing/2014/main" id="{00000000-0008-0000-0600-000002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18467" name="Button 3" hidden="1">
              <a:extLst>
                <a:ext uri="{63B3BB69-23CF-44E3-9099-C40C66FF867C}">
                  <a14:compatExt spid="_x0000_s318467"/>
                </a:ext>
                <a:ext uri="{FF2B5EF4-FFF2-40B4-BE49-F238E27FC236}">
                  <a16:creationId xmlns:a16="http://schemas.microsoft.com/office/drawing/2014/main" id="{00000000-0008-0000-0600-000003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18468" name="Button 4" hidden="1">
              <a:extLst>
                <a:ext uri="{63B3BB69-23CF-44E3-9099-C40C66FF867C}">
                  <a14:compatExt spid="_x0000_s318468"/>
                </a:ext>
                <a:ext uri="{FF2B5EF4-FFF2-40B4-BE49-F238E27FC236}">
                  <a16:creationId xmlns:a16="http://schemas.microsoft.com/office/drawing/2014/main" id="{00000000-0008-0000-0600-000004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18469" name="Button 5" hidden="1">
              <a:extLst>
                <a:ext uri="{63B3BB69-23CF-44E3-9099-C40C66FF867C}">
                  <a14:compatExt spid="_x0000_s318469"/>
                </a:ext>
                <a:ext uri="{FF2B5EF4-FFF2-40B4-BE49-F238E27FC236}">
                  <a16:creationId xmlns:a16="http://schemas.microsoft.com/office/drawing/2014/main" id="{00000000-0008-0000-0600-000005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07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19490" name="Button 2" hidden="1">
              <a:extLst>
                <a:ext uri="{63B3BB69-23CF-44E3-9099-C40C66FF867C}">
                  <a14:compatExt spid="_x0000_s319490"/>
                </a:ext>
                <a:ext uri="{FF2B5EF4-FFF2-40B4-BE49-F238E27FC236}">
                  <a16:creationId xmlns:a16="http://schemas.microsoft.com/office/drawing/2014/main" id="{00000000-0008-0000-0700-000002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19491" name="Button 3" hidden="1">
              <a:extLst>
                <a:ext uri="{63B3BB69-23CF-44E3-9099-C40C66FF867C}">
                  <a14:compatExt spid="_x0000_s319491"/>
                </a:ext>
                <a:ext uri="{FF2B5EF4-FFF2-40B4-BE49-F238E27FC236}">
                  <a16:creationId xmlns:a16="http://schemas.microsoft.com/office/drawing/2014/main" id="{00000000-0008-0000-0700-000003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19492" name="Button 4" hidden="1">
              <a:extLst>
                <a:ext uri="{63B3BB69-23CF-44E3-9099-C40C66FF867C}">
                  <a14:compatExt spid="_x0000_s319492"/>
                </a:ext>
                <a:ext uri="{FF2B5EF4-FFF2-40B4-BE49-F238E27FC236}">
                  <a16:creationId xmlns:a16="http://schemas.microsoft.com/office/drawing/2014/main" id="{00000000-0008-0000-0700-000004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19493" name="Button 5" hidden="1">
              <a:extLst>
                <a:ext uri="{63B3BB69-23CF-44E3-9099-C40C66FF867C}">
                  <a14:compatExt spid="_x0000_s319493"/>
                </a:ext>
                <a:ext uri="{FF2B5EF4-FFF2-40B4-BE49-F238E27FC236}">
                  <a16:creationId xmlns:a16="http://schemas.microsoft.com/office/drawing/2014/main" id="{00000000-0008-0000-0700-000005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08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20514" name="Button 2" hidden="1">
              <a:extLst>
                <a:ext uri="{63B3BB69-23CF-44E3-9099-C40C66FF867C}">
                  <a14:compatExt spid="_x0000_s320514"/>
                </a:ext>
                <a:ext uri="{FF2B5EF4-FFF2-40B4-BE49-F238E27FC236}">
                  <a16:creationId xmlns:a16="http://schemas.microsoft.com/office/drawing/2014/main" id="{00000000-0008-0000-0800-000002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20515" name="Button 3" hidden="1">
              <a:extLst>
                <a:ext uri="{63B3BB69-23CF-44E3-9099-C40C66FF867C}">
                  <a14:compatExt spid="_x0000_s320515"/>
                </a:ext>
                <a:ext uri="{FF2B5EF4-FFF2-40B4-BE49-F238E27FC236}">
                  <a16:creationId xmlns:a16="http://schemas.microsoft.com/office/drawing/2014/main" id="{00000000-0008-0000-0800-000003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20516" name="Button 4" hidden="1">
              <a:extLst>
                <a:ext uri="{63B3BB69-23CF-44E3-9099-C40C66FF867C}">
                  <a14:compatExt spid="_x0000_s320516"/>
                </a:ext>
                <a:ext uri="{FF2B5EF4-FFF2-40B4-BE49-F238E27FC236}">
                  <a16:creationId xmlns:a16="http://schemas.microsoft.com/office/drawing/2014/main" id="{00000000-0008-0000-0800-000004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20517" name="Button 5" hidden="1">
              <a:extLst>
                <a:ext uri="{63B3BB69-23CF-44E3-9099-C40C66FF867C}">
                  <a14:compatExt spid="_x0000_s320517"/>
                </a:ext>
                <a:ext uri="{FF2B5EF4-FFF2-40B4-BE49-F238E27FC236}">
                  <a16:creationId xmlns:a16="http://schemas.microsoft.com/office/drawing/2014/main" id="{00000000-0008-0000-0800-000005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21538" name="Button 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21539" name="Button 3" hidden="1">
              <a:extLst>
                <a:ext uri="{63B3BB69-23CF-44E3-9099-C40C66FF867C}">
                  <a14:compatExt spid="_x0000_s321539"/>
                </a:ext>
                <a:ext uri="{FF2B5EF4-FFF2-40B4-BE49-F238E27FC236}">
                  <a16:creationId xmlns:a16="http://schemas.microsoft.com/office/drawing/2014/main" id="{00000000-0008-0000-0900-000003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21540" name="Button 4" hidden="1">
              <a:extLst>
                <a:ext uri="{63B3BB69-23CF-44E3-9099-C40C66FF867C}">
                  <a14:compatExt spid="_x0000_s321540"/>
                </a:ext>
                <a:ext uri="{FF2B5EF4-FFF2-40B4-BE49-F238E27FC236}">
                  <a16:creationId xmlns:a16="http://schemas.microsoft.com/office/drawing/2014/main" id="{00000000-0008-0000-0900-000004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21541" name="Button 5" hidden="1">
              <a:extLst>
                <a:ext uri="{63B3BB69-23CF-44E3-9099-C40C66FF867C}">
                  <a14:compatExt spid="_x0000_s321541"/>
                </a:ext>
                <a:ext uri="{FF2B5EF4-FFF2-40B4-BE49-F238E27FC236}">
                  <a16:creationId xmlns:a16="http://schemas.microsoft.com/office/drawing/2014/main" id="{00000000-0008-0000-0900-000005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  <a:ext uri="{FF2B5EF4-FFF2-40B4-BE49-F238E27FC236}">
                  <a16:creationId xmlns:a16="http://schemas.microsoft.com/office/drawing/2014/main" id="{00000000-0008-0000-0A00-000001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22562" name="Button 2" hidden="1">
              <a:extLst>
                <a:ext uri="{63B3BB69-23CF-44E3-9099-C40C66FF867C}">
                  <a14:compatExt spid="_x0000_s322562"/>
                </a:ext>
                <a:ext uri="{FF2B5EF4-FFF2-40B4-BE49-F238E27FC236}">
                  <a16:creationId xmlns:a16="http://schemas.microsoft.com/office/drawing/2014/main" id="{00000000-0008-0000-0A00-000002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22563" name="Button 3" hidden="1">
              <a:extLst>
                <a:ext uri="{63B3BB69-23CF-44E3-9099-C40C66FF867C}">
                  <a14:compatExt spid="_x0000_s322563"/>
                </a:ext>
                <a:ext uri="{FF2B5EF4-FFF2-40B4-BE49-F238E27FC236}">
                  <a16:creationId xmlns:a16="http://schemas.microsoft.com/office/drawing/2014/main" id="{00000000-0008-0000-0A00-000003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22564" name="Button 4" hidden="1">
              <a:extLst>
                <a:ext uri="{63B3BB69-23CF-44E3-9099-C40C66FF867C}">
                  <a14:compatExt spid="_x0000_s322564"/>
                </a:ext>
                <a:ext uri="{FF2B5EF4-FFF2-40B4-BE49-F238E27FC236}">
                  <a16:creationId xmlns:a16="http://schemas.microsoft.com/office/drawing/2014/main" id="{00000000-0008-0000-0A00-000004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22565" name="Button 5" hidden="1">
              <a:extLst>
                <a:ext uri="{63B3BB69-23CF-44E3-9099-C40C66FF867C}">
                  <a14:compatExt spid="_x0000_s322565"/>
                </a:ext>
                <a:ext uri="{FF2B5EF4-FFF2-40B4-BE49-F238E27FC236}">
                  <a16:creationId xmlns:a16="http://schemas.microsoft.com/office/drawing/2014/main" id="{00000000-0008-0000-0A00-000005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0B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0B00-000002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0B00-000003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0B00-000004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23589" name="Button 5" hidden="1">
              <a:extLst>
                <a:ext uri="{63B3BB69-23CF-44E3-9099-C40C66FF867C}">
                  <a14:compatExt spid="_x0000_s323589"/>
                </a:ext>
                <a:ext uri="{FF2B5EF4-FFF2-40B4-BE49-F238E27FC236}">
                  <a16:creationId xmlns:a16="http://schemas.microsoft.com/office/drawing/2014/main" id="{00000000-0008-0000-0B00-000005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24609" name="Button 1" hidden="1">
              <a:extLst>
                <a:ext uri="{63B3BB69-23CF-44E3-9099-C40C66FF867C}">
                  <a14:compatExt spid="_x0000_s324609"/>
                </a:ext>
                <a:ext uri="{FF2B5EF4-FFF2-40B4-BE49-F238E27FC236}">
                  <a16:creationId xmlns:a16="http://schemas.microsoft.com/office/drawing/2014/main" id="{00000000-0008-0000-0C00-000001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24610" name="Button 2" hidden="1">
              <a:extLst>
                <a:ext uri="{63B3BB69-23CF-44E3-9099-C40C66FF867C}">
                  <a14:compatExt spid="_x0000_s324610"/>
                </a:ext>
                <a:ext uri="{FF2B5EF4-FFF2-40B4-BE49-F238E27FC236}">
                  <a16:creationId xmlns:a16="http://schemas.microsoft.com/office/drawing/2014/main" id="{00000000-0008-0000-0C00-000002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24611" name="Button 3" hidden="1">
              <a:extLst>
                <a:ext uri="{63B3BB69-23CF-44E3-9099-C40C66FF867C}">
                  <a14:compatExt spid="_x0000_s324611"/>
                </a:ext>
                <a:ext uri="{FF2B5EF4-FFF2-40B4-BE49-F238E27FC236}">
                  <a16:creationId xmlns:a16="http://schemas.microsoft.com/office/drawing/2014/main" id="{00000000-0008-0000-0C00-000003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24612" name="Button 4" hidden="1">
              <a:extLst>
                <a:ext uri="{63B3BB69-23CF-44E3-9099-C40C66FF867C}">
                  <a14:compatExt spid="_x0000_s324612"/>
                </a:ext>
                <a:ext uri="{FF2B5EF4-FFF2-40B4-BE49-F238E27FC236}">
                  <a16:creationId xmlns:a16="http://schemas.microsoft.com/office/drawing/2014/main" id="{00000000-0008-0000-0C00-000004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24613" name="Button 5" hidden="1">
              <a:extLst>
                <a:ext uri="{63B3BB69-23CF-44E3-9099-C40C66FF867C}">
                  <a14:compatExt spid="_x0000_s324613"/>
                </a:ext>
                <a:ext uri="{FF2B5EF4-FFF2-40B4-BE49-F238E27FC236}">
                  <a16:creationId xmlns:a16="http://schemas.microsoft.com/office/drawing/2014/main" id="{00000000-0008-0000-0C00-000005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25633" name="Button 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D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25634" name="Button 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D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25635" name="Button 3" hidden="1">
              <a:extLst>
                <a:ext uri="{63B3BB69-23CF-44E3-9099-C40C66FF867C}">
                  <a14:compatExt spid="_x0000_s325635"/>
                </a:ext>
                <a:ext uri="{FF2B5EF4-FFF2-40B4-BE49-F238E27FC236}">
                  <a16:creationId xmlns:a16="http://schemas.microsoft.com/office/drawing/2014/main" id="{00000000-0008-0000-0D00-000003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25636" name="Button 4" hidden="1">
              <a:extLst>
                <a:ext uri="{63B3BB69-23CF-44E3-9099-C40C66FF867C}">
                  <a14:compatExt spid="_x0000_s325636"/>
                </a:ext>
                <a:ext uri="{FF2B5EF4-FFF2-40B4-BE49-F238E27FC236}">
                  <a16:creationId xmlns:a16="http://schemas.microsoft.com/office/drawing/2014/main" id="{00000000-0008-0000-0D00-000004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25637" name="Button 5" hidden="1">
              <a:extLst>
                <a:ext uri="{63B3BB69-23CF-44E3-9099-C40C66FF867C}">
                  <a14:compatExt spid="_x0000_s325637"/>
                </a:ext>
                <a:ext uri="{FF2B5EF4-FFF2-40B4-BE49-F238E27FC236}">
                  <a16:creationId xmlns:a16="http://schemas.microsoft.com/office/drawing/2014/main" id="{00000000-0008-0000-0D00-000005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26657" name="Button 1" hidden="1">
              <a:extLst>
                <a:ext uri="{63B3BB69-23CF-44E3-9099-C40C66FF867C}">
                  <a14:compatExt spid="_x0000_s326657"/>
                </a:ext>
                <a:ext uri="{FF2B5EF4-FFF2-40B4-BE49-F238E27FC236}">
                  <a16:creationId xmlns:a16="http://schemas.microsoft.com/office/drawing/2014/main" id="{00000000-0008-0000-0E00-000001F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26658" name="Button 2" hidden="1">
              <a:extLst>
                <a:ext uri="{63B3BB69-23CF-44E3-9099-C40C66FF867C}">
                  <a14:compatExt spid="_x0000_s326658"/>
                </a:ext>
                <a:ext uri="{FF2B5EF4-FFF2-40B4-BE49-F238E27FC236}">
                  <a16:creationId xmlns:a16="http://schemas.microsoft.com/office/drawing/2014/main" id="{00000000-0008-0000-0E00-000002F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26659" name="Button 3" hidden="1">
              <a:extLst>
                <a:ext uri="{63B3BB69-23CF-44E3-9099-C40C66FF867C}">
                  <a14:compatExt spid="_x0000_s326659"/>
                </a:ext>
                <a:ext uri="{FF2B5EF4-FFF2-40B4-BE49-F238E27FC236}">
                  <a16:creationId xmlns:a16="http://schemas.microsoft.com/office/drawing/2014/main" id="{00000000-0008-0000-0E00-000003F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26660" name="Button 4" hidden="1">
              <a:extLst>
                <a:ext uri="{63B3BB69-23CF-44E3-9099-C40C66FF867C}">
                  <a14:compatExt spid="_x0000_s326660"/>
                </a:ext>
                <a:ext uri="{FF2B5EF4-FFF2-40B4-BE49-F238E27FC236}">
                  <a16:creationId xmlns:a16="http://schemas.microsoft.com/office/drawing/2014/main" id="{00000000-0008-0000-0E00-000004F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26661" name="Button 5" hidden="1">
              <a:extLst>
                <a:ext uri="{63B3BB69-23CF-44E3-9099-C40C66FF867C}">
                  <a14:compatExt spid="_x0000_s326661"/>
                </a:ext>
                <a:ext uri="{FF2B5EF4-FFF2-40B4-BE49-F238E27FC236}">
                  <a16:creationId xmlns:a16="http://schemas.microsoft.com/office/drawing/2014/main" id="{00000000-0008-0000-0E00-000005F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27681" name="Button 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id="{00000000-0008-0000-0F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27682" name="Button 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id="{00000000-0008-0000-0F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27683" name="Button 3" hidden="1">
              <a:extLst>
                <a:ext uri="{63B3BB69-23CF-44E3-9099-C40C66FF867C}">
                  <a14:compatExt spid="_x0000_s327683"/>
                </a:ext>
                <a:ext uri="{FF2B5EF4-FFF2-40B4-BE49-F238E27FC236}">
                  <a16:creationId xmlns:a16="http://schemas.microsoft.com/office/drawing/2014/main" id="{00000000-0008-0000-0F00-000003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27684" name="Button 4" hidden="1">
              <a:extLst>
                <a:ext uri="{63B3BB69-23CF-44E3-9099-C40C66FF867C}">
                  <a14:compatExt spid="_x0000_s327684"/>
                </a:ext>
                <a:ext uri="{FF2B5EF4-FFF2-40B4-BE49-F238E27FC236}">
                  <a16:creationId xmlns:a16="http://schemas.microsoft.com/office/drawing/2014/main" id="{00000000-0008-0000-0F00-000004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27685" name="Button 5" hidden="1">
              <a:extLst>
                <a:ext uri="{63B3BB69-23CF-44E3-9099-C40C66FF867C}">
                  <a14:compatExt spid="_x0000_s327685"/>
                </a:ext>
                <a:ext uri="{FF2B5EF4-FFF2-40B4-BE49-F238E27FC236}">
                  <a16:creationId xmlns:a16="http://schemas.microsoft.com/office/drawing/2014/main" id="{00000000-0008-0000-0F00-000005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28705" name="Button 1" hidden="1">
              <a:extLst>
                <a:ext uri="{63B3BB69-23CF-44E3-9099-C40C66FF867C}">
                  <a14:compatExt spid="_x0000_s328705"/>
                </a:ext>
                <a:ext uri="{FF2B5EF4-FFF2-40B4-BE49-F238E27FC236}">
                  <a16:creationId xmlns:a16="http://schemas.microsoft.com/office/drawing/2014/main" id="{00000000-0008-0000-1000-000001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28706" name="Button 2" hidden="1">
              <a:extLst>
                <a:ext uri="{63B3BB69-23CF-44E3-9099-C40C66FF867C}">
                  <a14:compatExt spid="_x0000_s328706"/>
                </a:ext>
                <a:ext uri="{FF2B5EF4-FFF2-40B4-BE49-F238E27FC236}">
                  <a16:creationId xmlns:a16="http://schemas.microsoft.com/office/drawing/2014/main" id="{00000000-0008-0000-1000-000002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28707" name="Button 3" hidden="1">
              <a:extLst>
                <a:ext uri="{63B3BB69-23CF-44E3-9099-C40C66FF867C}">
                  <a14:compatExt spid="_x0000_s328707"/>
                </a:ext>
                <a:ext uri="{FF2B5EF4-FFF2-40B4-BE49-F238E27FC236}">
                  <a16:creationId xmlns:a16="http://schemas.microsoft.com/office/drawing/2014/main" id="{00000000-0008-0000-1000-000003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28708" name="Button 4" hidden="1">
              <a:extLst>
                <a:ext uri="{63B3BB69-23CF-44E3-9099-C40C66FF867C}">
                  <a14:compatExt spid="_x0000_s328708"/>
                </a:ext>
                <a:ext uri="{FF2B5EF4-FFF2-40B4-BE49-F238E27FC236}">
                  <a16:creationId xmlns:a16="http://schemas.microsoft.com/office/drawing/2014/main" id="{00000000-0008-0000-1000-000004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28709" name="Button 5" hidden="1">
              <a:extLst>
                <a:ext uri="{63B3BB69-23CF-44E3-9099-C40C66FF867C}">
                  <a14:compatExt spid="_x0000_s328709"/>
                </a:ext>
                <a:ext uri="{FF2B5EF4-FFF2-40B4-BE49-F238E27FC236}">
                  <a16:creationId xmlns:a16="http://schemas.microsoft.com/office/drawing/2014/main" id="{00000000-0008-0000-1000-000005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:a16="http://schemas.microsoft.com/office/drawing/2014/main" id="{00000000-0008-0000-1100-000001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29730" name="Button 2" hidden="1">
              <a:extLst>
                <a:ext uri="{63B3BB69-23CF-44E3-9099-C40C66FF867C}">
                  <a14:compatExt spid="_x0000_s329730"/>
                </a:ext>
                <a:ext uri="{FF2B5EF4-FFF2-40B4-BE49-F238E27FC236}">
                  <a16:creationId xmlns:a16="http://schemas.microsoft.com/office/drawing/2014/main" id="{00000000-0008-0000-1100-000002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29731" name="Button 3" hidden="1">
              <a:extLst>
                <a:ext uri="{63B3BB69-23CF-44E3-9099-C40C66FF867C}">
                  <a14:compatExt spid="_x0000_s329731"/>
                </a:ext>
                <a:ext uri="{FF2B5EF4-FFF2-40B4-BE49-F238E27FC236}">
                  <a16:creationId xmlns:a16="http://schemas.microsoft.com/office/drawing/2014/main" id="{00000000-0008-0000-1100-000003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29732" name="Button 4" hidden="1">
              <a:extLst>
                <a:ext uri="{63B3BB69-23CF-44E3-9099-C40C66FF867C}">
                  <a14:compatExt spid="_x0000_s329732"/>
                </a:ext>
                <a:ext uri="{FF2B5EF4-FFF2-40B4-BE49-F238E27FC236}">
                  <a16:creationId xmlns:a16="http://schemas.microsoft.com/office/drawing/2014/main" id="{00000000-0008-0000-1100-000004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29733" name="Button 5" hidden="1">
              <a:extLst>
                <a:ext uri="{63B3BB69-23CF-44E3-9099-C40C66FF867C}">
                  <a14:compatExt spid="_x0000_s329733"/>
                </a:ext>
                <a:ext uri="{FF2B5EF4-FFF2-40B4-BE49-F238E27FC236}">
                  <a16:creationId xmlns:a16="http://schemas.microsoft.com/office/drawing/2014/main" id="{00000000-0008-0000-1100-000005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2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2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2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2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2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7" totalsRowShown="0" headerRowDxfId="238" dataDxfId="236" headerRowBorderDxfId="237" tableBorderDxfId="235" totalsRowBorderDxfId="234" headerRowCellStyle="60% - Accent5">
  <autoFilter ref="A1:E17" xr:uid="{7E3155DF-3CB2-4063-8346-D3006162EB2E}"/>
  <sortState xmlns:xlrd2="http://schemas.microsoft.com/office/spreadsheetml/2017/richdata2" ref="A2:E17">
    <sortCondition ref="A1:A17"/>
  </sortState>
  <tableColumns count="5">
    <tableColumn id="1" xr3:uid="{4A3C96D4-74F9-46DA-B54B-0CD347E35136}" name="Surname" dataDxfId="233" dataCellStyle="Hyperlink"/>
    <tableColumn id="2" xr3:uid="{2B90B92F-5F96-4EDA-9BBB-0E797162ECC4}" name="First Name" dataDxfId="232" dataCellStyle="Hyperlink"/>
    <tableColumn id="8" xr3:uid="{CFE0A41F-FE26-4CF3-BAA8-F6CEC7B006D4}" name="Status" dataDxfId="231" dataCellStyle="Hyperlink"/>
    <tableColumn id="3" xr3:uid="{EBBDE5FC-4AD9-4996-A6CE-25D9B52D4D03}" name="Date" dataDxfId="230"/>
    <tableColumn id="4" xr3:uid="{854BBB0E-E50E-4F6C-90CC-6180E0CE5D32}" name="ID" dataDxfId="229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W15" totalsRowShown="0" headerRowDxfId="228" dataDxfId="227">
  <autoFilter ref="A2:W15" xr:uid="{BBE43AA0-FEFE-4953-BA96-A0217731DC97}"/>
  <sortState xmlns:xlrd2="http://schemas.microsoft.com/office/spreadsheetml/2017/richdata2" ref="A2:W2">
    <sortCondition ref="A2"/>
  </sortState>
  <tableColumns count="23">
    <tableColumn id="1" xr3:uid="{77C7B428-E99D-49B8-8796-47FEBA3B8CD2}" name="Name" dataDxfId="226" dataCellStyle="Hyperlink"/>
    <tableColumn id="2" xr3:uid="{36FC8A03-C285-4FA4-AEC4-647B7067D01E}" name="Tunic" dataDxfId="225"/>
    <tableColumn id="3" xr3:uid="{E2B75A82-055F-492D-97B2-03C8E9C74CBF}" name="Collar Shirt" dataDxfId="224"/>
    <tableColumn id="4" xr3:uid="{89128C49-0667-4328-9CC8-935C76EB5CFF}" name="T-Shirt" dataDxfId="223"/>
    <tableColumn id="5" xr3:uid="{58E02DDF-FF68-4A85-A160-1478AFFC5301}" name="Dress Pants" dataDxfId="222"/>
    <tableColumn id="6" xr3:uid="{3C885A6D-7C6D-47FE-9D20-7FB555626C24}" name="Wedge" dataDxfId="221"/>
    <tableColumn id="7" xr3:uid="{650E09C5-6A05-4527-A321-E6D98102B309}" name="Tie" dataDxfId="220"/>
    <tableColumn id="8" xr3:uid="{B5F54AB4-5997-4EA8-AF06-4966A756DE93}" name="Belt" dataDxfId="219"/>
    <tableColumn id="9" xr3:uid="{8136261F-5775-4352-A73E-8E659AD02B53}" name="Socks" dataDxfId="218"/>
    <tableColumn id="10" xr3:uid="{9DEA83F4-EB2F-4D7E-9C9C-751F43044531}" name="Leather Boots" dataDxfId="217"/>
    <tableColumn id="11" xr3:uid="{1CEE23EA-B0BC-483E-BE3B-570F93C07C1A}" name="Leave Blank" dataDxfId="216"/>
    <tableColumn id="12" xr3:uid="{1D45495D-88A2-4A94-96C4-B047B6ED62D3}" name="Toque" dataDxfId="215"/>
    <tableColumn id="13" xr3:uid="{5954CB37-ED15-4CF3-A1FD-DCA35E0B036C}" name="Tilly" dataDxfId="214"/>
    <tableColumn id="14" xr3:uid="{4EB0159F-D44E-4237-807C-59C05B43CC3A}" name="Parka" dataDxfId="213"/>
    <tableColumn id="15" xr3:uid="{2D7F5042-3E7C-429C-8AFF-8601B19B8A0F}" name="Gloves" dataDxfId="212"/>
    <tableColumn id="16" xr3:uid="{D45A8E58-834C-42E4-980C-B85C418519A9}" name="Leave Blank2" dataDxfId="211"/>
    <tableColumn id="17" xr3:uid="{433672DD-A406-4334-A746-FB02B994A2E4}" name="Beret" dataDxfId="210"/>
    <tableColumn id="18" xr3:uid="{EE18EFD7-E877-490B-B14E-3FC28D0B1264}" name="FTU Tunic" dataDxfId="209"/>
    <tableColumn id="19" xr3:uid="{29AC551F-F02C-4401-9F86-D5A21F3B8962}" name="FTU Pants" dataDxfId="208"/>
    <tableColumn id="20" xr3:uid="{6DB4DDF9-B627-4BC2-B983-0DA0719B49B1}" name="FTU Boots" dataDxfId="207"/>
    <tableColumn id="27" xr3:uid="{84909A50-96B7-4616-B421-ACD5823BBA6B}" name="Column3" dataDxfId="206"/>
    <tableColumn id="26" xr3:uid="{0EFD58A3-59A1-406F-A3FD-C3E38DB387F2}" name="NameTag" dataDxfId="205"/>
    <tableColumn id="21" xr3:uid="{AEFDE823-D276-4BBA-8AAC-39096CA09601}" name="Toggle Done" dataDxfId="20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107598B-38AB-494E-8B97-C5EA38A08EF1}" name="Charlie_Clark_6D74C5A2ExchangeTable" displayName="Charlie_Clark_6D74C5A2ExchangeTable" ref="A37:D38" insertRow="1" totalsRowShown="0" headerRowDxfId="194" dataDxfId="193">
  <autoFilter ref="A37:D38" xr:uid="{C107598B-38AB-494E-8B97-C5EA38A08EF1}"/>
  <tableColumns count="4">
    <tableColumn id="1" xr3:uid="{E7DFE79A-4774-408D-BCFD-89C5DB7384EC}" name="Date" dataDxfId="192"/>
    <tableColumn id="2" xr3:uid="{A7D48F45-FC68-4D80-9D5F-2C0013C561FA}" name="Item" dataDxfId="191"/>
    <tableColumn id="3" xr3:uid="{81722899-22B1-4A65-A5D7-35E9144B0012}" name="Old Size" dataDxfId="190"/>
    <tableColumn id="4" xr3:uid="{DA569A91-4B2E-485E-B1D6-861582597364}" name="New Size" dataDxfId="189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56751E2-D486-41A6-9274-9EA180E43CDD}" name="Isabella_Taylor_39329697ExchangeTable" displayName="Isabella_Taylor_39329697ExchangeTable" ref="A37:D38" insertRow="1" totalsRowShown="0" headerRowDxfId="179" dataDxfId="178">
  <autoFilter ref="A37:D38" xr:uid="{B56751E2-D486-41A6-9274-9EA180E43CDD}"/>
  <tableColumns count="4">
    <tableColumn id="1" xr3:uid="{3FC99BEB-4D4C-4A19-9899-2BB8885384AC}" name="Date" dataDxfId="177"/>
    <tableColumn id="2" xr3:uid="{32FAAA1C-0A6E-430C-BED7-459C25516845}" name="Item" dataDxfId="176"/>
    <tableColumn id="3" xr3:uid="{F8EB103A-9B3B-4863-9DF3-38F413D6243B}" name="Old Size" dataDxfId="175"/>
    <tableColumn id="4" xr3:uid="{44352D8D-E3D9-482F-8A34-435ACA08537A}" name="New Size" dataDxfId="174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E47C42C-DE96-4911-83F5-A48F2D4A0C79}" name="Banks_Rob_009907AEExchangeTable" displayName="Banks_Rob_009907AEExchangeTable" ref="A37:D38" insertRow="1" totalsRowShown="0" headerRowDxfId="164" dataDxfId="163">
  <autoFilter ref="A37:D38" xr:uid="{EE47C42C-DE96-4911-83F5-A48F2D4A0C79}"/>
  <tableColumns count="4">
    <tableColumn id="1" xr3:uid="{55CB9BC4-9884-430B-B86F-37B4E1152395}" name="Date" dataDxfId="162"/>
    <tableColumn id="2" xr3:uid="{D8B6898A-6A4A-4AD6-A426-E2988F296820}" name="Item" dataDxfId="161"/>
    <tableColumn id="3" xr3:uid="{15BA839D-1229-49F1-98EC-5DB0606D59F8}" name="Old Size" dataDxfId="160"/>
    <tableColumn id="4" xr3:uid="{5EC082A0-8E73-43D7-8E80-209E87670C5D}" name="New Size" dataDxfId="159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5CFA213-AF54-465D-9498-71639FCEAD25}" name="Rophone_Mike_075E95A3ExchangeTable" displayName="Rophone_Mike_075E95A3ExchangeTable" ref="A37:D38" insertRow="1" totalsRowShown="0" headerRowDxfId="149" dataDxfId="148">
  <autoFilter ref="A37:D38" xr:uid="{75CFA213-AF54-465D-9498-71639FCEAD25}"/>
  <tableColumns count="4">
    <tableColumn id="1" xr3:uid="{ED5B00C9-AFF1-4561-B7E8-E7A6B1D2DAA9}" name="Date" dataDxfId="147"/>
    <tableColumn id="2" xr3:uid="{13C7BDCD-BF5D-4C5D-A60A-B624DE5B5DE3}" name="Item" dataDxfId="146"/>
    <tableColumn id="3" xr3:uid="{D9EBF302-282B-4FE3-86A2-189AD8B8A539}" name="Old Size" dataDxfId="145"/>
    <tableColumn id="4" xr3:uid="{4161FF03-4424-4BB9-A562-9E64EDAF6D34}" name="New Size" dataDxfId="144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90CEAD0-6973-4CF6-9F1D-8474D5AC7475}" name="Christ_Jesus_1CB2AEBCExchangeTable" displayName="Christ_Jesus_1CB2AEBCExchangeTable" ref="A37:D38" insertRow="1" totalsRowShown="0" headerRowDxfId="134" dataDxfId="133">
  <autoFilter ref="A37:D38" xr:uid="{D90CEAD0-6973-4CF6-9F1D-8474D5AC7475}"/>
  <tableColumns count="4">
    <tableColumn id="1" xr3:uid="{FF5D5521-9426-4CF8-BFC3-2731C5623744}" name="Date" dataDxfId="132"/>
    <tableColumn id="2" xr3:uid="{6D140D59-ED72-48DE-A35D-1F5A0A868116}" name="Item" dataDxfId="131"/>
    <tableColumn id="3" xr3:uid="{6978141A-AD21-4E2F-9665-95DA3A6C65FD}" name="Old Size" dataDxfId="130"/>
    <tableColumn id="4" xr3:uid="{6604AB03-3805-4792-9B11-01ACC04D6F99}" name="New Size" dataDxfId="129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BD4C5B4-274C-4FDF-9358-EE2B88B4CCAC}" name="Rhea_Dia_D874C084ExchangeTable" displayName="Rhea_Dia_D874C084ExchangeTable" ref="A37:D38" insertRow="1" totalsRowShown="0" headerRowDxfId="119" dataDxfId="118">
  <autoFilter ref="A37:D38" xr:uid="{DBD4C5B4-274C-4FDF-9358-EE2B88B4CCAC}"/>
  <tableColumns count="4">
    <tableColumn id="1" xr3:uid="{E627AE60-CBAC-499B-8A52-71CB7465DB08}" name="Date" dataDxfId="117"/>
    <tableColumn id="2" xr3:uid="{AC2DFF1B-26C9-4742-9B81-F473FC40C2C8}" name="Item" dataDxfId="116"/>
    <tableColumn id="3" xr3:uid="{AC529378-E5DA-41CC-A519-934080A4DDF3}" name="Old Size" dataDxfId="115"/>
    <tableColumn id="4" xr3:uid="{4F14AC47-E514-4B3C-B9F2-39368361DF28}" name="New Size" dataDxfId="114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E43CE93-1FA4-4D3F-8A0B-C0F03A41C30B}" name="Rhea_Dia_6D7376B0ExchangeTable" displayName="Rhea_Dia_6D7376B0ExchangeTable" ref="A37:D38" insertRow="1" totalsRowShown="0" headerRowDxfId="104" dataDxfId="103">
  <autoFilter ref="A37:D38" xr:uid="{3E43CE93-1FA4-4D3F-8A0B-C0F03A41C30B}"/>
  <tableColumns count="4">
    <tableColumn id="1" xr3:uid="{84B8DF5C-58C0-47CC-881F-63902C21664F}" name="Date" dataDxfId="102"/>
    <tableColumn id="2" xr3:uid="{B716B0F9-4EEA-48BE-BBF7-5D0FA4C52313}" name="Item" dataDxfId="101"/>
    <tableColumn id="3" xr3:uid="{34E32DB5-3000-4C19-AC1B-4FDA0D0DC0D1}" name="Old Size" dataDxfId="100"/>
    <tableColumn id="4" xr3:uid="{D68C95E5-F85C-48B5-8C9F-3D65CA4A02E6}" name="New Size" dataDxfId="99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D62681E-7FBB-4905-9D4D-5BECDECC2215}" name="Charlie_Clark_705CF08BExchangeTable" displayName="Charlie_Clark_705CF08BExchangeTable" ref="A37:D38" insertRow="1" totalsRowShown="0" headerRowDxfId="89" dataDxfId="88">
  <autoFilter ref="A37:D38" xr:uid="{4D62681E-7FBB-4905-9D4D-5BECDECC2215}"/>
  <tableColumns count="4">
    <tableColumn id="1" xr3:uid="{E61474CB-29D6-4112-95C1-3BFF5D8C171C}" name="Date" dataDxfId="87"/>
    <tableColumn id="2" xr3:uid="{2278DB41-E094-4E53-AC83-E46CCBE9377A}" name="Item" dataDxfId="86"/>
    <tableColumn id="3" xr3:uid="{2DDF99F5-B163-49D7-8F63-144204B60969}" name="Old Size" dataDxfId="85"/>
    <tableColumn id="4" xr3:uid="{23DCA7EA-5963-44A7-B026-9644E4720DC7}" name="New Size" dataDxfId="84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6F9A761-B7C2-46D7-B1EB-0CF532AD70F7}" name="Isabella_Taylor_3DB5A497ExchangeTable" displayName="Isabella_Taylor_3DB5A497ExchangeTable" ref="A37:D38" insertRow="1" totalsRowShown="0" headerRowDxfId="74" dataDxfId="73">
  <autoFilter ref="A37:D38" xr:uid="{E6F9A761-B7C2-46D7-B1EB-0CF532AD70F7}"/>
  <tableColumns count="4">
    <tableColumn id="1" xr3:uid="{D319E8DB-F12F-4657-9399-B0FAA8E98159}" name="Date" dataDxfId="72"/>
    <tableColumn id="2" xr3:uid="{5CBB5270-6905-4F6D-A587-2A6B5C611643}" name="Item" dataDxfId="71"/>
    <tableColumn id="3" xr3:uid="{ADE5A011-A5B0-4909-A7BB-5B07239FB6DC}" name="Old Size" dataDxfId="70"/>
    <tableColumn id="4" xr3:uid="{A18C003E-1F01-4460-A3A5-02D82CE2C229}" name="New Size" dataDxfId="69"/>
  </tableColumns>
  <tableStyleInfo name="ExchangeTableSty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C348C36-D1B6-4F62-83AF-5666BFC59550}" name="Banks_Rob_DEE84589ExchangeTable" displayName="Banks_Rob_DEE84589ExchangeTable" ref="A37:D38" insertRow="1" totalsRowShown="0" headerRowDxfId="59" dataDxfId="58">
  <autoFilter ref="A37:D38" xr:uid="{1C348C36-D1B6-4F62-83AF-5666BFC59550}"/>
  <tableColumns count="4">
    <tableColumn id="1" xr3:uid="{4BA2AFD9-EBE1-4749-A485-C9CBA36161BC}" name="Date" dataDxfId="57"/>
    <tableColumn id="2" xr3:uid="{355FF255-52C4-4DD2-A76B-BB4870A75271}" name="Item" dataDxfId="56"/>
    <tableColumn id="3" xr3:uid="{D3DB24C5-ACFA-4B89-B11C-36852138E945}" name="Old Size" dataDxfId="55"/>
    <tableColumn id="4" xr3:uid="{11AF9E76-6772-43FF-9307-F9E0A8CB082E}" name="New Size" dataDxfId="54"/>
  </tableColumns>
  <tableStyleInfo name="ExchangeTableSty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8B34084-2D2B-423F-A47F-39B4945962FB}" name="Rophone_Mike_011D10BBExchangeTable" displayName="Rophone_Mike_011D10BBExchangeTable" ref="A37:D38" insertRow="1" totalsRowShown="0" headerRowDxfId="44" dataDxfId="43">
  <autoFilter ref="A37:D38" xr:uid="{D8B34084-2D2B-423F-A47F-39B4945962FB}"/>
  <tableColumns count="4">
    <tableColumn id="1" xr3:uid="{04F741AD-9CB6-4B9C-AD9E-622B3F99E208}" name="Date" dataDxfId="42"/>
    <tableColumn id="2" xr3:uid="{3B6D0AA4-583D-452F-BB47-C21F39158AF4}" name="Item" dataDxfId="41"/>
    <tableColumn id="3" xr3:uid="{060C1AE9-1897-4DE7-8134-5C1644C08992}" name="Old Size" dataDxfId="40"/>
    <tableColumn id="4" xr3:uid="{833DA0E2-BFFF-4250-8454-4088746C76ED}" name="New Size" dataDxfId="39"/>
  </tableColumns>
  <tableStyleInfo name="ExchangeTableSty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A975084-021E-40E9-87A3-8230ABAC9C78}" name="Christ_Jesus_B5B783A3ExchangeTable" displayName="Christ_Jesus_B5B783A3ExchangeTable" ref="A37:D38" insertRow="1" totalsRowShown="0" headerRowDxfId="29" dataDxfId="28">
  <autoFilter ref="A37:D38" xr:uid="{FA975084-021E-40E9-87A3-8230ABAC9C78}"/>
  <tableColumns count="4">
    <tableColumn id="1" xr3:uid="{E3048FA1-CBF0-46A8-B20B-01D1A85138A1}" name="Date" dataDxfId="27"/>
    <tableColumn id="2" xr3:uid="{D4F98B9E-E32D-4ADA-A0C5-B402F93C4BD0}" name="Item" dataDxfId="26"/>
    <tableColumn id="3" xr3:uid="{BD1FF0A3-858C-4B48-997E-9118C8828DDB}" name="Old Size" dataDxfId="25"/>
    <tableColumn id="4" xr3:uid="{6930C34E-F3B1-4E8D-A44C-0105D2ECA8F4}" name="New Size" dataDxfId="24"/>
  </tableColumns>
  <tableStyleInfo name="ExchangeTableSty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AB1A11A-F628-49B1-9C45-958734DCC623}" name="Rhea_Dia_772C83B6ExchangeTable" displayName="Rhea_Dia_772C83B6ExchangeTable" ref="A37:D38" insertRow="1" totalsRowShown="0" headerRowDxfId="14" dataDxfId="13">
  <autoFilter ref="A37:D38" xr:uid="{3AB1A11A-F628-49B1-9C45-958734DCC623}"/>
  <tableColumns count="4">
    <tableColumn id="1" xr3:uid="{5C399390-E3A1-4F53-B2F4-22FC83AF96C5}" name="Date" dataDxfId="12"/>
    <tableColumn id="2" xr3:uid="{0EF0F5E5-25C3-4607-B32D-1B8E4A6F5E37}" name="Item" dataDxfId="11"/>
    <tableColumn id="3" xr3:uid="{4C98FD50-DFEB-4A70-A796-7F022F0DB505}" name="Old Size" dataDxfId="10"/>
    <tableColumn id="4" xr3:uid="{471A7BC9-2A8C-4580-807C-5577350F8A45}" name="New Size" dataDxfId="9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6" Type="http://schemas.openxmlformats.org/officeDocument/2006/relationships/table" Target="../tables/table2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39.xml"/><Relationship Id="rId7" Type="http://schemas.openxmlformats.org/officeDocument/2006/relationships/ctrlProp" Target="../ctrlProps/ctrlProp4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trlProp" Target="../ctrlProps/ctrlProp54.xml"/><Relationship Id="rId7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ctrlProp" Target="../ctrlProps/ctrlProp64.xml"/><Relationship Id="rId7" Type="http://schemas.openxmlformats.org/officeDocument/2006/relationships/ctrlProp" Target="../ctrlProps/ctrlProp6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67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ctrlProp" Target="../ctrlProps/ctrlProp69.xml"/><Relationship Id="rId7" Type="http://schemas.openxmlformats.org/officeDocument/2006/relationships/ctrlProp" Target="../ctrlProps/ctrlProp7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ctrlProp" Target="../ctrlProps/ctrlProp74.xml"/><Relationship Id="rId7" Type="http://schemas.openxmlformats.org/officeDocument/2006/relationships/ctrlProp" Target="../ctrlProps/ctrlProp7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ctrlProp" Target="../ctrlProps/ctrlProp79.xml"/><Relationship Id="rId7" Type="http://schemas.openxmlformats.org/officeDocument/2006/relationships/ctrlProp" Target="../ctrlProps/ctrlProp8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82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4.xml"/><Relationship Id="rId7" Type="http://schemas.openxmlformats.org/officeDocument/2006/relationships/ctrlProp" Target="../ctrlProps/ctrlProp8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17"/>
  <sheetViews>
    <sheetView zoomScale="85" zoomScaleNormal="85" workbookViewId="0">
      <selection activeCell="D28" sqref="D28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62</v>
      </c>
    </row>
    <row r="2" spans="1:15" x14ac:dyDescent="0.3">
      <c r="A2" s="47" t="s">
        <v>100</v>
      </c>
      <c r="B2" s="30" t="s">
        <v>95</v>
      </c>
      <c r="C2" s="31"/>
      <c r="D2" s="48">
        <v>45302.889155092591</v>
      </c>
      <c r="E2" s="49" t="s">
        <v>185</v>
      </c>
    </row>
    <row r="3" spans="1:15" x14ac:dyDescent="0.3">
      <c r="A3" s="47" t="s">
        <v>100</v>
      </c>
      <c r="B3" s="30" t="s">
        <v>95</v>
      </c>
      <c r="C3" s="31"/>
      <c r="D3" s="48">
        <v>45302.889189814814</v>
      </c>
      <c r="E3" s="49" t="s">
        <v>191</v>
      </c>
    </row>
    <row r="4" spans="1:15" x14ac:dyDescent="0.3">
      <c r="A4" s="47" t="s">
        <v>141</v>
      </c>
      <c r="B4" s="30" t="s">
        <v>142</v>
      </c>
      <c r="C4" s="31"/>
      <c r="D4" s="48">
        <v>45302.889178240737</v>
      </c>
      <c r="E4" s="49" t="s">
        <v>189</v>
      </c>
    </row>
    <row r="5" spans="1:15" x14ac:dyDescent="0.3">
      <c r="A5" s="47" t="s">
        <v>141</v>
      </c>
      <c r="B5" s="30" t="s">
        <v>142</v>
      </c>
      <c r="C5" s="31"/>
      <c r="D5" s="48">
        <v>45302.889178240737</v>
      </c>
      <c r="E5" s="49" t="s">
        <v>190</v>
      </c>
    </row>
    <row r="6" spans="1:15" x14ac:dyDescent="0.3">
      <c r="A6" s="47" t="s">
        <v>141</v>
      </c>
      <c r="B6" s="30" t="s">
        <v>142</v>
      </c>
      <c r="C6" s="31"/>
      <c r="D6" s="48">
        <v>45302.88921296296</v>
      </c>
      <c r="E6" s="49" t="s">
        <v>196</v>
      </c>
    </row>
    <row r="7" spans="1:15" x14ac:dyDescent="0.3">
      <c r="A7" s="47" t="s">
        <v>139</v>
      </c>
      <c r="B7" s="30" t="s">
        <v>140</v>
      </c>
      <c r="C7" s="31"/>
      <c r="D7" s="48">
        <v>45302.889166666668</v>
      </c>
      <c r="E7" s="49" t="s">
        <v>188</v>
      </c>
    </row>
    <row r="8" spans="1:15" x14ac:dyDescent="0.3">
      <c r="A8" s="47" t="s">
        <v>139</v>
      </c>
      <c r="B8" s="30" t="s">
        <v>140</v>
      </c>
      <c r="C8" s="31"/>
      <c r="D8" s="48">
        <v>45302.889201388891</v>
      </c>
      <c r="E8" s="49" t="s">
        <v>195</v>
      </c>
    </row>
    <row r="9" spans="1:15" x14ac:dyDescent="0.3">
      <c r="A9" s="47" t="s">
        <v>137</v>
      </c>
      <c r="B9" s="30" t="s">
        <v>138</v>
      </c>
      <c r="C9" s="31"/>
      <c r="D9" s="48">
        <v>45302.889166666668</v>
      </c>
      <c r="E9" s="49" t="s">
        <v>187</v>
      </c>
    </row>
    <row r="10" spans="1:15" x14ac:dyDescent="0.3">
      <c r="A10" s="47" t="s">
        <v>137</v>
      </c>
      <c r="B10" s="30" t="s">
        <v>138</v>
      </c>
      <c r="C10" s="31"/>
      <c r="D10" s="48">
        <v>45302.889201388891</v>
      </c>
      <c r="E10" s="49" t="s">
        <v>194</v>
      </c>
    </row>
    <row r="11" spans="1:15" x14ac:dyDescent="0.3">
      <c r="A11" s="47" t="s">
        <v>135</v>
      </c>
      <c r="B11" s="30" t="s">
        <v>136</v>
      </c>
      <c r="C11" s="31"/>
      <c r="D11" s="48">
        <v>45302.889166666668</v>
      </c>
      <c r="E11" s="49" t="s">
        <v>186</v>
      </c>
    </row>
    <row r="12" spans="1:15" x14ac:dyDescent="0.3">
      <c r="A12" s="47" t="s">
        <v>135</v>
      </c>
      <c r="B12" s="30" t="s">
        <v>136</v>
      </c>
      <c r="C12" s="31"/>
      <c r="D12" s="48">
        <v>45302.889189814814</v>
      </c>
      <c r="E12" s="49" t="s">
        <v>193</v>
      </c>
    </row>
    <row r="13" spans="1:15" x14ac:dyDescent="0.3">
      <c r="A13" s="47" t="s">
        <v>84</v>
      </c>
      <c r="B13" s="30" t="s">
        <v>108</v>
      </c>
      <c r="C13" s="31"/>
      <c r="D13" s="48">
        <v>45302.889155092591</v>
      </c>
      <c r="E13" s="49">
        <v>39329697</v>
      </c>
    </row>
    <row r="14" spans="1:15" x14ac:dyDescent="0.3">
      <c r="A14" s="47" t="s">
        <v>84</v>
      </c>
      <c r="B14" s="30" t="s">
        <v>108</v>
      </c>
      <c r="C14" s="31"/>
      <c r="D14" s="48">
        <v>45302.889189814814</v>
      </c>
      <c r="E14" s="49" t="s">
        <v>192</v>
      </c>
    </row>
    <row r="15" spans="1:15" x14ac:dyDescent="0.3">
      <c r="A15" s="47"/>
      <c r="B15" s="30"/>
      <c r="C15" s="31"/>
      <c r="D15" s="48"/>
      <c r="E15" s="49"/>
    </row>
    <row r="16" spans="1:15" x14ac:dyDescent="0.3">
      <c r="A16" s="47"/>
      <c r="B16" s="30"/>
      <c r="C16" s="31"/>
      <c r="D16" s="48"/>
      <c r="E16" s="49"/>
    </row>
    <row r="17" spans="1:5" x14ac:dyDescent="0.3">
      <c r="A17" s="47"/>
      <c r="B17" s="30"/>
      <c r="C17" s="31"/>
      <c r="D17" s="48"/>
      <c r="E17" s="49"/>
    </row>
  </sheetData>
  <conditionalFormatting sqref="C2:C17">
    <cfRule type="cellIs" dxfId="246" priority="1" operator="equal">
      <formula>"S.O.S"</formula>
    </cfRule>
    <cfRule type="containsText" dxfId="245" priority="2" operator="containsText" text="UNP">
      <formula>NOT(ISERROR(SEARCH("UNP",C2)))</formula>
    </cfRule>
    <cfRule type="cellIs" dxfId="244" priority="3" operator="equal">
      <formula>"In Stock"</formula>
    </cfRule>
    <cfRule type="containsText" dxfId="243" priority="4" operator="containsText" text="Pick Up">
      <formula>NOT(ISERROR(SEARCH("Pick Up",C2)))</formula>
    </cfRule>
    <cfRule type="cellIs" dxfId="242" priority="9" operator="equal">
      <formula>"Ready To Order"</formula>
    </cfRule>
    <cfRule type="containsText" dxfId="241" priority="10" operator="containsText" text="Ordered">
      <formula>NOT(ISERROR(SEARCH("Ordered",C2)))</formula>
    </cfRule>
    <cfRule type="containsText" dxfId="240" priority="11" operator="containsText" text="Complete">
      <formula>NOT(ISERROR(SEARCH("Complete",C2)))</formula>
    </cfRule>
    <cfRule type="cellIs" dxfId="239" priority="12" operator="equal">
      <formula>"Returned"</formula>
    </cfRule>
  </conditionalFormatting>
  <hyperlinks>
    <hyperlink ref="A2" location="'Charlie_Clark_6D74C5A2'!A1" display="Clark" xr:uid="{73D1FAFF-7092-4D59-8593-CDFC684A43BA}"/>
    <hyperlink ref="A13" location="'Isabella_Taylor_39329697'!A1" display="Taylor" xr:uid="{9BDBD3EC-9702-4DE3-AF71-3ADA5E974732}"/>
    <hyperlink ref="A11" location="'Banks_Rob_009907AE'!A1" display="Rob" xr:uid="{8EB5F1BF-5846-4F37-8087-0A6BBBBD2DD5}"/>
    <hyperlink ref="A9" location="'Rophone_Mike_075E95A3'!A1" display="Mike" xr:uid="{C2E6D2ED-04C7-46C0-A5A8-BCFBA607BABA}"/>
    <hyperlink ref="A7" location="'Christ_Jesus_1CB2AEBC'!A1" display="Jesus" xr:uid="{A8484920-DD34-45B6-9992-B68434D0A777}"/>
    <hyperlink ref="A4" location="'Rhea_Dia_D874C084'!A1" display="Dia" xr:uid="{C08995E4-DDE0-423F-BBC0-0D6D4FE2A14E}"/>
    <hyperlink ref="A5" location="'Rhea_Dia_6D7376B0'!A1" display="Dia" xr:uid="{24E73E67-9C3E-42B5-81BA-64BE1B24E86A}"/>
    <hyperlink ref="A3" location="'Charlie_Clark_705CF08B'!A1" display="Clark" xr:uid="{5BBDA4CA-2FBB-48DE-8D1E-943701D86337}"/>
    <hyperlink ref="A14" location="'Isabella_Taylor_3DB5A497'!A1" display="Taylor" xr:uid="{FADEF8EB-0851-4EFC-9AE3-B95ECF2A7BEE}"/>
    <hyperlink ref="A12" location="'Banks_Rob_DEE84589'!A1" display="Rob" xr:uid="{EEF84B34-ECDC-4A73-8D7E-E4CC8B578A7D}"/>
    <hyperlink ref="A10" location="'Rophone_Mike_011D10BB'!A1" display="Mike" xr:uid="{55E7AD04-B172-4DE5-9FF0-6ADBCAFF111F}"/>
    <hyperlink ref="A8" location="'Christ_Jesus_B5B783A3'!A1" display="Jesus" xr:uid="{5C5C98DD-9D60-4359-BB25-6294C7F508B4}"/>
    <hyperlink ref="A6" location="'Rhea_Dia_772C83B6'!A1" display="Dia" xr:uid="{70D4E946-3611-4F42-88E9-AD4DBA410F2D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A3" sqref="A3"/>
    </sheetView>
  </sheetViews>
  <sheetFormatPr defaultRowHeight="14.4" x14ac:dyDescent="0.3"/>
  <cols>
    <col min="2" max="2" width="10.5546875" customWidth="1"/>
    <col min="3" max="3" width="10.6640625" customWidth="1"/>
    <col min="12" max="12" width="12.109375" customWidth="1"/>
  </cols>
  <sheetData>
    <row r="1" spans="1:13" ht="37.950000000000003" customHeight="1" x14ac:dyDescent="0.3">
      <c r="A1" s="33" t="s">
        <v>48</v>
      </c>
      <c r="B1" s="33" t="s">
        <v>51</v>
      </c>
      <c r="C1" s="33" t="s">
        <v>2</v>
      </c>
      <c r="D1" s="33" t="s">
        <v>52</v>
      </c>
      <c r="E1" s="33" t="s">
        <v>9</v>
      </c>
      <c r="F1" s="33" t="s">
        <v>11</v>
      </c>
      <c r="G1" s="33" t="s">
        <v>12</v>
      </c>
      <c r="H1" s="33" t="s">
        <v>13</v>
      </c>
      <c r="I1" s="33" t="s">
        <v>53</v>
      </c>
      <c r="J1" s="33" t="s">
        <v>15</v>
      </c>
      <c r="K1" s="33" t="s">
        <v>54</v>
      </c>
      <c r="L1" s="33" t="s">
        <v>55</v>
      </c>
      <c r="M1" s="33" t="s">
        <v>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4"/>
  <sheetViews>
    <sheetView workbookViewId="0">
      <selection activeCell="V5" sqref="V5"/>
    </sheetView>
  </sheetViews>
  <sheetFormatPr defaultRowHeight="14.4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</cols>
  <sheetData>
    <row r="1" spans="1:25" ht="41.7" customHeight="1" x14ac:dyDescent="0.3">
      <c r="A1" s="34" t="s">
        <v>60</v>
      </c>
      <c r="B1" s="34" t="s">
        <v>18</v>
      </c>
      <c r="C1" s="34" t="s">
        <v>21</v>
      </c>
      <c r="D1" s="34" t="s">
        <v>19</v>
      </c>
      <c r="E1" s="34" t="s">
        <v>20</v>
      </c>
      <c r="F1" s="34" t="s">
        <v>24</v>
      </c>
      <c r="G1" s="34" t="s">
        <v>23</v>
      </c>
      <c r="H1" s="34" t="s">
        <v>25</v>
      </c>
      <c r="I1" s="34" t="s">
        <v>26</v>
      </c>
      <c r="J1" s="34" t="s">
        <v>27</v>
      </c>
      <c r="K1" s="34"/>
      <c r="L1" s="34" t="s">
        <v>28</v>
      </c>
      <c r="M1" s="34" t="s">
        <v>22</v>
      </c>
      <c r="N1" s="34" t="s">
        <v>29</v>
      </c>
      <c r="O1" s="34" t="s">
        <v>30</v>
      </c>
      <c r="P1" s="34"/>
      <c r="Q1" s="34" t="s">
        <v>33</v>
      </c>
      <c r="R1" s="34" t="s">
        <v>31</v>
      </c>
      <c r="S1" s="34" t="s">
        <v>47</v>
      </c>
      <c r="T1" s="34" t="s">
        <v>32</v>
      </c>
      <c r="U1" s="34"/>
      <c r="V1" s="34" t="s">
        <v>94</v>
      </c>
      <c r="W1" s="32"/>
      <c r="X1" s="32"/>
      <c r="Y1" s="32"/>
    </row>
    <row r="2" spans="1:25" x14ac:dyDescent="0.3">
      <c r="A2" s="51" t="s">
        <v>174</v>
      </c>
      <c r="C2" s="54">
        <v>13</v>
      </c>
      <c r="D2" s="54" t="s">
        <v>132</v>
      </c>
      <c r="F2" s="54">
        <v>7</v>
      </c>
      <c r="G2" s="54" t="s">
        <v>127</v>
      </c>
      <c r="H2" s="54" t="s">
        <v>133</v>
      </c>
      <c r="I2" s="54" t="s">
        <v>126</v>
      </c>
      <c r="M2" s="54" t="s">
        <v>126</v>
      </c>
      <c r="N2" s="54" t="s">
        <v>126</v>
      </c>
      <c r="Q2" s="54">
        <v>7</v>
      </c>
      <c r="R2" s="54">
        <v>6432</v>
      </c>
    </row>
    <row r="3" spans="1:25" x14ac:dyDescent="0.3">
      <c r="A3" s="51" t="s">
        <v>174</v>
      </c>
      <c r="C3" s="54">
        <v>13</v>
      </c>
      <c r="D3" s="54" t="s">
        <v>132</v>
      </c>
      <c r="F3" s="54">
        <v>7</v>
      </c>
      <c r="G3" s="54" t="s">
        <v>127</v>
      </c>
      <c r="H3" s="54" t="s">
        <v>133</v>
      </c>
      <c r="I3" s="54" t="s">
        <v>126</v>
      </c>
      <c r="M3" s="54" t="s">
        <v>126</v>
      </c>
      <c r="N3" s="54" t="s">
        <v>126</v>
      </c>
      <c r="O3" s="54" t="s">
        <v>126</v>
      </c>
      <c r="Q3" s="54">
        <v>7</v>
      </c>
      <c r="R3" s="54">
        <v>6432</v>
      </c>
    </row>
    <row r="4" spans="1:25" x14ac:dyDescent="0.3">
      <c r="A4" s="51" t="s">
        <v>174</v>
      </c>
      <c r="C4" s="54">
        <v>13</v>
      </c>
      <c r="D4" s="54" t="s">
        <v>132</v>
      </c>
      <c r="F4" s="54">
        <v>7</v>
      </c>
      <c r="G4" s="54" t="s">
        <v>127</v>
      </c>
      <c r="H4" s="54" t="s">
        <v>133</v>
      </c>
      <c r="I4" s="54" t="s">
        <v>126</v>
      </c>
      <c r="M4" s="54" t="s">
        <v>126</v>
      </c>
      <c r="N4" s="54" t="s">
        <v>126</v>
      </c>
      <c r="O4" s="54" t="s">
        <v>126</v>
      </c>
      <c r="Q4" s="54">
        <v>7</v>
      </c>
      <c r="R4" s="54">
        <v>6432</v>
      </c>
    </row>
  </sheetData>
  <hyperlinks>
    <hyperlink ref="A2" location="Rhea_Dia_D874C084!A1" display="Dia, Rhea" xr:uid="{E45844D2-2260-442A-9232-9A4AF4163975}"/>
    <hyperlink ref="A3" location="Rhea_Dia_6D7376B0!A1" display="Dia, Rhea" xr:uid="{4A229D8F-9FB0-4667-9065-B0400A9D923B}"/>
    <hyperlink ref="A4" location="Rhea_Dia_772C83B6!A1" display="Dia, Rhea" xr:uid="{D16A8B27-3D76-421B-8441-CB320031328D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152400</xdr:colOff>
                    <xdr:row>0</xdr:row>
                    <xdr:rowOff>53340</xdr:rowOff>
                  </from>
                  <to>
                    <xdr:col>24</xdr:col>
                    <xdr:colOff>533400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7" r:id="rId5" name="Complete1">
              <controlPr defaultSize="0" print="0" autoFill="0" autoPict="0" macro="[0]!'markPickUpAsComplete &quot;Rhea_Dia_D874C084&quot;, 1'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8" r:id="rId6" name="Complete2">
              <controlPr defaultSize="0" print="0" autoFill="0" autoPict="0" macro="[0]!'markPickUpAsComplete &quot;Rhea_Dia_6D7376B0&quot;, 2'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9" r:id="rId7" name="Complete3">
              <controlPr defaultSize="0" print="0" autoFill="0" autoPict="0" macro="[0]!'markPickUpAsComplete &quot;Rhea_Dia_772C83B6&quot;, 3'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G15"/>
  <sheetViews>
    <sheetView tabSelected="1" topLeftCell="D1" workbookViewId="0">
      <selection activeCell="T19" sqref="T19"/>
    </sheetView>
  </sheetViews>
  <sheetFormatPr defaultRowHeight="14.4" x14ac:dyDescent="0.3"/>
  <cols>
    <col min="1" max="30" width="8.88671875" style="40"/>
    <col min="31" max="31" width="10.109375" style="40" customWidth="1"/>
    <col min="32" max="16384" width="8.88671875" style="40"/>
  </cols>
  <sheetData>
    <row r="1" spans="1:33" ht="20.399999999999999" x14ac:dyDescent="0.3">
      <c r="A1" s="53" t="s">
        <v>116</v>
      </c>
      <c r="B1" s="53" t="s">
        <v>117</v>
      </c>
      <c r="C1" s="52" t="s">
        <v>115</v>
      </c>
      <c r="D1" s="53" t="s">
        <v>9</v>
      </c>
      <c r="E1" s="52" t="s">
        <v>11</v>
      </c>
      <c r="F1" s="52" t="s">
        <v>12</v>
      </c>
      <c r="G1" s="52" t="s">
        <v>13</v>
      </c>
      <c r="H1" s="52" t="s">
        <v>53</v>
      </c>
      <c r="I1" s="52" t="s">
        <v>15</v>
      </c>
      <c r="J1" s="52" t="s">
        <v>16</v>
      </c>
      <c r="K1" s="52" t="s">
        <v>17</v>
      </c>
      <c r="L1" s="52" t="s">
        <v>18</v>
      </c>
      <c r="M1" s="52" t="s">
        <v>118</v>
      </c>
      <c r="N1" s="52" t="s">
        <v>119</v>
      </c>
      <c r="O1" s="52" t="s">
        <v>120</v>
      </c>
      <c r="P1" s="52" t="s">
        <v>121</v>
      </c>
      <c r="Q1" s="52" t="s">
        <v>122</v>
      </c>
      <c r="R1" s="52" t="s">
        <v>24</v>
      </c>
      <c r="S1" s="52" t="s">
        <v>23</v>
      </c>
      <c r="T1" s="52" t="s">
        <v>123</v>
      </c>
      <c r="U1" s="52" t="s">
        <v>26</v>
      </c>
      <c r="V1" s="52" t="s">
        <v>124</v>
      </c>
      <c r="W1" s="52" t="s">
        <v>125</v>
      </c>
      <c r="X1" s="52" t="s">
        <v>47</v>
      </c>
      <c r="Y1" s="52" t="s">
        <v>32</v>
      </c>
      <c r="Z1" s="52" t="s">
        <v>33</v>
      </c>
      <c r="AA1" s="52" t="s">
        <v>29</v>
      </c>
      <c r="AB1" s="52" t="s">
        <v>30</v>
      </c>
      <c r="AC1" s="52" t="s">
        <v>28</v>
      </c>
      <c r="AD1" s="52" t="s">
        <v>22</v>
      </c>
      <c r="AE1" s="52" t="s">
        <v>41</v>
      </c>
      <c r="AF1" s="52" t="s">
        <v>3</v>
      </c>
      <c r="AG1" s="52" t="s">
        <v>57</v>
      </c>
    </row>
    <row r="2" spans="1:33" x14ac:dyDescent="0.3">
      <c r="A2" s="40" t="s">
        <v>141</v>
      </c>
      <c r="B2" s="40" t="s">
        <v>142</v>
      </c>
      <c r="C2" s="40" t="s">
        <v>44</v>
      </c>
      <c r="D2" s="40">
        <v>22</v>
      </c>
      <c r="E2" s="40">
        <v>13.5</v>
      </c>
      <c r="F2" s="40">
        <v>32</v>
      </c>
      <c r="G2" s="40">
        <v>26.5</v>
      </c>
      <c r="H2" s="40">
        <v>31</v>
      </c>
      <c r="I2" s="40">
        <v>63</v>
      </c>
      <c r="J2" s="40">
        <v>265</v>
      </c>
      <c r="K2" s="40">
        <v>95</v>
      </c>
      <c r="L2" s="55">
        <v>6432</v>
      </c>
      <c r="M2" s="36">
        <v>6427</v>
      </c>
      <c r="N2" s="36">
        <v>7058</v>
      </c>
      <c r="O2" s="43">
        <v>13</v>
      </c>
      <c r="P2" s="36" t="s">
        <v>103</v>
      </c>
      <c r="Q2" s="43" t="s">
        <v>132</v>
      </c>
      <c r="R2" s="43">
        <v>7</v>
      </c>
      <c r="S2" s="43" t="s">
        <v>127</v>
      </c>
      <c r="T2" s="43" t="s">
        <v>133</v>
      </c>
      <c r="U2" s="43" t="s">
        <v>126</v>
      </c>
      <c r="V2" s="55" t="s">
        <v>134</v>
      </c>
      <c r="W2" s="43">
        <v>6432</v>
      </c>
      <c r="X2" s="55">
        <v>6430</v>
      </c>
      <c r="Y2" s="35"/>
      <c r="Z2" s="43">
        <v>7</v>
      </c>
      <c r="AA2" s="43" t="s">
        <v>126</v>
      </c>
      <c r="AB2" s="43" t="s">
        <v>126</v>
      </c>
      <c r="AC2" s="35"/>
      <c r="AD2" s="43" t="s">
        <v>126</v>
      </c>
      <c r="AE2" s="50" t="s">
        <v>184</v>
      </c>
      <c r="AF2" s="50" t="s">
        <v>143</v>
      </c>
    </row>
    <row r="3" spans="1:33" x14ac:dyDescent="0.3">
      <c r="A3" s="40" t="s">
        <v>100</v>
      </c>
      <c r="B3" s="40" t="s">
        <v>95</v>
      </c>
      <c r="C3" s="40" t="s">
        <v>44</v>
      </c>
      <c r="D3" s="40">
        <v>25.4</v>
      </c>
      <c r="E3" s="40">
        <v>13.3</v>
      </c>
      <c r="F3" s="40">
        <v>46</v>
      </c>
      <c r="G3" s="40">
        <v>56.7</v>
      </c>
      <c r="H3" s="40">
        <v>56.8</v>
      </c>
      <c r="I3" s="40">
        <v>66.8</v>
      </c>
      <c r="J3" s="40">
        <v>293.89999999999998</v>
      </c>
      <c r="K3" s="40">
        <v>126</v>
      </c>
      <c r="L3" s="36">
        <v>7046</v>
      </c>
      <c r="M3" s="36">
        <v>7058</v>
      </c>
      <c r="O3" s="36" t="s">
        <v>103</v>
      </c>
      <c r="Q3" s="36" t="s">
        <v>56</v>
      </c>
      <c r="R3" s="35"/>
      <c r="S3" s="36" t="s">
        <v>58</v>
      </c>
      <c r="T3" s="36" t="s">
        <v>89</v>
      </c>
      <c r="U3" s="35" t="s">
        <v>68</v>
      </c>
      <c r="V3" s="36" t="s">
        <v>86</v>
      </c>
      <c r="W3" s="36">
        <v>6748</v>
      </c>
      <c r="X3" s="35"/>
      <c r="Y3" s="35"/>
      <c r="Z3" s="35"/>
      <c r="AA3" s="36" t="s">
        <v>65</v>
      </c>
      <c r="AB3" s="36">
        <v>7656</v>
      </c>
      <c r="AC3" s="36" t="s">
        <v>50</v>
      </c>
      <c r="AD3" s="36" t="s">
        <v>65</v>
      </c>
      <c r="AE3" s="50" t="s">
        <v>101</v>
      </c>
      <c r="AF3" s="50" t="s">
        <v>43</v>
      </c>
      <c r="AG3" s="40">
        <v>7.8</v>
      </c>
    </row>
    <row r="4" spans="1:33" x14ac:dyDescent="0.3">
      <c r="A4" s="40" t="s">
        <v>84</v>
      </c>
      <c r="B4" s="40" t="s">
        <v>108</v>
      </c>
      <c r="C4" s="40" t="s">
        <v>72</v>
      </c>
      <c r="D4" s="40">
        <v>19</v>
      </c>
      <c r="E4" s="40">
        <v>13</v>
      </c>
      <c r="F4" s="40">
        <v>38.1</v>
      </c>
      <c r="G4" s="40">
        <v>61.3</v>
      </c>
      <c r="H4" s="40">
        <v>44.2</v>
      </c>
      <c r="I4" s="40">
        <v>70</v>
      </c>
      <c r="J4" s="40">
        <v>317.10000000000002</v>
      </c>
      <c r="K4" s="40">
        <v>100.2</v>
      </c>
      <c r="L4" s="36">
        <v>8040</v>
      </c>
      <c r="N4" s="35"/>
      <c r="P4" s="36" t="s">
        <v>73</v>
      </c>
      <c r="Q4" s="36" t="s">
        <v>70</v>
      </c>
      <c r="R4" s="36">
        <v>6.375</v>
      </c>
      <c r="S4" s="35" t="s">
        <v>91</v>
      </c>
      <c r="T4" s="35"/>
      <c r="U4" s="35" t="s">
        <v>68</v>
      </c>
      <c r="V4" s="36" t="s">
        <v>86</v>
      </c>
      <c r="W4" s="36">
        <v>7640</v>
      </c>
      <c r="X4" s="35"/>
      <c r="Y4" s="36" t="s">
        <v>112</v>
      </c>
      <c r="Z4" s="36">
        <v>6.125</v>
      </c>
      <c r="AA4" s="36" t="s">
        <v>75</v>
      </c>
      <c r="AB4" s="36">
        <v>7644</v>
      </c>
      <c r="AC4" s="36" t="s">
        <v>50</v>
      </c>
      <c r="AD4" s="36" t="s">
        <v>75</v>
      </c>
      <c r="AE4" s="50" t="s">
        <v>109</v>
      </c>
      <c r="AF4" s="50" t="s">
        <v>43</v>
      </c>
      <c r="AG4" s="40">
        <v>7.4</v>
      </c>
    </row>
    <row r="5" spans="1:33" x14ac:dyDescent="0.3">
      <c r="A5" s="40" t="s">
        <v>135</v>
      </c>
      <c r="B5" s="40" t="s">
        <v>136</v>
      </c>
      <c r="C5" s="40" t="s">
        <v>72</v>
      </c>
      <c r="D5" s="40">
        <v>22</v>
      </c>
      <c r="E5" s="40">
        <v>16</v>
      </c>
      <c r="F5" s="40">
        <v>35</v>
      </c>
      <c r="G5" s="40">
        <v>31</v>
      </c>
      <c r="H5" s="40">
        <v>37</v>
      </c>
      <c r="I5" s="40">
        <v>66</v>
      </c>
      <c r="J5" s="40">
        <v>39</v>
      </c>
      <c r="K5" s="40">
        <v>13</v>
      </c>
      <c r="L5" s="55">
        <v>6736</v>
      </c>
      <c r="N5" s="36">
        <v>6731</v>
      </c>
      <c r="P5" s="36">
        <v>16</v>
      </c>
      <c r="Q5" s="36" t="s">
        <v>126</v>
      </c>
      <c r="R5" s="36">
        <v>7</v>
      </c>
      <c r="S5" s="55" t="s">
        <v>127</v>
      </c>
      <c r="T5" s="55" t="s">
        <v>127</v>
      </c>
      <c r="U5" s="35" t="s">
        <v>128</v>
      </c>
      <c r="V5" s="35" t="s">
        <v>129</v>
      </c>
      <c r="W5" s="55">
        <v>6736</v>
      </c>
      <c r="X5" s="55">
        <v>6734</v>
      </c>
      <c r="Y5" s="35"/>
      <c r="Z5" s="55">
        <v>7</v>
      </c>
      <c r="AA5" s="55" t="s">
        <v>126</v>
      </c>
      <c r="AB5" s="36">
        <v>7040</v>
      </c>
      <c r="AC5" s="35"/>
      <c r="AD5" s="55" t="s">
        <v>126</v>
      </c>
      <c r="AE5" s="50" t="s">
        <v>144</v>
      </c>
      <c r="AF5" s="50" t="s">
        <v>143</v>
      </c>
    </row>
    <row r="6" spans="1:33" x14ac:dyDescent="0.3">
      <c r="A6" s="40" t="s">
        <v>137</v>
      </c>
      <c r="B6" s="40" t="s">
        <v>138</v>
      </c>
      <c r="C6" s="40" t="s">
        <v>72</v>
      </c>
      <c r="D6" s="40">
        <v>23.5</v>
      </c>
      <c r="E6" s="40">
        <v>17</v>
      </c>
      <c r="F6" s="40">
        <v>45</v>
      </c>
      <c r="G6" s="40">
        <v>43</v>
      </c>
      <c r="H6" s="40">
        <v>43</v>
      </c>
      <c r="I6" s="40">
        <v>75</v>
      </c>
      <c r="J6" s="40">
        <v>304.8</v>
      </c>
      <c r="K6" s="40">
        <v>101.6</v>
      </c>
      <c r="L6" s="55">
        <v>8046</v>
      </c>
      <c r="N6" s="36">
        <v>7644</v>
      </c>
      <c r="P6" s="36">
        <v>17.5</v>
      </c>
      <c r="Q6" s="36" t="s">
        <v>130</v>
      </c>
      <c r="R6" s="36">
        <v>7.5</v>
      </c>
      <c r="S6" s="36" t="s">
        <v>131</v>
      </c>
      <c r="T6" s="36" t="s">
        <v>131</v>
      </c>
      <c r="U6" s="55" t="s">
        <v>70</v>
      </c>
      <c r="V6" s="35" t="s">
        <v>129</v>
      </c>
      <c r="W6" s="36">
        <v>7648</v>
      </c>
      <c r="X6" s="36">
        <v>7646</v>
      </c>
      <c r="Y6" s="35"/>
      <c r="Z6" s="36">
        <v>7.5</v>
      </c>
      <c r="AA6" s="36" t="s">
        <v>130</v>
      </c>
      <c r="AB6" s="36">
        <v>7648</v>
      </c>
      <c r="AC6" s="35"/>
      <c r="AD6" s="36" t="s">
        <v>130</v>
      </c>
      <c r="AE6" s="50" t="s">
        <v>155</v>
      </c>
      <c r="AF6" s="50" t="s">
        <v>143</v>
      </c>
    </row>
    <row r="7" spans="1:33" x14ac:dyDescent="0.3">
      <c r="A7" s="40" t="s">
        <v>139</v>
      </c>
      <c r="B7" s="40" t="s">
        <v>140</v>
      </c>
      <c r="C7" s="40" t="s">
        <v>72</v>
      </c>
      <c r="D7" s="40">
        <v>22</v>
      </c>
      <c r="E7" s="40">
        <v>16.5</v>
      </c>
      <c r="F7" s="40">
        <v>40</v>
      </c>
      <c r="G7" s="40">
        <v>30</v>
      </c>
      <c r="H7" s="40">
        <v>38</v>
      </c>
      <c r="I7" s="40">
        <v>62</v>
      </c>
      <c r="J7" s="40">
        <v>240</v>
      </c>
      <c r="K7" s="40">
        <v>130</v>
      </c>
      <c r="L7" s="55">
        <v>6440</v>
      </c>
      <c r="N7" s="36">
        <v>6430</v>
      </c>
      <c r="P7" s="36">
        <v>16.5</v>
      </c>
      <c r="Q7" s="36" t="s">
        <v>70</v>
      </c>
      <c r="R7" s="55">
        <v>7</v>
      </c>
      <c r="S7" s="55" t="s">
        <v>127</v>
      </c>
      <c r="T7" s="55" t="s">
        <v>127</v>
      </c>
      <c r="U7" s="55" t="s">
        <v>132</v>
      </c>
      <c r="V7" s="35" t="s">
        <v>129</v>
      </c>
      <c r="W7" s="36">
        <v>6440</v>
      </c>
      <c r="X7" s="55">
        <v>6430</v>
      </c>
      <c r="Y7" s="35"/>
      <c r="Z7" s="55">
        <v>7</v>
      </c>
      <c r="AA7" s="55" t="s">
        <v>126</v>
      </c>
      <c r="AB7" s="55">
        <v>6444</v>
      </c>
      <c r="AC7" s="35"/>
      <c r="AD7" s="55" t="s">
        <v>126</v>
      </c>
      <c r="AE7" s="50">
        <v>87519091</v>
      </c>
      <c r="AF7" s="50" t="s">
        <v>143</v>
      </c>
    </row>
    <row r="8" spans="1:33" x14ac:dyDescent="0.3">
      <c r="A8" s="40" t="s">
        <v>141</v>
      </c>
      <c r="B8" s="40" t="s">
        <v>142</v>
      </c>
      <c r="C8" s="40" t="s">
        <v>72</v>
      </c>
      <c r="D8" s="40">
        <v>22</v>
      </c>
      <c r="E8" s="40">
        <v>13.5</v>
      </c>
      <c r="F8" s="40">
        <v>32</v>
      </c>
      <c r="G8" s="40">
        <v>26.5</v>
      </c>
      <c r="H8" s="40">
        <v>31</v>
      </c>
      <c r="I8" s="40">
        <v>63</v>
      </c>
      <c r="J8" s="40">
        <v>265</v>
      </c>
      <c r="K8" s="40">
        <v>95</v>
      </c>
      <c r="L8" s="55">
        <v>6432</v>
      </c>
      <c r="N8" s="36">
        <v>6427</v>
      </c>
      <c r="P8" s="43">
        <v>13</v>
      </c>
      <c r="Q8" s="43" t="s">
        <v>132</v>
      </c>
      <c r="R8" s="43">
        <v>7</v>
      </c>
      <c r="S8" s="43" t="s">
        <v>127</v>
      </c>
      <c r="T8" s="43" t="s">
        <v>133</v>
      </c>
      <c r="U8" s="43" t="s">
        <v>126</v>
      </c>
      <c r="V8" s="55" t="s">
        <v>134</v>
      </c>
      <c r="W8" s="43">
        <v>6432</v>
      </c>
      <c r="X8" s="55">
        <v>6430</v>
      </c>
      <c r="Y8" s="35"/>
      <c r="Z8" s="43">
        <v>7</v>
      </c>
      <c r="AA8" s="43" t="s">
        <v>126</v>
      </c>
      <c r="AB8" s="55">
        <v>6436</v>
      </c>
      <c r="AC8" s="35"/>
      <c r="AD8" s="43" t="s">
        <v>126</v>
      </c>
      <c r="AE8" s="50" t="s">
        <v>166</v>
      </c>
      <c r="AF8" s="50" t="s">
        <v>143</v>
      </c>
    </row>
    <row r="9" spans="1:33" x14ac:dyDescent="0.3">
      <c r="A9" s="40" t="s">
        <v>141</v>
      </c>
      <c r="B9" s="40" t="s">
        <v>142</v>
      </c>
      <c r="C9" s="40" t="s">
        <v>44</v>
      </c>
      <c r="D9" s="40">
        <v>22</v>
      </c>
      <c r="E9" s="40">
        <v>13.5</v>
      </c>
      <c r="F9" s="40">
        <v>32</v>
      </c>
      <c r="G9" s="40">
        <v>26.5</v>
      </c>
      <c r="H9" s="40">
        <v>31</v>
      </c>
      <c r="I9" s="40">
        <v>63</v>
      </c>
      <c r="J9" s="40">
        <v>265</v>
      </c>
      <c r="K9" s="40">
        <v>95</v>
      </c>
      <c r="L9" s="55">
        <v>6432</v>
      </c>
      <c r="M9" s="36">
        <v>6427</v>
      </c>
      <c r="O9" s="43">
        <v>13</v>
      </c>
      <c r="Q9" s="43" t="s">
        <v>132</v>
      </c>
      <c r="R9" s="43">
        <v>7</v>
      </c>
      <c r="S9" s="43" t="s">
        <v>127</v>
      </c>
      <c r="T9" s="43" t="s">
        <v>133</v>
      </c>
      <c r="U9" s="43" t="s">
        <v>126</v>
      </c>
      <c r="V9" s="55" t="s">
        <v>134</v>
      </c>
      <c r="W9" s="43">
        <v>6432</v>
      </c>
      <c r="X9" s="55">
        <v>6430</v>
      </c>
      <c r="Y9" s="35"/>
      <c r="Z9" s="43">
        <v>7</v>
      </c>
      <c r="AA9" s="43" t="s">
        <v>126</v>
      </c>
      <c r="AB9" s="43" t="s">
        <v>126</v>
      </c>
      <c r="AC9" s="35"/>
      <c r="AD9" s="43" t="s">
        <v>126</v>
      </c>
      <c r="AE9" s="50" t="s">
        <v>178</v>
      </c>
      <c r="AF9" s="50" t="s">
        <v>143</v>
      </c>
    </row>
    <row r="10" spans="1:33" x14ac:dyDescent="0.3">
      <c r="A10" s="40" t="s">
        <v>100</v>
      </c>
      <c r="B10" s="40" t="s">
        <v>95</v>
      </c>
      <c r="C10" s="40" t="s">
        <v>72</v>
      </c>
      <c r="D10" s="40">
        <v>25.4</v>
      </c>
      <c r="E10" s="40">
        <v>13.3</v>
      </c>
      <c r="F10" s="40">
        <v>46</v>
      </c>
      <c r="G10" s="40">
        <v>56.7</v>
      </c>
      <c r="H10" s="40">
        <v>56.8</v>
      </c>
      <c r="I10" s="40">
        <v>66.8</v>
      </c>
      <c r="J10" s="40">
        <v>293.89999999999998</v>
      </c>
      <c r="K10" s="40">
        <v>126</v>
      </c>
      <c r="L10" s="36">
        <v>7046</v>
      </c>
      <c r="N10" s="36">
        <v>7058</v>
      </c>
      <c r="P10" s="36" t="s">
        <v>103</v>
      </c>
      <c r="Q10" s="36" t="s">
        <v>56</v>
      </c>
      <c r="R10" s="35"/>
      <c r="S10" s="36" t="s">
        <v>58</v>
      </c>
      <c r="T10" s="36" t="s">
        <v>89</v>
      </c>
      <c r="U10" s="35" t="s">
        <v>68</v>
      </c>
      <c r="V10" s="36" t="s">
        <v>86</v>
      </c>
      <c r="W10" s="36">
        <v>6748</v>
      </c>
      <c r="X10" s="35"/>
      <c r="Y10" s="35"/>
      <c r="Z10" s="35"/>
      <c r="AA10" s="36" t="s">
        <v>65</v>
      </c>
      <c r="AB10" s="36" t="s">
        <v>65</v>
      </c>
      <c r="AC10" s="36" t="s">
        <v>50</v>
      </c>
      <c r="AD10" s="36" t="s">
        <v>65</v>
      </c>
      <c r="AE10" s="50" t="s">
        <v>179</v>
      </c>
      <c r="AF10" s="50" t="s">
        <v>143</v>
      </c>
    </row>
    <row r="11" spans="1:33" x14ac:dyDescent="0.3">
      <c r="A11" s="40" t="s">
        <v>84</v>
      </c>
      <c r="B11" s="40" t="s">
        <v>108</v>
      </c>
      <c r="C11" s="40" t="s">
        <v>44</v>
      </c>
      <c r="D11" s="40">
        <v>19</v>
      </c>
      <c r="E11" s="40">
        <v>13</v>
      </c>
      <c r="F11" s="40">
        <v>38.1</v>
      </c>
      <c r="G11" s="40">
        <v>61.3</v>
      </c>
      <c r="H11" s="40">
        <v>44.2</v>
      </c>
      <c r="I11" s="40">
        <v>70</v>
      </c>
      <c r="J11" s="40">
        <v>317.10000000000002</v>
      </c>
      <c r="K11" s="40">
        <v>100.2</v>
      </c>
      <c r="L11" s="36">
        <v>8040</v>
      </c>
      <c r="M11" s="35"/>
      <c r="O11" s="36" t="s">
        <v>73</v>
      </c>
      <c r="Q11" s="36" t="s">
        <v>70</v>
      </c>
      <c r="R11" s="36">
        <v>6.375</v>
      </c>
      <c r="S11" s="35" t="s">
        <v>91</v>
      </c>
      <c r="T11" s="35"/>
      <c r="U11" s="35" t="s">
        <v>68</v>
      </c>
      <c r="V11" s="36" t="s">
        <v>86</v>
      </c>
      <c r="W11" s="36">
        <v>7640</v>
      </c>
      <c r="X11" s="35"/>
      <c r="Y11" s="36" t="s">
        <v>112</v>
      </c>
      <c r="Z11" s="36">
        <v>6.125</v>
      </c>
      <c r="AA11" s="36" t="s">
        <v>75</v>
      </c>
      <c r="AB11" s="36" t="s">
        <v>75</v>
      </c>
      <c r="AC11" s="36" t="s">
        <v>50</v>
      </c>
      <c r="AD11" s="36" t="s">
        <v>75</v>
      </c>
      <c r="AE11" s="50" t="s">
        <v>180</v>
      </c>
      <c r="AF11" s="50" t="s">
        <v>143</v>
      </c>
    </row>
    <row r="12" spans="1:33" x14ac:dyDescent="0.3">
      <c r="A12" s="40" t="s">
        <v>135</v>
      </c>
      <c r="B12" s="40" t="s">
        <v>136</v>
      </c>
      <c r="C12" s="40" t="s">
        <v>44</v>
      </c>
      <c r="D12" s="40">
        <v>22</v>
      </c>
      <c r="E12" s="40">
        <v>16</v>
      </c>
      <c r="F12" s="40">
        <v>35</v>
      </c>
      <c r="G12" s="40">
        <v>31</v>
      </c>
      <c r="H12" s="40">
        <v>37</v>
      </c>
      <c r="I12" s="40">
        <v>66</v>
      </c>
      <c r="J12" s="40">
        <v>39</v>
      </c>
      <c r="K12" s="40">
        <v>13</v>
      </c>
      <c r="L12" s="55">
        <v>6736</v>
      </c>
      <c r="M12" s="36">
        <v>6731</v>
      </c>
      <c r="O12" s="36">
        <v>16</v>
      </c>
      <c r="Q12" s="36" t="s">
        <v>126</v>
      </c>
      <c r="R12" s="36">
        <v>7</v>
      </c>
      <c r="S12" s="55" t="s">
        <v>127</v>
      </c>
      <c r="T12" s="55" t="s">
        <v>127</v>
      </c>
      <c r="U12" s="35" t="s">
        <v>128</v>
      </c>
      <c r="V12" s="35" t="s">
        <v>129</v>
      </c>
      <c r="W12" s="55">
        <v>6736</v>
      </c>
      <c r="X12" s="55">
        <v>6734</v>
      </c>
      <c r="Y12" s="35"/>
      <c r="Z12" s="55">
        <v>7</v>
      </c>
      <c r="AA12" s="55" t="s">
        <v>126</v>
      </c>
      <c r="AB12" s="55" t="s">
        <v>126</v>
      </c>
      <c r="AC12" s="35"/>
      <c r="AD12" s="55" t="s">
        <v>126</v>
      </c>
      <c r="AE12" s="50" t="s">
        <v>181</v>
      </c>
      <c r="AF12" s="50" t="s">
        <v>143</v>
      </c>
    </row>
    <row r="13" spans="1:33" x14ac:dyDescent="0.3">
      <c r="A13" s="40" t="s">
        <v>137</v>
      </c>
      <c r="B13" s="40" t="s">
        <v>138</v>
      </c>
      <c r="C13" s="40" t="s">
        <v>44</v>
      </c>
      <c r="D13" s="40">
        <v>23.5</v>
      </c>
      <c r="E13" s="40">
        <v>17</v>
      </c>
      <c r="F13" s="40">
        <v>45</v>
      </c>
      <c r="G13" s="40">
        <v>43</v>
      </c>
      <c r="H13" s="40">
        <v>43</v>
      </c>
      <c r="I13" s="40">
        <v>75</v>
      </c>
      <c r="J13" s="40">
        <v>304.8</v>
      </c>
      <c r="K13" s="40">
        <v>101.6</v>
      </c>
      <c r="L13" s="55">
        <v>8046</v>
      </c>
      <c r="M13" s="36">
        <v>7644</v>
      </c>
      <c r="O13" s="36">
        <v>17.5</v>
      </c>
      <c r="Q13" s="36" t="s">
        <v>130</v>
      </c>
      <c r="R13" s="36">
        <v>7.5</v>
      </c>
      <c r="S13" s="36" t="s">
        <v>131</v>
      </c>
      <c r="T13" s="36" t="s">
        <v>131</v>
      </c>
      <c r="U13" s="55" t="s">
        <v>70</v>
      </c>
      <c r="V13" s="35" t="s">
        <v>129</v>
      </c>
      <c r="W13" s="36">
        <v>7648</v>
      </c>
      <c r="X13" s="36">
        <v>7646</v>
      </c>
      <c r="Y13" s="35"/>
      <c r="Z13" s="36">
        <v>7.5</v>
      </c>
      <c r="AA13" s="36" t="s">
        <v>130</v>
      </c>
      <c r="AB13" s="36" t="s">
        <v>130</v>
      </c>
      <c r="AC13" s="35"/>
      <c r="AD13" s="36" t="s">
        <v>130</v>
      </c>
      <c r="AE13" s="50" t="s">
        <v>182</v>
      </c>
      <c r="AF13" s="50" t="s">
        <v>143</v>
      </c>
    </row>
    <row r="14" spans="1:33" x14ac:dyDescent="0.3">
      <c r="A14" s="40" t="s">
        <v>139</v>
      </c>
      <c r="B14" s="40" t="s">
        <v>140</v>
      </c>
      <c r="C14" s="40" t="s">
        <v>44</v>
      </c>
      <c r="D14" s="40">
        <v>22</v>
      </c>
      <c r="E14" s="40">
        <v>16.5</v>
      </c>
      <c r="F14" s="40">
        <v>40</v>
      </c>
      <c r="G14" s="40">
        <v>30</v>
      </c>
      <c r="H14" s="40">
        <v>38</v>
      </c>
      <c r="I14" s="40">
        <v>62</v>
      </c>
      <c r="J14" s="40">
        <v>240</v>
      </c>
      <c r="K14" s="40">
        <v>130</v>
      </c>
      <c r="L14" s="55">
        <v>6440</v>
      </c>
      <c r="M14" s="36">
        <v>6430</v>
      </c>
      <c r="O14" s="36">
        <v>16.5</v>
      </c>
      <c r="Q14" s="36" t="s">
        <v>70</v>
      </c>
      <c r="R14" s="55">
        <v>7</v>
      </c>
      <c r="S14" s="55" t="s">
        <v>127</v>
      </c>
      <c r="T14" s="55" t="s">
        <v>127</v>
      </c>
      <c r="U14" s="55" t="s">
        <v>132</v>
      </c>
      <c r="V14" s="35" t="s">
        <v>129</v>
      </c>
      <c r="W14" s="36">
        <v>6440</v>
      </c>
      <c r="X14" s="55">
        <v>6430</v>
      </c>
      <c r="Y14" s="35"/>
      <c r="Z14" s="55">
        <v>7</v>
      </c>
      <c r="AA14" s="55" t="s">
        <v>126</v>
      </c>
      <c r="AB14" s="55" t="s">
        <v>126</v>
      </c>
      <c r="AC14" s="35"/>
      <c r="AD14" s="55" t="s">
        <v>126</v>
      </c>
      <c r="AE14" s="50" t="s">
        <v>183</v>
      </c>
      <c r="AF14" s="50" t="s">
        <v>143</v>
      </c>
    </row>
    <row r="15" spans="1:33" x14ac:dyDescent="0.3">
      <c r="A15" s="40" t="s">
        <v>141</v>
      </c>
      <c r="B15" s="40" t="s">
        <v>142</v>
      </c>
      <c r="C15" s="40" t="s">
        <v>44</v>
      </c>
      <c r="D15" s="40">
        <v>22</v>
      </c>
      <c r="E15" s="40">
        <v>13.5</v>
      </c>
      <c r="F15" s="40">
        <v>32</v>
      </c>
      <c r="G15" s="40">
        <v>26.5</v>
      </c>
      <c r="H15" s="40">
        <v>31</v>
      </c>
      <c r="I15" s="40">
        <v>63</v>
      </c>
      <c r="J15" s="40">
        <v>265</v>
      </c>
      <c r="K15" s="40">
        <v>95</v>
      </c>
      <c r="L15" s="55">
        <v>6432</v>
      </c>
      <c r="M15" s="36">
        <v>6427</v>
      </c>
      <c r="O15" s="43">
        <v>13</v>
      </c>
      <c r="Q15" s="43" t="s">
        <v>132</v>
      </c>
      <c r="R15" s="43">
        <v>7</v>
      </c>
      <c r="S15" s="43" t="s">
        <v>127</v>
      </c>
      <c r="T15" s="43" t="s">
        <v>133</v>
      </c>
      <c r="U15" s="43" t="s">
        <v>126</v>
      </c>
      <c r="V15" s="55" t="s">
        <v>134</v>
      </c>
      <c r="W15" s="43">
        <v>6432</v>
      </c>
      <c r="X15" s="55">
        <v>6430</v>
      </c>
      <c r="Y15" s="35"/>
      <c r="Z15" s="43">
        <v>7</v>
      </c>
      <c r="AA15" s="43" t="s">
        <v>126</v>
      </c>
      <c r="AB15" s="43" t="s">
        <v>126</v>
      </c>
      <c r="AC15" s="35"/>
      <c r="AD15" s="43" t="s">
        <v>126</v>
      </c>
      <c r="AE15" s="50" t="s">
        <v>184</v>
      </c>
      <c r="AF15" s="50" t="s">
        <v>143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W15"/>
  <sheetViews>
    <sheetView zoomScale="85" zoomScaleNormal="85" workbookViewId="0">
      <selection activeCell="A13" sqref="A13"/>
    </sheetView>
  </sheetViews>
  <sheetFormatPr defaultRowHeight="14.4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</cols>
  <sheetData>
    <row r="1" spans="1:23" ht="27.6" customHeight="1" x14ac:dyDescent="0.3">
      <c r="A1" s="39" t="s">
        <v>42</v>
      </c>
      <c r="B1" s="35" t="s">
        <v>45</v>
      </c>
      <c r="C1" s="36" t="s">
        <v>78</v>
      </c>
      <c r="D1" s="56" t="s">
        <v>79</v>
      </c>
      <c r="E1" s="56"/>
      <c r="F1" s="41" t="s">
        <v>80</v>
      </c>
      <c r="G1" s="43" t="s">
        <v>67</v>
      </c>
      <c r="H1" s="37" t="s">
        <v>76</v>
      </c>
      <c r="I1" s="38" t="s">
        <v>81</v>
      </c>
      <c r="L1" s="40" t="s">
        <v>99</v>
      </c>
      <c r="M1" s="46" t="s">
        <v>96</v>
      </c>
      <c r="N1" s="45" t="s">
        <v>97</v>
      </c>
      <c r="O1" s="44" t="s">
        <v>98</v>
      </c>
    </row>
    <row r="2" spans="1:23" ht="37.35" customHeight="1" x14ac:dyDescent="0.3">
      <c r="A2" s="34" t="s">
        <v>60</v>
      </c>
      <c r="B2" s="34" t="s">
        <v>18</v>
      </c>
      <c r="C2" s="34" t="s">
        <v>21</v>
      </c>
      <c r="D2" s="34" t="s">
        <v>19</v>
      </c>
      <c r="E2" s="34" t="s">
        <v>20</v>
      </c>
      <c r="F2" s="34" t="s">
        <v>24</v>
      </c>
      <c r="G2" s="34" t="s">
        <v>23</v>
      </c>
      <c r="H2" s="34" t="s">
        <v>25</v>
      </c>
      <c r="I2" s="34" t="s">
        <v>26</v>
      </c>
      <c r="J2" s="34" t="s">
        <v>27</v>
      </c>
      <c r="K2" s="34" t="s">
        <v>82</v>
      </c>
      <c r="L2" s="34" t="s">
        <v>28</v>
      </c>
      <c r="M2" s="34" t="s">
        <v>22</v>
      </c>
      <c r="N2" s="34" t="s">
        <v>29</v>
      </c>
      <c r="O2" s="34" t="s">
        <v>30</v>
      </c>
      <c r="P2" s="34" t="s">
        <v>83</v>
      </c>
      <c r="Q2" s="34" t="s">
        <v>33</v>
      </c>
      <c r="R2" s="34" t="s">
        <v>31</v>
      </c>
      <c r="S2" s="34" t="s">
        <v>47</v>
      </c>
      <c r="T2" s="34" t="s">
        <v>32</v>
      </c>
      <c r="U2" s="34" t="s">
        <v>93</v>
      </c>
      <c r="V2" s="34" t="s">
        <v>94</v>
      </c>
      <c r="W2" s="34" t="s">
        <v>77</v>
      </c>
    </row>
    <row r="3" spans="1:23" x14ac:dyDescent="0.3">
      <c r="A3" s="42" t="s">
        <v>107</v>
      </c>
      <c r="B3" s="36">
        <v>7046</v>
      </c>
      <c r="C3" s="36" t="s">
        <v>103</v>
      </c>
      <c r="D3" s="36" t="s">
        <v>56</v>
      </c>
      <c r="E3" s="36">
        <v>7058</v>
      </c>
      <c r="F3" s="35"/>
      <c r="G3" s="36" t="s">
        <v>58</v>
      </c>
      <c r="H3" s="36" t="s">
        <v>89</v>
      </c>
      <c r="I3" s="35" t="s">
        <v>68</v>
      </c>
      <c r="J3" s="36" t="s">
        <v>86</v>
      </c>
      <c r="K3" s="50"/>
      <c r="L3" s="36" t="s">
        <v>50</v>
      </c>
      <c r="M3" s="36" t="s">
        <v>65</v>
      </c>
      <c r="N3" s="36" t="s">
        <v>65</v>
      </c>
      <c r="O3" s="36">
        <v>7656</v>
      </c>
      <c r="P3" s="50"/>
      <c r="Q3" s="35"/>
      <c r="R3" s="36">
        <v>6748</v>
      </c>
      <c r="S3" s="35"/>
      <c r="T3" s="35"/>
      <c r="U3" s="50"/>
      <c r="V3" s="35" t="s">
        <v>100</v>
      </c>
      <c r="W3" s="40"/>
    </row>
    <row r="4" spans="1:23" x14ac:dyDescent="0.3">
      <c r="A4" s="42" t="s">
        <v>114</v>
      </c>
      <c r="B4" s="36">
        <v>8040</v>
      </c>
      <c r="C4" s="36" t="s">
        <v>73</v>
      </c>
      <c r="D4" s="36" t="s">
        <v>70</v>
      </c>
      <c r="E4" s="35"/>
      <c r="F4" s="36">
        <v>6.375</v>
      </c>
      <c r="G4" s="35" t="s">
        <v>91</v>
      </c>
      <c r="H4" s="35"/>
      <c r="I4" s="35" t="s">
        <v>68</v>
      </c>
      <c r="J4" s="36" t="s">
        <v>86</v>
      </c>
      <c r="K4" s="50"/>
      <c r="L4" s="36" t="s">
        <v>50</v>
      </c>
      <c r="M4" s="36" t="s">
        <v>75</v>
      </c>
      <c r="N4" s="36" t="s">
        <v>75</v>
      </c>
      <c r="O4" s="36">
        <v>7644</v>
      </c>
      <c r="P4" s="50"/>
      <c r="Q4" s="36">
        <v>6.125</v>
      </c>
      <c r="R4" s="36">
        <v>7640</v>
      </c>
      <c r="S4" s="35"/>
      <c r="T4" s="36" t="s">
        <v>112</v>
      </c>
      <c r="U4" s="50"/>
      <c r="V4" s="35" t="s">
        <v>84</v>
      </c>
      <c r="W4" s="40"/>
    </row>
    <row r="5" spans="1:23" x14ac:dyDescent="0.3">
      <c r="A5" s="42" t="s">
        <v>175</v>
      </c>
      <c r="B5" s="55">
        <v>6736</v>
      </c>
      <c r="C5" s="36">
        <v>16</v>
      </c>
      <c r="D5" s="36" t="s">
        <v>126</v>
      </c>
      <c r="E5" s="36">
        <v>6731</v>
      </c>
      <c r="F5" s="36">
        <v>7</v>
      </c>
      <c r="G5" s="55" t="s">
        <v>127</v>
      </c>
      <c r="H5" s="55" t="s">
        <v>127</v>
      </c>
      <c r="I5" s="35" t="s">
        <v>128</v>
      </c>
      <c r="J5" s="35" t="s">
        <v>129</v>
      </c>
      <c r="K5" s="50"/>
      <c r="L5" s="35"/>
      <c r="M5" s="55" t="s">
        <v>126</v>
      </c>
      <c r="N5" s="55" t="s">
        <v>126</v>
      </c>
      <c r="O5" s="36">
        <v>7040</v>
      </c>
      <c r="P5" s="50"/>
      <c r="Q5" s="55">
        <v>7</v>
      </c>
      <c r="R5" s="55">
        <v>6736</v>
      </c>
      <c r="S5" s="55">
        <v>6734</v>
      </c>
      <c r="T5" s="35"/>
      <c r="U5" s="50"/>
      <c r="V5" s="35" t="s">
        <v>135</v>
      </c>
      <c r="W5" s="40"/>
    </row>
    <row r="6" spans="1:23" x14ac:dyDescent="0.3">
      <c r="A6" s="42" t="s">
        <v>176</v>
      </c>
      <c r="B6" s="55">
        <v>8046</v>
      </c>
      <c r="C6" s="36">
        <v>17.5</v>
      </c>
      <c r="D6" s="36" t="s">
        <v>130</v>
      </c>
      <c r="E6" s="36">
        <v>7644</v>
      </c>
      <c r="F6" s="36">
        <v>7.5</v>
      </c>
      <c r="G6" s="36" t="s">
        <v>131</v>
      </c>
      <c r="H6" s="36" t="s">
        <v>131</v>
      </c>
      <c r="I6" s="55" t="s">
        <v>70</v>
      </c>
      <c r="J6" s="35" t="s">
        <v>129</v>
      </c>
      <c r="K6" s="50"/>
      <c r="L6" s="35"/>
      <c r="M6" s="36" t="s">
        <v>130</v>
      </c>
      <c r="N6" s="36" t="s">
        <v>130</v>
      </c>
      <c r="O6" s="36">
        <v>7648</v>
      </c>
      <c r="P6" s="50"/>
      <c r="Q6" s="36">
        <v>7.5</v>
      </c>
      <c r="R6" s="36">
        <v>7648</v>
      </c>
      <c r="S6" s="36">
        <v>7646</v>
      </c>
      <c r="T6" s="35"/>
      <c r="U6" s="50"/>
      <c r="V6" s="35" t="s">
        <v>137</v>
      </c>
      <c r="W6" s="40"/>
    </row>
    <row r="7" spans="1:23" x14ac:dyDescent="0.3">
      <c r="A7" s="42" t="s">
        <v>177</v>
      </c>
      <c r="B7" s="55">
        <v>6440</v>
      </c>
      <c r="C7" s="36">
        <v>16.5</v>
      </c>
      <c r="D7" s="36" t="s">
        <v>70</v>
      </c>
      <c r="E7" s="36">
        <v>6430</v>
      </c>
      <c r="F7" s="55">
        <v>7</v>
      </c>
      <c r="G7" s="55" t="s">
        <v>127</v>
      </c>
      <c r="H7" s="55" t="s">
        <v>127</v>
      </c>
      <c r="I7" s="55" t="s">
        <v>132</v>
      </c>
      <c r="J7" s="35" t="s">
        <v>129</v>
      </c>
      <c r="K7" s="50"/>
      <c r="L7" s="35"/>
      <c r="M7" s="55" t="s">
        <v>126</v>
      </c>
      <c r="N7" s="55" t="s">
        <v>126</v>
      </c>
      <c r="O7" s="55">
        <v>6444</v>
      </c>
      <c r="P7" s="50"/>
      <c r="Q7" s="55">
        <v>7</v>
      </c>
      <c r="R7" s="36">
        <v>6440</v>
      </c>
      <c r="S7" s="55">
        <v>6430</v>
      </c>
      <c r="T7" s="35"/>
      <c r="U7" s="50"/>
      <c r="V7" s="35" t="s">
        <v>139</v>
      </c>
      <c r="W7" s="40"/>
    </row>
    <row r="8" spans="1:23" x14ac:dyDescent="0.3">
      <c r="A8" s="42" t="s">
        <v>174</v>
      </c>
      <c r="B8" s="55">
        <v>6432</v>
      </c>
      <c r="C8" s="43">
        <v>13</v>
      </c>
      <c r="D8" s="43" t="s">
        <v>132</v>
      </c>
      <c r="E8" s="36">
        <v>6427</v>
      </c>
      <c r="F8" s="43">
        <v>7</v>
      </c>
      <c r="G8" s="43" t="s">
        <v>127</v>
      </c>
      <c r="H8" s="43" t="s">
        <v>133</v>
      </c>
      <c r="I8" s="43" t="s">
        <v>126</v>
      </c>
      <c r="J8" s="55" t="s">
        <v>134</v>
      </c>
      <c r="K8" s="50"/>
      <c r="L8" s="35"/>
      <c r="M8" s="43" t="s">
        <v>126</v>
      </c>
      <c r="N8" s="43" t="s">
        <v>126</v>
      </c>
      <c r="O8" s="55">
        <v>6436</v>
      </c>
      <c r="P8" s="50"/>
      <c r="Q8" s="43">
        <v>7</v>
      </c>
      <c r="R8" s="43">
        <v>6432</v>
      </c>
      <c r="S8" s="55">
        <v>6430</v>
      </c>
      <c r="T8" s="35"/>
      <c r="U8" s="50"/>
      <c r="V8" s="35" t="s">
        <v>141</v>
      </c>
      <c r="W8" s="40"/>
    </row>
    <row r="9" spans="1:23" x14ac:dyDescent="0.3">
      <c r="A9" s="42" t="s">
        <v>174</v>
      </c>
      <c r="B9" s="55">
        <v>6432</v>
      </c>
      <c r="C9" s="43">
        <v>13</v>
      </c>
      <c r="D9" s="43" t="s">
        <v>132</v>
      </c>
      <c r="E9" s="36">
        <v>6427</v>
      </c>
      <c r="F9" s="43">
        <v>7</v>
      </c>
      <c r="G9" s="43" t="s">
        <v>127</v>
      </c>
      <c r="H9" s="43" t="s">
        <v>133</v>
      </c>
      <c r="I9" s="43" t="s">
        <v>126</v>
      </c>
      <c r="J9" s="55" t="s">
        <v>134</v>
      </c>
      <c r="K9" s="50"/>
      <c r="L9" s="35"/>
      <c r="M9" s="43" t="s">
        <v>126</v>
      </c>
      <c r="N9" s="43" t="s">
        <v>126</v>
      </c>
      <c r="O9" s="43" t="s">
        <v>126</v>
      </c>
      <c r="P9" s="50"/>
      <c r="Q9" s="43">
        <v>7</v>
      </c>
      <c r="R9" s="43">
        <v>6432</v>
      </c>
      <c r="S9" s="55">
        <v>6430</v>
      </c>
      <c r="T9" s="35"/>
      <c r="U9" s="50"/>
      <c r="V9" s="35" t="s">
        <v>141</v>
      </c>
      <c r="W9" s="40"/>
    </row>
    <row r="10" spans="1:23" x14ac:dyDescent="0.3">
      <c r="A10" s="42" t="s">
        <v>107</v>
      </c>
      <c r="B10" s="36">
        <v>7046</v>
      </c>
      <c r="C10" s="36" t="s">
        <v>103</v>
      </c>
      <c r="D10" s="36" t="s">
        <v>56</v>
      </c>
      <c r="E10" s="36">
        <v>7058</v>
      </c>
      <c r="F10" s="35"/>
      <c r="G10" s="36" t="s">
        <v>58</v>
      </c>
      <c r="H10" s="36" t="s">
        <v>89</v>
      </c>
      <c r="I10" s="35" t="s">
        <v>68</v>
      </c>
      <c r="J10" s="36" t="s">
        <v>86</v>
      </c>
      <c r="K10" s="50"/>
      <c r="L10" s="36" t="s">
        <v>50</v>
      </c>
      <c r="M10" s="36" t="s">
        <v>65</v>
      </c>
      <c r="N10" s="36" t="s">
        <v>65</v>
      </c>
      <c r="O10" s="36" t="s">
        <v>65</v>
      </c>
      <c r="P10" s="50"/>
      <c r="Q10" s="35"/>
      <c r="R10" s="36">
        <v>6748</v>
      </c>
      <c r="S10" s="35"/>
      <c r="T10" s="35"/>
      <c r="U10" s="50"/>
      <c r="V10" s="35" t="s">
        <v>100</v>
      </c>
      <c r="W10" s="40"/>
    </row>
    <row r="11" spans="1:23" x14ac:dyDescent="0.3">
      <c r="A11" s="42" t="s">
        <v>114</v>
      </c>
      <c r="B11" s="36">
        <v>8040</v>
      </c>
      <c r="C11" s="36" t="s">
        <v>73</v>
      </c>
      <c r="D11" s="36" t="s">
        <v>70</v>
      </c>
      <c r="E11" s="35"/>
      <c r="F11" s="36">
        <v>6.375</v>
      </c>
      <c r="G11" s="35" t="s">
        <v>91</v>
      </c>
      <c r="H11" s="35"/>
      <c r="I11" s="35" t="s">
        <v>68</v>
      </c>
      <c r="J11" s="36" t="s">
        <v>86</v>
      </c>
      <c r="K11" s="50"/>
      <c r="L11" s="36" t="s">
        <v>50</v>
      </c>
      <c r="M11" s="36" t="s">
        <v>75</v>
      </c>
      <c r="N11" s="36" t="s">
        <v>75</v>
      </c>
      <c r="O11" s="36" t="s">
        <v>75</v>
      </c>
      <c r="P11" s="50"/>
      <c r="Q11" s="36">
        <v>6.125</v>
      </c>
      <c r="R11" s="36">
        <v>7640</v>
      </c>
      <c r="S11" s="35"/>
      <c r="T11" s="36" t="s">
        <v>112</v>
      </c>
      <c r="U11" s="50"/>
      <c r="V11" s="35" t="s">
        <v>84</v>
      </c>
      <c r="W11" s="40"/>
    </row>
    <row r="12" spans="1:23" x14ac:dyDescent="0.3">
      <c r="A12" s="42" t="s">
        <v>175</v>
      </c>
      <c r="B12" s="55">
        <v>6736</v>
      </c>
      <c r="C12" s="36">
        <v>16</v>
      </c>
      <c r="D12" s="36" t="s">
        <v>126</v>
      </c>
      <c r="E12" s="36">
        <v>6731</v>
      </c>
      <c r="F12" s="36">
        <v>7</v>
      </c>
      <c r="G12" s="55" t="s">
        <v>127</v>
      </c>
      <c r="H12" s="55" t="s">
        <v>127</v>
      </c>
      <c r="I12" s="35" t="s">
        <v>128</v>
      </c>
      <c r="J12" s="35" t="s">
        <v>129</v>
      </c>
      <c r="K12" s="50"/>
      <c r="L12" s="35"/>
      <c r="M12" s="55" t="s">
        <v>126</v>
      </c>
      <c r="N12" s="55" t="s">
        <v>126</v>
      </c>
      <c r="O12" s="55" t="s">
        <v>126</v>
      </c>
      <c r="P12" s="50"/>
      <c r="Q12" s="55">
        <v>7</v>
      </c>
      <c r="R12" s="55">
        <v>6736</v>
      </c>
      <c r="S12" s="55">
        <v>6734</v>
      </c>
      <c r="T12" s="35"/>
      <c r="U12" s="50"/>
      <c r="V12" s="35" t="s">
        <v>135</v>
      </c>
      <c r="W12" s="40"/>
    </row>
    <row r="13" spans="1:23" x14ac:dyDescent="0.3">
      <c r="A13" s="42" t="s">
        <v>176</v>
      </c>
      <c r="B13" s="55">
        <v>8046</v>
      </c>
      <c r="C13" s="36">
        <v>17.5</v>
      </c>
      <c r="D13" s="36" t="s">
        <v>130</v>
      </c>
      <c r="E13" s="36">
        <v>7644</v>
      </c>
      <c r="F13" s="36">
        <v>7.5</v>
      </c>
      <c r="G13" s="36" t="s">
        <v>131</v>
      </c>
      <c r="H13" s="36" t="s">
        <v>131</v>
      </c>
      <c r="I13" s="55" t="s">
        <v>70</v>
      </c>
      <c r="J13" s="35" t="s">
        <v>129</v>
      </c>
      <c r="K13" s="50"/>
      <c r="L13" s="35"/>
      <c r="M13" s="36" t="s">
        <v>130</v>
      </c>
      <c r="N13" s="36" t="s">
        <v>130</v>
      </c>
      <c r="O13" s="36" t="s">
        <v>130</v>
      </c>
      <c r="P13" s="50"/>
      <c r="Q13" s="36">
        <v>7.5</v>
      </c>
      <c r="R13" s="36">
        <v>7648</v>
      </c>
      <c r="S13" s="36">
        <v>7646</v>
      </c>
      <c r="T13" s="35"/>
      <c r="U13" s="50"/>
      <c r="V13" s="35" t="s">
        <v>137</v>
      </c>
      <c r="W13" s="40"/>
    </row>
    <row r="14" spans="1:23" x14ac:dyDescent="0.3">
      <c r="A14" s="42" t="s">
        <v>177</v>
      </c>
      <c r="B14" s="55">
        <v>6440</v>
      </c>
      <c r="C14" s="36">
        <v>16.5</v>
      </c>
      <c r="D14" s="36" t="s">
        <v>70</v>
      </c>
      <c r="E14" s="36">
        <v>6430</v>
      </c>
      <c r="F14" s="55">
        <v>7</v>
      </c>
      <c r="G14" s="55" t="s">
        <v>127</v>
      </c>
      <c r="H14" s="55" t="s">
        <v>127</v>
      </c>
      <c r="I14" s="55" t="s">
        <v>132</v>
      </c>
      <c r="J14" s="35" t="s">
        <v>129</v>
      </c>
      <c r="K14" s="50"/>
      <c r="L14" s="35"/>
      <c r="M14" s="55" t="s">
        <v>126</v>
      </c>
      <c r="N14" s="55" t="s">
        <v>126</v>
      </c>
      <c r="O14" s="55" t="s">
        <v>126</v>
      </c>
      <c r="P14" s="50"/>
      <c r="Q14" s="55">
        <v>7</v>
      </c>
      <c r="R14" s="36">
        <v>6440</v>
      </c>
      <c r="S14" s="55">
        <v>6430</v>
      </c>
      <c r="T14" s="35"/>
      <c r="U14" s="50"/>
      <c r="V14" s="35" t="s">
        <v>139</v>
      </c>
      <c r="W14" s="40"/>
    </row>
    <row r="15" spans="1:23" x14ac:dyDescent="0.3">
      <c r="A15" s="42" t="s">
        <v>174</v>
      </c>
      <c r="B15" s="55">
        <v>6432</v>
      </c>
      <c r="C15" s="43">
        <v>13</v>
      </c>
      <c r="D15" s="43" t="s">
        <v>132</v>
      </c>
      <c r="E15" s="36">
        <v>6427</v>
      </c>
      <c r="F15" s="43">
        <v>7</v>
      </c>
      <c r="G15" s="43" t="s">
        <v>127</v>
      </c>
      <c r="H15" s="43" t="s">
        <v>133</v>
      </c>
      <c r="I15" s="43" t="s">
        <v>126</v>
      </c>
      <c r="J15" s="55" t="s">
        <v>134</v>
      </c>
      <c r="K15" s="50"/>
      <c r="L15" s="35"/>
      <c r="M15" s="43" t="s">
        <v>126</v>
      </c>
      <c r="N15" s="43" t="s">
        <v>126</v>
      </c>
      <c r="O15" s="43" t="s">
        <v>126</v>
      </c>
      <c r="P15" s="50"/>
      <c r="Q15" s="43">
        <v>7</v>
      </c>
      <c r="R15" s="43">
        <v>6432</v>
      </c>
      <c r="S15" s="55">
        <v>6430</v>
      </c>
      <c r="T15" s="35"/>
      <c r="U15" s="50"/>
      <c r="V15" s="35" t="s">
        <v>141</v>
      </c>
      <c r="W15" s="40"/>
    </row>
  </sheetData>
  <mergeCells count="1">
    <mergeCell ref="D1:E1"/>
  </mergeCells>
  <hyperlinks>
    <hyperlink ref="A1" location="Menu!A1" display="Back to Menu" xr:uid="{2F36453C-1B65-4911-A569-6D05EA005156}"/>
    <hyperlink ref="A3" location="Charlie_Clark_6D74C5A2!A1" display="Clark, Charlie" xr:uid="{70C3B634-8DE9-4512-AED3-12235D83F67B}"/>
    <hyperlink ref="A4" location="Isabella_Taylor_39329697!A1" display="Taylor, Isabella" xr:uid="{943CD96E-96E9-4990-8D2C-A263BB54011A}"/>
    <hyperlink ref="A5" location="Banks_Rob_009907AE!A1" display="Rob, Banks" xr:uid="{C9A0525E-2AEC-4ACD-A186-2FF01CB2D569}"/>
    <hyperlink ref="A6" location="Rophone_Mike_075E95A3!A1" display="Mike, Rophone" xr:uid="{376AC348-C68F-4850-A921-C596A929C879}"/>
    <hyperlink ref="A7" location="Christ_Jesus_1CB2AEBC!A1" display="Jesus, Christ" xr:uid="{5829AC63-14B6-4D87-8E10-7475E25F46F2}"/>
    <hyperlink ref="A8" location="Rhea_Dia_D874C084!A1" display="Dia, Rhea" xr:uid="{D3F2F9CF-D2E3-4100-8F83-17FD35DD5BD9}"/>
    <hyperlink ref="A9" location="Rhea_Dia_6D7376B0!A1" display="Dia, Rhea" xr:uid="{27C100AF-8802-4C4F-BED9-0835936361CB}"/>
    <hyperlink ref="A10" location="Charlie_Clark_705CF08B!A1" display="Clark, Charlie" xr:uid="{143FD854-A7CA-45C3-B55F-B15F4A4AD520}"/>
    <hyperlink ref="A11" location="Isabella_Taylor_3DB5A497!A1" display="Taylor, Isabella" xr:uid="{DA3E8829-1464-4C7F-A4EF-8CD082BBD82E}"/>
    <hyperlink ref="A12" location="Banks_Rob_DEE84589!A1" display="Rob, Banks" xr:uid="{36A3885B-44D4-4C1F-B1D0-525FCCAA5A1D}"/>
    <hyperlink ref="A13" location="Rophone_Mike_011D10BB!A1" display="Mike, Rophone" xr:uid="{400E9243-3543-417B-9446-267FA148A590}"/>
    <hyperlink ref="A14" location="Christ_Jesus_B5B783A3!A1" display="Jesus, Christ" xr:uid="{9E0DBE1A-4D8E-46A9-92FB-CD6D2003E5A7}"/>
    <hyperlink ref="A15" location="Rhea_Dia_772C83B6!A1" display="Dia, Rhea" xr:uid="{C5352757-971A-4707-98C0-1B659C3AB9B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274" r:id="rId3" name="Toggle2">
              <controlPr defaultSize="0" print="0" autoFill="0" autoPict="0" macro="[0]!'togglePersonAsComplete 3'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75" r:id="rId4" name="Toggle3">
              <controlPr defaultSize="0" print="0" autoFill="0" autoPict="0" macro="[0]!'togglePersonAsComplete 4'">
                <anchor moveWithCells="1" sizeWithCells="1">
                  <from>
                    <xdr:col>22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76" r:id="rId5" name="Toggle4">
              <controlPr defaultSize="0" print="0" autoFill="0" autoPict="0" macro="[0]!'togglePersonAsComplete 5'">
                <anchor moveWithCells="1" siz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77" r:id="rId6" name="Toggle5">
              <controlPr defaultSize="0" print="0" autoFill="0" autoPict="0" macro="[0]!'togglePersonAsComplete 6'">
                <anchor moveWithCells="1" sizeWithCells="1">
                  <from>
                    <xdr:col>22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78" r:id="rId7" name="Toggle6">
              <controlPr defaultSize="0" print="0" autoFill="0" autoPict="0" macro="[0]!'togglePersonAsComplete 7'">
                <anchor moveWithCells="1" sizeWithCells="1">
                  <from>
                    <xdr:col>22</xdr:col>
                    <xdr:colOff>0</xdr:colOff>
                    <xdr:row>6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79" r:id="rId8" name="Toggle7">
              <controlPr defaultSize="0" print="0" autoFill="0" autoPict="0" macro="[0]!'togglePersonAsComplete 8'">
                <anchor moveWithCells="1" sizeWithCells="1">
                  <from>
                    <xdr:col>22</xdr:col>
                    <xdr:colOff>0</xdr:colOff>
                    <xdr:row>7</xdr:row>
                    <xdr:rowOff>0</xdr:rowOff>
                  </from>
                  <to>
                    <xdr:col>23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80" r:id="rId9" name="Toggle8">
              <controlPr defaultSize="0" print="0" autoFill="0" autoPict="0" macro="[0]!'togglePersonAsComplete 9'">
                <anchor moveWithCells="1" sizeWithCells="1">
                  <from>
                    <xdr:col>22</xdr:col>
                    <xdr:colOff>0</xdr:colOff>
                    <xdr:row>8</xdr:row>
                    <xdr:rowOff>0</xdr:rowOff>
                  </from>
                  <to>
                    <xdr:col>23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81" r:id="rId10" name="Toggle9">
              <controlPr defaultSize="0" print="0" autoFill="0" autoPict="0" macro="[0]!'togglePersonAsComplete 10'">
                <anchor moveWithCells="1" sizeWithCells="1">
                  <from>
                    <xdr:col>22</xdr:col>
                    <xdr:colOff>0</xdr:colOff>
                    <xdr:row>9</xdr:row>
                    <xdr:rowOff>0</xdr:rowOff>
                  </from>
                  <to>
                    <xdr:col>23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82" r:id="rId11" name="Toggle10">
              <controlPr defaultSize="0" print="0" autoFill="0" autoPict="0" macro="[0]!'togglePersonAsComplete 11'">
                <anchor moveWithCells="1" sizeWithCells="1">
                  <from>
                    <xdr:col>22</xdr:col>
                    <xdr:colOff>0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83" r:id="rId12" name="Toggle11">
              <controlPr defaultSize="0" print="0" autoFill="0" autoPict="0" macro="[0]!'togglePersonAsComplete 12'">
                <anchor moveWithCells="1" sizeWithCells="1">
                  <from>
                    <xdr:col>22</xdr:col>
                    <xdr:colOff>0</xdr:colOff>
                    <xdr:row>11</xdr:row>
                    <xdr:rowOff>0</xdr:rowOff>
                  </from>
                  <to>
                    <xdr:col>23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84" r:id="rId13" name="Toggle12">
              <controlPr defaultSize="0" print="0" autoFill="0" autoPict="0" macro="[0]!'togglePersonAsComplete 13'">
                <anchor moveWithCells="1" sizeWithCells="1">
                  <from>
                    <xdr:col>22</xdr:col>
                    <xdr:colOff>0</xdr:colOff>
                    <xdr:row>12</xdr:row>
                    <xdr:rowOff>0</xdr:rowOff>
                  </from>
                  <to>
                    <xdr:col>23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85" r:id="rId14" name="Toggle13">
              <controlPr defaultSize="0" print="0" autoFill="0" autoPict="0" macro="[0]!'togglePersonAsComplete 14'">
                <anchor moveWithCells="1" sizeWithCells="1">
                  <from>
                    <xdr:col>22</xdr:col>
                    <xdr:colOff>0</xdr:colOff>
                    <xdr:row>13</xdr:row>
                    <xdr:rowOff>0</xdr:rowOff>
                  </from>
                  <to>
                    <xdr:col>23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86" r:id="rId15" name="Toggle14">
              <controlPr defaultSize="0" print="0" autoFill="0" autoPict="0" macro="[0]!'togglePersonAsComplete 15'">
                <anchor moveWithCells="1" sizeWithCells="1">
                  <from>
                    <xdr:col>22</xdr:col>
                    <xdr:colOff>0</xdr:colOff>
                    <xdr:row>14</xdr:row>
                    <xdr:rowOff>0</xdr:rowOff>
                  </from>
                  <to>
                    <xdr:col>23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A5E36-918A-4A8E-963C-D581F7EA2950}">
  <sheetPr codeName="Sheet21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100</v>
      </c>
      <c r="D2" s="59"/>
      <c r="E2" s="59" t="s">
        <v>95</v>
      </c>
      <c r="F2" s="59"/>
      <c r="G2" s="1" t="s">
        <v>185</v>
      </c>
      <c r="K2" s="4" t="s">
        <v>9</v>
      </c>
      <c r="L2" s="4">
        <v>25.4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13.3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72</v>
      </c>
      <c r="K4" s="4" t="s">
        <v>12</v>
      </c>
      <c r="L4" s="4">
        <v>46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56.7</v>
      </c>
    </row>
    <row r="6" spans="1:12" x14ac:dyDescent="0.3">
      <c r="A6" s="3" t="s">
        <v>102</v>
      </c>
      <c r="B6" s="58" t="s">
        <v>18</v>
      </c>
      <c r="C6" s="58"/>
      <c r="D6" s="58"/>
      <c r="E6" s="4">
        <v>7046</v>
      </c>
      <c r="F6" s="4">
        <v>1</v>
      </c>
      <c r="G6" s="25" t="s">
        <v>61</v>
      </c>
      <c r="H6" s="28" t="str">
        <f>HYPERLINK("#G6",CHAR(128))</f>
        <v>€</v>
      </c>
      <c r="K6" s="4" t="s">
        <v>14</v>
      </c>
      <c r="L6" s="4">
        <v>56.8</v>
      </c>
    </row>
    <row r="7" spans="1:12" x14ac:dyDescent="0.3">
      <c r="A7" s="2" t="s">
        <v>104</v>
      </c>
      <c r="B7" s="59" t="s">
        <v>21</v>
      </c>
      <c r="C7" s="59"/>
      <c r="D7" s="59"/>
      <c r="E7" s="1" t="s">
        <v>103</v>
      </c>
      <c r="F7" s="16">
        <v>1</v>
      </c>
      <c r="G7" s="25" t="s">
        <v>61</v>
      </c>
      <c r="H7" s="28" t="str">
        <f>HYPERLINK("#G7",CHAR(128))</f>
        <v>€</v>
      </c>
      <c r="K7" s="1" t="s">
        <v>15</v>
      </c>
      <c r="L7" s="1">
        <v>66.8</v>
      </c>
    </row>
    <row r="8" spans="1:12" x14ac:dyDescent="0.3">
      <c r="A8" s="3" t="s">
        <v>71</v>
      </c>
      <c r="B8" s="58" t="s">
        <v>19</v>
      </c>
      <c r="C8" s="58"/>
      <c r="D8" s="58"/>
      <c r="E8" s="4" t="s">
        <v>56</v>
      </c>
      <c r="F8" s="4">
        <v>1</v>
      </c>
      <c r="G8" s="25" t="s">
        <v>61</v>
      </c>
      <c r="H8" s="28" t="str">
        <f>HYPERLINK("#G8",CHAR(128))</f>
        <v>€</v>
      </c>
      <c r="K8" s="4" t="s">
        <v>16</v>
      </c>
      <c r="L8" s="4">
        <v>293.89999999999998</v>
      </c>
    </row>
    <row r="9" spans="1:12" x14ac:dyDescent="0.3">
      <c r="A9" s="2" t="s">
        <v>105</v>
      </c>
      <c r="B9" s="59" t="s">
        <v>20</v>
      </c>
      <c r="C9" s="59"/>
      <c r="D9" s="59"/>
      <c r="E9" s="1">
        <v>7058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126</v>
      </c>
    </row>
    <row r="10" spans="1:12" x14ac:dyDescent="0.3">
      <c r="A10" s="3"/>
      <c r="B10" s="58" t="s">
        <v>24</v>
      </c>
      <c r="C10" s="58"/>
      <c r="D10" s="58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 t="s">
        <v>59</v>
      </c>
      <c r="B11" s="59" t="s">
        <v>23</v>
      </c>
      <c r="C11" s="59"/>
      <c r="D11" s="59"/>
      <c r="E11" s="1" t="s">
        <v>58</v>
      </c>
      <c r="F11" s="16">
        <v>1</v>
      </c>
      <c r="G11" s="25" t="s">
        <v>61</v>
      </c>
      <c r="H11" s="28" t="str">
        <f>HYPERLINK("#G11",CHAR(128))</f>
        <v>€</v>
      </c>
    </row>
    <row r="12" spans="1:12" x14ac:dyDescent="0.3">
      <c r="A12" s="5" t="s">
        <v>90</v>
      </c>
      <c r="B12" s="58" t="s">
        <v>25</v>
      </c>
      <c r="C12" s="58"/>
      <c r="D12" s="58"/>
      <c r="E12" s="4" t="s">
        <v>89</v>
      </c>
      <c r="F12" s="4">
        <v>1</v>
      </c>
      <c r="G12" s="25" t="s">
        <v>61</v>
      </c>
      <c r="H12" s="28" t="str">
        <f>HYPERLINK("#G12",CHAR(128))</f>
        <v>€</v>
      </c>
    </row>
    <row r="13" spans="1:12" x14ac:dyDescent="0.3">
      <c r="A13" s="2" t="s">
        <v>69</v>
      </c>
      <c r="B13" s="59" t="s">
        <v>26</v>
      </c>
      <c r="C13" s="59"/>
      <c r="D13" s="59"/>
      <c r="E13" s="1" t="s">
        <v>68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87</v>
      </c>
      <c r="B14" s="58" t="s">
        <v>27</v>
      </c>
      <c r="C14" s="58"/>
      <c r="D14" s="58"/>
      <c r="E14" s="4" t="s">
        <v>86</v>
      </c>
      <c r="F14" s="4">
        <v>1</v>
      </c>
      <c r="G14" s="25" t="s">
        <v>61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 t="s">
        <v>50</v>
      </c>
      <c r="F16" s="4">
        <v>1</v>
      </c>
      <c r="G16" s="25" t="s">
        <v>61</v>
      </c>
      <c r="H16" s="23" t="str">
        <f>HYPERLINK("#G16",CHAR(128))</f>
        <v>€</v>
      </c>
    </row>
    <row r="17" spans="1:10" x14ac:dyDescent="0.3">
      <c r="A17" s="2" t="s">
        <v>66</v>
      </c>
      <c r="B17" s="59" t="s">
        <v>22</v>
      </c>
      <c r="C17" s="59"/>
      <c r="D17" s="59"/>
      <c r="E17" s="1" t="s">
        <v>65</v>
      </c>
      <c r="F17" s="16">
        <v>1</v>
      </c>
      <c r="G17" s="25" t="s">
        <v>61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65</v>
      </c>
      <c r="F18" s="4">
        <v>1</v>
      </c>
      <c r="G18" s="25" t="s">
        <v>61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>
        <v>7656</v>
      </c>
      <c r="F19" s="16">
        <v>1</v>
      </c>
      <c r="G19" s="25" t="s">
        <v>61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/>
      <c r="B21" s="59" t="s">
        <v>33</v>
      </c>
      <c r="C21" s="59"/>
      <c r="D21" s="59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106</v>
      </c>
      <c r="B22" s="58" t="s">
        <v>31</v>
      </c>
      <c r="C22" s="58"/>
      <c r="D22" s="58"/>
      <c r="E22" s="4">
        <v>6748</v>
      </c>
      <c r="F22" s="4">
        <v>1</v>
      </c>
      <c r="G22" s="25" t="s">
        <v>61</v>
      </c>
      <c r="H22" s="23" t="str">
        <f>HYPERLINK("#G22",CHAR(128))</f>
        <v>€</v>
      </c>
    </row>
    <row r="23" spans="1:10" x14ac:dyDescent="0.3">
      <c r="A23" s="2"/>
      <c r="B23" s="59" t="s">
        <v>47</v>
      </c>
      <c r="C23" s="59"/>
      <c r="D23" s="59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Clark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203" priority="2" operator="equal">
      <formula>"Returned"</formula>
    </cfRule>
    <cfRule type="cellIs" dxfId="202" priority="5" operator="equal">
      <formula>"Ready To Order"</formula>
    </cfRule>
    <cfRule type="cellIs" dxfId="201" priority="6" operator="equal">
      <formula>"UNP"</formula>
    </cfRule>
    <cfRule type="containsText" dxfId="200" priority="7" operator="containsText" text="Ordered">
      <formula>NOT(ISERROR(SEARCH("Ordered",G6)))</formula>
    </cfRule>
    <cfRule type="containsText" dxfId="199" priority="8" operator="containsText" text="Pick Up">
      <formula>NOT(ISERROR(SEARCH("Pick Up",G6)))</formula>
    </cfRule>
    <cfRule type="containsText" dxfId="198" priority="9" operator="containsText" text="Complete">
      <formula>NOT(ISERROR(SEARCH("Complete",G6)))</formula>
    </cfRule>
  </conditionalFormatting>
  <conditionalFormatting sqref="G30:G33">
    <cfRule type="containsText" dxfId="197" priority="4" operator="containsText" text="Given">
      <formula>NOT(ISERROR(SEARCH("Given",G30)))</formula>
    </cfRule>
  </conditionalFormatting>
  <conditionalFormatting sqref="G30:G34">
    <cfRule type="containsText" dxfId="196" priority="3" operator="containsText" text="Returned">
      <formula>NOT(ISERROR(SEARCH("Returned",G30)))</formula>
    </cfRule>
  </conditionalFormatting>
  <conditionalFormatting sqref="G6:G14 G21:G26 G16:G19">
    <cfRule type="cellIs" dxfId="195" priority="1" operator="equal">
      <formula>"In Stock"</formula>
    </cfRule>
  </conditionalFormatting>
  <dataValidations count="3">
    <dataValidation type="list" allowBlank="1" showInputMessage="1" showErrorMessage="1" sqref="G30:G34" xr:uid="{A08AA166-CE07-4497-A7B6-9C497290D07B}">
      <formula1>"--,Returned, Given"</formula1>
    </dataValidation>
    <dataValidation type="list" allowBlank="1" showInputMessage="1" showErrorMessage="1" sqref="G16:G19 G21:G24 G26 G6:G14" xr:uid="{3961A339-F3F6-437F-8933-FE9F670042C0}">
      <formula1>"UNP, Ready To Order, Ordered, In Stock, Pick Up, Complete, Returned"</formula1>
    </dataValidation>
    <dataValidation type="decimal" allowBlank="1" showInputMessage="1" showErrorMessage="1" sqref="L2" xr:uid="{1A3EDEDD-8A29-44ED-8620-8D47C383C848}">
      <formula1>19</formula1>
      <formula2>26</formula2>
    </dataValidation>
  </dataValidations>
  <hyperlinks>
    <hyperlink ref="A1:A2" location="Menu!A1" display="Back to Menu" xr:uid="{F9D59639-7E9C-40F4-ADEF-2E7210FCCB3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11C49-8DC7-449E-B14E-1A05EAA6D346}">
  <sheetPr codeName="Sheet22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84</v>
      </c>
      <c r="D2" s="59"/>
      <c r="E2" s="59" t="s">
        <v>108</v>
      </c>
      <c r="F2" s="59"/>
      <c r="G2" s="1">
        <v>39329697</v>
      </c>
      <c r="K2" s="4" t="s">
        <v>9</v>
      </c>
      <c r="L2" s="4">
        <v>19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44</v>
      </c>
      <c r="K4" s="4" t="s">
        <v>12</v>
      </c>
      <c r="L4" s="4">
        <v>38.1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61.3</v>
      </c>
    </row>
    <row r="6" spans="1:12" x14ac:dyDescent="0.3">
      <c r="A6" s="3" t="s">
        <v>110</v>
      </c>
      <c r="B6" s="58" t="s">
        <v>18</v>
      </c>
      <c r="C6" s="58"/>
      <c r="D6" s="58"/>
      <c r="E6" s="4">
        <v>8040</v>
      </c>
      <c r="F6" s="4">
        <v>1</v>
      </c>
      <c r="G6" s="25" t="s">
        <v>61</v>
      </c>
      <c r="H6" s="28" t="str">
        <f>HYPERLINK("#G6",CHAR(128))</f>
        <v>€</v>
      </c>
      <c r="K6" s="4" t="s">
        <v>14</v>
      </c>
      <c r="L6" s="4">
        <v>44.2</v>
      </c>
    </row>
    <row r="7" spans="1:12" x14ac:dyDescent="0.3">
      <c r="A7" s="2" t="s">
        <v>74</v>
      </c>
      <c r="B7" s="59" t="s">
        <v>21</v>
      </c>
      <c r="C7" s="59"/>
      <c r="D7" s="59"/>
      <c r="E7" s="1" t="s">
        <v>73</v>
      </c>
      <c r="F7" s="16">
        <v>1</v>
      </c>
      <c r="G7" s="25" t="s">
        <v>61</v>
      </c>
      <c r="H7" s="28" t="str">
        <f>HYPERLINK("#G7",CHAR(128))</f>
        <v>€</v>
      </c>
      <c r="K7" s="1" t="s">
        <v>15</v>
      </c>
      <c r="L7" s="1">
        <v>70</v>
      </c>
    </row>
    <row r="8" spans="1:12" x14ac:dyDescent="0.3">
      <c r="A8" s="3" t="s">
        <v>85</v>
      </c>
      <c r="B8" s="58" t="s">
        <v>19</v>
      </c>
      <c r="C8" s="58"/>
      <c r="D8" s="58"/>
      <c r="E8" s="4" t="s">
        <v>70</v>
      </c>
      <c r="F8" s="4">
        <v>1</v>
      </c>
      <c r="G8" s="25" t="s">
        <v>61</v>
      </c>
      <c r="H8" s="28" t="str">
        <f>HYPERLINK("#G8",CHAR(128))</f>
        <v>€</v>
      </c>
      <c r="K8" s="4" t="s">
        <v>16</v>
      </c>
      <c r="L8" s="4">
        <v>317.10000000000002</v>
      </c>
    </row>
    <row r="9" spans="1:12" x14ac:dyDescent="0.3">
      <c r="A9" s="2"/>
      <c r="B9" s="59" t="s">
        <v>20</v>
      </c>
      <c r="C9" s="59"/>
      <c r="D9" s="59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100.2</v>
      </c>
    </row>
    <row r="10" spans="1:12" x14ac:dyDescent="0.3">
      <c r="A10" s="3"/>
      <c r="B10" s="58" t="s">
        <v>24</v>
      </c>
      <c r="C10" s="58"/>
      <c r="D10" s="58"/>
      <c r="E10" s="8">
        <v>6.375</v>
      </c>
      <c r="F10" s="4">
        <v>1</v>
      </c>
      <c r="G10" s="25" t="s">
        <v>61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 t="s">
        <v>92</v>
      </c>
      <c r="B11" s="59" t="s">
        <v>23</v>
      </c>
      <c r="C11" s="59"/>
      <c r="D11" s="59"/>
      <c r="E11" s="1" t="s">
        <v>91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69</v>
      </c>
      <c r="B13" s="59" t="s">
        <v>26</v>
      </c>
      <c r="C13" s="59"/>
      <c r="D13" s="59"/>
      <c r="E13" s="1" t="s">
        <v>68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87</v>
      </c>
      <c r="B14" s="58" t="s">
        <v>27</v>
      </c>
      <c r="C14" s="58"/>
      <c r="D14" s="58"/>
      <c r="E14" s="4" t="s">
        <v>86</v>
      </c>
      <c r="F14" s="4">
        <v>1</v>
      </c>
      <c r="G14" s="25" t="s">
        <v>61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 t="s">
        <v>50</v>
      </c>
      <c r="F16" s="4">
        <v>1</v>
      </c>
      <c r="G16" s="25" t="s">
        <v>61</v>
      </c>
      <c r="H16" s="23" t="str">
        <f>HYPERLINK("#G16",CHAR(128))</f>
        <v>€</v>
      </c>
    </row>
    <row r="17" spans="1:10" x14ac:dyDescent="0.3">
      <c r="A17" s="2" t="s">
        <v>88</v>
      </c>
      <c r="B17" s="59" t="s">
        <v>22</v>
      </c>
      <c r="C17" s="59"/>
      <c r="D17" s="59"/>
      <c r="E17" s="1" t="s">
        <v>75</v>
      </c>
      <c r="F17" s="16">
        <v>1</v>
      </c>
      <c r="G17" s="25" t="s">
        <v>61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75</v>
      </c>
      <c r="F18" s="4">
        <v>1</v>
      </c>
      <c r="G18" s="25" t="s">
        <v>61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>
        <v>7644</v>
      </c>
      <c r="F19" s="16">
        <v>1</v>
      </c>
      <c r="G19" s="25" t="s">
        <v>61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/>
      <c r="B21" s="59" t="s">
        <v>33</v>
      </c>
      <c r="C21" s="59"/>
      <c r="D21" s="59"/>
      <c r="E21" s="9">
        <v>6.125</v>
      </c>
      <c r="F21" s="16">
        <v>1</v>
      </c>
      <c r="G21" s="25" t="s">
        <v>61</v>
      </c>
      <c r="H21" s="23" t="str">
        <f>HYPERLINK("#G21",CHAR(128))</f>
        <v>€</v>
      </c>
    </row>
    <row r="22" spans="1:10" x14ac:dyDescent="0.3">
      <c r="A22" s="5" t="s">
        <v>111</v>
      </c>
      <c r="B22" s="58" t="s">
        <v>31</v>
      </c>
      <c r="C22" s="58"/>
      <c r="D22" s="58"/>
      <c r="E22" s="4">
        <v>7640</v>
      </c>
      <c r="F22" s="4">
        <v>1</v>
      </c>
      <c r="G22" s="25" t="s">
        <v>61</v>
      </c>
      <c r="H22" s="23" t="str">
        <f>HYPERLINK("#G22",CHAR(128))</f>
        <v>€</v>
      </c>
    </row>
    <row r="23" spans="1:10" x14ac:dyDescent="0.3">
      <c r="A23" s="2"/>
      <c r="B23" s="59" t="s">
        <v>47</v>
      </c>
      <c r="C23" s="59"/>
      <c r="D23" s="59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113</v>
      </c>
      <c r="B24" s="58" t="s">
        <v>32</v>
      </c>
      <c r="C24" s="58"/>
      <c r="D24" s="58"/>
      <c r="E24" s="4" t="s">
        <v>112</v>
      </c>
      <c r="F24" s="4">
        <v>1</v>
      </c>
      <c r="G24" s="25" t="s">
        <v>61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Taylor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88" priority="2" operator="equal">
      <formula>"Returned"</formula>
    </cfRule>
    <cfRule type="cellIs" dxfId="187" priority="5" operator="equal">
      <formula>"Ready To Order"</formula>
    </cfRule>
    <cfRule type="cellIs" dxfId="186" priority="6" operator="equal">
      <formula>"UNP"</formula>
    </cfRule>
    <cfRule type="containsText" dxfId="185" priority="7" operator="containsText" text="Ordered">
      <formula>NOT(ISERROR(SEARCH("Ordered",G6)))</formula>
    </cfRule>
    <cfRule type="containsText" dxfId="184" priority="8" operator="containsText" text="Pick Up">
      <formula>NOT(ISERROR(SEARCH("Pick Up",G6)))</formula>
    </cfRule>
    <cfRule type="containsText" dxfId="183" priority="9" operator="containsText" text="Complete">
      <formula>NOT(ISERROR(SEARCH("Complete",G6)))</formula>
    </cfRule>
  </conditionalFormatting>
  <conditionalFormatting sqref="G30:G33">
    <cfRule type="containsText" dxfId="182" priority="4" operator="containsText" text="Given">
      <formula>NOT(ISERROR(SEARCH("Given",G30)))</formula>
    </cfRule>
  </conditionalFormatting>
  <conditionalFormatting sqref="G30:G34">
    <cfRule type="containsText" dxfId="181" priority="3" operator="containsText" text="Returned">
      <formula>NOT(ISERROR(SEARCH("Returned",G30)))</formula>
    </cfRule>
  </conditionalFormatting>
  <conditionalFormatting sqref="G6:G14 G21:G26 G16:G19">
    <cfRule type="cellIs" dxfId="180" priority="1" operator="equal">
      <formula>"In Stock"</formula>
    </cfRule>
  </conditionalFormatting>
  <dataValidations count="3">
    <dataValidation type="list" allowBlank="1" showInputMessage="1" showErrorMessage="1" sqref="G30:G34" xr:uid="{2D4EAFAF-75F1-406B-855D-B455DE96C9A5}">
      <formula1>"--,Returned, Given"</formula1>
    </dataValidation>
    <dataValidation type="list" allowBlank="1" showInputMessage="1" showErrorMessage="1" sqref="G16:G19 G21:G24 G26 G6:G14" xr:uid="{359C5C12-02E1-4598-BFE9-7E86879A6B17}">
      <formula1>"UNP, Ready To Order, Ordered, In Stock, Pick Up, Complete, Returned"</formula1>
    </dataValidation>
    <dataValidation type="decimal" allowBlank="1" showInputMessage="1" showErrorMessage="1" sqref="L2" xr:uid="{626F34A2-49C2-41D0-BE1F-03B656C1E7F3}">
      <formula1>19</formula1>
      <formula2>26</formula2>
    </dataValidation>
  </dataValidations>
  <hyperlinks>
    <hyperlink ref="A1:A2" location="Menu!A1" display="Back to Menu" xr:uid="{FC02FD69-16E3-4B29-9D43-25A9B2EB658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CD822-47A5-41C5-A76B-782648807FAF}">
  <sheetPr codeName="Sheet23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135</v>
      </c>
      <c r="D2" s="59"/>
      <c r="E2" s="59" t="s">
        <v>136</v>
      </c>
      <c r="F2" s="59"/>
      <c r="G2" s="1" t="s">
        <v>186</v>
      </c>
      <c r="K2" s="4" t="s">
        <v>9</v>
      </c>
      <c r="L2" s="4">
        <v>22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16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44</v>
      </c>
      <c r="K4" s="4" t="s">
        <v>12</v>
      </c>
      <c r="L4" s="4">
        <v>35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31</v>
      </c>
    </row>
    <row r="6" spans="1:12" x14ac:dyDescent="0.3">
      <c r="A6" s="3" t="s">
        <v>145</v>
      </c>
      <c r="B6" s="58" t="s">
        <v>18</v>
      </c>
      <c r="C6" s="58"/>
      <c r="D6" s="58"/>
      <c r="E6" s="4">
        <v>6736</v>
      </c>
      <c r="F6" s="4">
        <v>1</v>
      </c>
      <c r="G6" s="25" t="s">
        <v>80</v>
      </c>
      <c r="H6" s="28" t="str">
        <f>HYPERLINK("#G6",CHAR(128))</f>
        <v>€</v>
      </c>
      <c r="K6" s="4" t="s">
        <v>14</v>
      </c>
      <c r="L6" s="4">
        <v>37</v>
      </c>
    </row>
    <row r="7" spans="1:12" x14ac:dyDescent="0.3">
      <c r="A7" s="2"/>
      <c r="B7" s="59" t="s">
        <v>21</v>
      </c>
      <c r="C7" s="59"/>
      <c r="D7" s="59"/>
      <c r="E7" s="1">
        <v>16</v>
      </c>
      <c r="F7" s="16">
        <v>1</v>
      </c>
      <c r="G7" s="25" t="s">
        <v>61</v>
      </c>
      <c r="H7" s="28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147</v>
      </c>
      <c r="B8" s="58" t="s">
        <v>19</v>
      </c>
      <c r="C8" s="58"/>
      <c r="D8" s="58"/>
      <c r="E8" s="4" t="s">
        <v>126</v>
      </c>
      <c r="F8" s="4">
        <v>1</v>
      </c>
      <c r="G8" s="25" t="s">
        <v>61</v>
      </c>
      <c r="H8" s="28" t="str">
        <f>HYPERLINK("#G8",CHAR(128))</f>
        <v>€</v>
      </c>
      <c r="K8" s="4" t="s">
        <v>16</v>
      </c>
      <c r="L8" s="4">
        <v>39</v>
      </c>
    </row>
    <row r="9" spans="1:12" x14ac:dyDescent="0.3">
      <c r="A9" s="2"/>
      <c r="B9" s="59" t="s">
        <v>20</v>
      </c>
      <c r="C9" s="59"/>
      <c r="D9" s="59"/>
      <c r="E9" s="1">
        <v>6731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13</v>
      </c>
    </row>
    <row r="10" spans="1:12" x14ac:dyDescent="0.3">
      <c r="A10" s="3" t="s">
        <v>149</v>
      </c>
      <c r="B10" s="58" t="s">
        <v>24</v>
      </c>
      <c r="C10" s="58"/>
      <c r="D10" s="58"/>
      <c r="E10" s="8">
        <v>7</v>
      </c>
      <c r="F10" s="4">
        <v>1</v>
      </c>
      <c r="G10" s="25" t="s">
        <v>61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/>
      <c r="B11" s="59" t="s">
        <v>23</v>
      </c>
      <c r="C11" s="59"/>
      <c r="D11" s="59"/>
      <c r="E11" s="1" t="s">
        <v>127</v>
      </c>
      <c r="F11" s="16">
        <v>1</v>
      </c>
      <c r="G11" s="25" t="s">
        <v>80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 t="s">
        <v>127</v>
      </c>
      <c r="F12" s="4">
        <v>1</v>
      </c>
      <c r="G12" s="25" t="s">
        <v>80</v>
      </c>
      <c r="H12" s="28" t="str">
        <f>HYPERLINK("#G12",CHAR(128))</f>
        <v>€</v>
      </c>
    </row>
    <row r="13" spans="1:12" x14ac:dyDescent="0.3">
      <c r="A13" s="2"/>
      <c r="B13" s="59" t="s">
        <v>26</v>
      </c>
      <c r="C13" s="59"/>
      <c r="D13" s="59"/>
      <c r="E13" s="1" t="s">
        <v>128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/>
      <c r="B14" s="58" t="s">
        <v>27</v>
      </c>
      <c r="C14" s="58"/>
      <c r="D14" s="58"/>
      <c r="E14" s="4" t="s">
        <v>129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151</v>
      </c>
      <c r="B17" s="59" t="s">
        <v>22</v>
      </c>
      <c r="C17" s="59"/>
      <c r="D17" s="59"/>
      <c r="E17" s="1" t="s">
        <v>126</v>
      </c>
      <c r="F17" s="16">
        <v>1</v>
      </c>
      <c r="G17" s="25" t="s">
        <v>80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126</v>
      </c>
      <c r="F18" s="4">
        <v>1</v>
      </c>
      <c r="G18" s="25" t="s">
        <v>80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>
        <v>7040</v>
      </c>
      <c r="F19" s="16">
        <v>1</v>
      </c>
      <c r="G19" s="25" t="s">
        <v>61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 t="s">
        <v>152</v>
      </c>
      <c r="B21" s="59" t="s">
        <v>33</v>
      </c>
      <c r="C21" s="59"/>
      <c r="D21" s="59"/>
      <c r="E21" s="9">
        <v>7</v>
      </c>
      <c r="F21" s="16">
        <v>1</v>
      </c>
      <c r="G21" s="25" t="s">
        <v>80</v>
      </c>
      <c r="H21" s="23" t="str">
        <f>HYPERLINK("#G21",CHAR(128))</f>
        <v>€</v>
      </c>
    </row>
    <row r="22" spans="1:10" x14ac:dyDescent="0.3">
      <c r="A22" s="5" t="s">
        <v>153</v>
      </c>
      <c r="B22" s="58" t="s">
        <v>31</v>
      </c>
      <c r="C22" s="58"/>
      <c r="D22" s="58"/>
      <c r="E22" s="4">
        <v>6736</v>
      </c>
      <c r="F22" s="4">
        <v>1</v>
      </c>
      <c r="G22" s="25" t="s">
        <v>80</v>
      </c>
      <c r="H22" s="23" t="str">
        <f>HYPERLINK("#G22",CHAR(128))</f>
        <v>€</v>
      </c>
    </row>
    <row r="23" spans="1:10" x14ac:dyDescent="0.3">
      <c r="A23" s="2" t="s">
        <v>154</v>
      </c>
      <c r="B23" s="59" t="s">
        <v>47</v>
      </c>
      <c r="C23" s="59"/>
      <c r="D23" s="59"/>
      <c r="E23" s="1">
        <v>6734</v>
      </c>
      <c r="F23" s="16">
        <v>1</v>
      </c>
      <c r="G23" s="25" t="s">
        <v>80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Rob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73" priority="2" operator="equal">
      <formula>"Returned"</formula>
    </cfRule>
    <cfRule type="cellIs" dxfId="172" priority="5" operator="equal">
      <formula>"Ready To Order"</formula>
    </cfRule>
    <cfRule type="cellIs" dxfId="171" priority="6" operator="equal">
      <formula>"UNP"</formula>
    </cfRule>
    <cfRule type="containsText" dxfId="170" priority="7" operator="containsText" text="Ordered">
      <formula>NOT(ISERROR(SEARCH("Ordered",G6)))</formula>
    </cfRule>
    <cfRule type="containsText" dxfId="169" priority="8" operator="containsText" text="Pick Up">
      <formula>NOT(ISERROR(SEARCH("Pick Up",G6)))</formula>
    </cfRule>
    <cfRule type="containsText" dxfId="168" priority="9" operator="containsText" text="Complete">
      <formula>NOT(ISERROR(SEARCH("Complete",G6)))</formula>
    </cfRule>
  </conditionalFormatting>
  <conditionalFormatting sqref="G30:G33">
    <cfRule type="containsText" dxfId="167" priority="4" operator="containsText" text="Given">
      <formula>NOT(ISERROR(SEARCH("Given",G30)))</formula>
    </cfRule>
  </conditionalFormatting>
  <conditionalFormatting sqref="G30:G34">
    <cfRule type="containsText" dxfId="166" priority="3" operator="containsText" text="Returned">
      <formula>NOT(ISERROR(SEARCH("Returned",G30)))</formula>
    </cfRule>
  </conditionalFormatting>
  <conditionalFormatting sqref="G6:G14 G21:G26 G16:G19">
    <cfRule type="cellIs" dxfId="165" priority="1" operator="equal">
      <formula>"In Stock"</formula>
    </cfRule>
  </conditionalFormatting>
  <dataValidations count="3">
    <dataValidation type="list" allowBlank="1" showInputMessage="1" showErrorMessage="1" sqref="G30:G34" xr:uid="{7EDD4671-AA30-4881-91CA-FF260825EA20}">
      <formula1>"--,Returned, Given"</formula1>
    </dataValidation>
    <dataValidation type="list" allowBlank="1" showInputMessage="1" showErrorMessage="1" sqref="G16:G19 G21:G24 G26 G6:G14" xr:uid="{4542E04B-19A4-4534-B19E-E6B47430B9FC}">
      <formula1>"UNP, Ready To Order, Ordered, In Stock, Pick Up, Complete, Returned"</formula1>
    </dataValidation>
    <dataValidation type="decimal" allowBlank="1" showInputMessage="1" showErrorMessage="1" sqref="L2" xr:uid="{EB5F9CC3-F65F-4061-AF25-73A1E4C3CF75}">
      <formula1>19</formula1>
      <formula2>26</formula2>
    </dataValidation>
  </dataValidations>
  <hyperlinks>
    <hyperlink ref="A1:A2" location="Menu!A1" display="Back to Menu" xr:uid="{06D7AC71-7B61-47EF-A91B-F9DFC0B4F99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59F3A-A796-45D2-A192-46456293A3A8}">
  <sheetPr codeName="Sheet24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137</v>
      </c>
      <c r="D2" s="59"/>
      <c r="E2" s="59" t="s">
        <v>138</v>
      </c>
      <c r="F2" s="59"/>
      <c r="G2" s="1" t="s">
        <v>187</v>
      </c>
      <c r="K2" s="4" t="s">
        <v>9</v>
      </c>
      <c r="L2" s="4">
        <v>23.5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17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44</v>
      </c>
      <c r="K4" s="4" t="s">
        <v>12</v>
      </c>
      <c r="L4" s="4">
        <v>45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43</v>
      </c>
    </row>
    <row r="6" spans="1:12" x14ac:dyDescent="0.3">
      <c r="A6" s="3" t="s">
        <v>156</v>
      </c>
      <c r="B6" s="58" t="s">
        <v>18</v>
      </c>
      <c r="C6" s="58"/>
      <c r="D6" s="58"/>
      <c r="E6" s="4">
        <v>8046</v>
      </c>
      <c r="F6" s="4">
        <v>1</v>
      </c>
      <c r="G6" s="25" t="s">
        <v>80</v>
      </c>
      <c r="H6" s="28" t="str">
        <f>HYPERLINK("#G6",CHAR(128))</f>
        <v>€</v>
      </c>
      <c r="K6" s="4" t="s">
        <v>14</v>
      </c>
      <c r="L6" s="4">
        <v>43</v>
      </c>
    </row>
    <row r="7" spans="1:12" x14ac:dyDescent="0.3">
      <c r="A7" s="2"/>
      <c r="B7" s="59" t="s">
        <v>21</v>
      </c>
      <c r="C7" s="59"/>
      <c r="D7" s="59"/>
      <c r="E7" s="1">
        <v>17.5</v>
      </c>
      <c r="F7" s="16">
        <v>1</v>
      </c>
      <c r="G7" s="25" t="s">
        <v>61</v>
      </c>
      <c r="H7" s="28" t="str">
        <f>HYPERLINK("#G7",CHAR(128))</f>
        <v>€</v>
      </c>
      <c r="K7" s="1" t="s">
        <v>15</v>
      </c>
      <c r="L7" s="1">
        <v>75</v>
      </c>
    </row>
    <row r="8" spans="1:12" x14ac:dyDescent="0.3">
      <c r="A8" s="3" t="s">
        <v>157</v>
      </c>
      <c r="B8" s="58" t="s">
        <v>19</v>
      </c>
      <c r="C8" s="58"/>
      <c r="D8" s="58"/>
      <c r="E8" s="4" t="s">
        <v>130</v>
      </c>
      <c r="F8" s="4">
        <v>1</v>
      </c>
      <c r="G8" s="25" t="s">
        <v>61</v>
      </c>
      <c r="H8" s="28" t="str">
        <f>HYPERLINK("#G8",CHAR(128))</f>
        <v>€</v>
      </c>
      <c r="K8" s="4" t="s">
        <v>16</v>
      </c>
      <c r="L8" s="4">
        <v>304.8</v>
      </c>
    </row>
    <row r="9" spans="1:12" x14ac:dyDescent="0.3">
      <c r="A9" s="2"/>
      <c r="B9" s="59" t="s">
        <v>20</v>
      </c>
      <c r="C9" s="59"/>
      <c r="D9" s="59"/>
      <c r="E9" s="1">
        <v>7644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101.6</v>
      </c>
    </row>
    <row r="10" spans="1:12" x14ac:dyDescent="0.3">
      <c r="A10" s="3"/>
      <c r="B10" s="58" t="s">
        <v>24</v>
      </c>
      <c r="C10" s="58"/>
      <c r="D10" s="58"/>
      <c r="E10" s="8">
        <v>7.5</v>
      </c>
      <c r="F10" s="4">
        <v>1</v>
      </c>
      <c r="G10" s="25" t="s">
        <v>61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/>
      <c r="B11" s="59" t="s">
        <v>23</v>
      </c>
      <c r="C11" s="59"/>
      <c r="D11" s="59"/>
      <c r="E11" s="1" t="s">
        <v>131</v>
      </c>
      <c r="F11" s="16">
        <v>1</v>
      </c>
      <c r="G11" s="25" t="s">
        <v>61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 t="s">
        <v>131</v>
      </c>
      <c r="F12" s="4">
        <v>1</v>
      </c>
      <c r="G12" s="25" t="s">
        <v>61</v>
      </c>
      <c r="H12" s="28" t="str">
        <f>HYPERLINK("#G12",CHAR(128))</f>
        <v>€</v>
      </c>
    </row>
    <row r="13" spans="1:12" x14ac:dyDescent="0.3">
      <c r="A13" s="2"/>
      <c r="B13" s="59" t="s">
        <v>26</v>
      </c>
      <c r="C13" s="59"/>
      <c r="D13" s="59"/>
      <c r="E13" s="1" t="s">
        <v>70</v>
      </c>
      <c r="F13" s="16">
        <v>1</v>
      </c>
      <c r="G13" s="25" t="s">
        <v>80</v>
      </c>
      <c r="H13" s="28" t="str">
        <f>HYPERLINK("#G13",CHAR(128))</f>
        <v>€</v>
      </c>
    </row>
    <row r="14" spans="1:12" x14ac:dyDescent="0.3">
      <c r="A14" s="5"/>
      <c r="B14" s="58" t="s">
        <v>27</v>
      </c>
      <c r="C14" s="58"/>
      <c r="D14" s="58"/>
      <c r="E14" s="4" t="s">
        <v>129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159</v>
      </c>
      <c r="B17" s="59" t="s">
        <v>22</v>
      </c>
      <c r="C17" s="59"/>
      <c r="D17" s="59"/>
      <c r="E17" s="1" t="s">
        <v>130</v>
      </c>
      <c r="F17" s="16">
        <v>1</v>
      </c>
      <c r="G17" s="25" t="s">
        <v>61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130</v>
      </c>
      <c r="F18" s="4">
        <v>1</v>
      </c>
      <c r="G18" s="25" t="s">
        <v>61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>
        <v>7648</v>
      </c>
      <c r="F19" s="16">
        <v>1</v>
      </c>
      <c r="G19" s="25" t="s">
        <v>61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/>
      <c r="B21" s="59" t="s">
        <v>33</v>
      </c>
      <c r="C21" s="59"/>
      <c r="D21" s="59"/>
      <c r="E21" s="9">
        <v>7.5</v>
      </c>
      <c r="F21" s="16">
        <v>1</v>
      </c>
      <c r="G21" s="25" t="s">
        <v>61</v>
      </c>
      <c r="H21" s="23" t="str">
        <f>HYPERLINK("#G21",CHAR(128))</f>
        <v>€</v>
      </c>
    </row>
    <row r="22" spans="1:10" x14ac:dyDescent="0.3">
      <c r="A22" s="5" t="s">
        <v>160</v>
      </c>
      <c r="B22" s="58" t="s">
        <v>31</v>
      </c>
      <c r="C22" s="58"/>
      <c r="D22" s="58"/>
      <c r="E22" s="4">
        <v>7648</v>
      </c>
      <c r="F22" s="4">
        <v>1</v>
      </c>
      <c r="G22" s="25" t="s">
        <v>61</v>
      </c>
      <c r="H22" s="23" t="str">
        <f>HYPERLINK("#G22",CHAR(128))</f>
        <v>€</v>
      </c>
    </row>
    <row r="23" spans="1:10" x14ac:dyDescent="0.3">
      <c r="A23" s="2" t="s">
        <v>161</v>
      </c>
      <c r="B23" s="59" t="s">
        <v>47</v>
      </c>
      <c r="C23" s="59"/>
      <c r="D23" s="59"/>
      <c r="E23" s="1">
        <v>7646</v>
      </c>
      <c r="F23" s="16">
        <v>1</v>
      </c>
      <c r="G23" s="25" t="s">
        <v>61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Mike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58" priority="2" operator="equal">
      <formula>"Returned"</formula>
    </cfRule>
    <cfRule type="cellIs" dxfId="157" priority="5" operator="equal">
      <formula>"Ready To Order"</formula>
    </cfRule>
    <cfRule type="cellIs" dxfId="156" priority="6" operator="equal">
      <formula>"UNP"</formula>
    </cfRule>
    <cfRule type="containsText" dxfId="155" priority="7" operator="containsText" text="Ordered">
      <formula>NOT(ISERROR(SEARCH("Ordered",G6)))</formula>
    </cfRule>
    <cfRule type="containsText" dxfId="154" priority="8" operator="containsText" text="Pick Up">
      <formula>NOT(ISERROR(SEARCH("Pick Up",G6)))</formula>
    </cfRule>
    <cfRule type="containsText" dxfId="153" priority="9" operator="containsText" text="Complete">
      <formula>NOT(ISERROR(SEARCH("Complete",G6)))</formula>
    </cfRule>
  </conditionalFormatting>
  <conditionalFormatting sqref="G30:G33">
    <cfRule type="containsText" dxfId="152" priority="4" operator="containsText" text="Given">
      <formula>NOT(ISERROR(SEARCH("Given",G30)))</formula>
    </cfRule>
  </conditionalFormatting>
  <conditionalFormatting sqref="G30:G34">
    <cfRule type="containsText" dxfId="151" priority="3" operator="containsText" text="Returned">
      <formula>NOT(ISERROR(SEARCH("Returned",G30)))</formula>
    </cfRule>
  </conditionalFormatting>
  <conditionalFormatting sqref="G6:G14 G21:G26 G16:G19">
    <cfRule type="cellIs" dxfId="150" priority="1" operator="equal">
      <formula>"In Stock"</formula>
    </cfRule>
  </conditionalFormatting>
  <dataValidations count="3">
    <dataValidation type="list" allowBlank="1" showInputMessage="1" showErrorMessage="1" sqref="G30:G34" xr:uid="{A5673AD1-AD8B-4E93-AF0D-526A230C2734}">
      <formula1>"--,Returned, Given"</formula1>
    </dataValidation>
    <dataValidation type="list" allowBlank="1" showInputMessage="1" showErrorMessage="1" sqref="G16:G19 G21:G24 G26 G6:G14" xr:uid="{2C4F5F5A-D33F-4B7D-BE77-DE1910026AD8}">
      <formula1>"UNP, Ready To Order, Ordered, In Stock, Pick Up, Complete, Returned"</formula1>
    </dataValidation>
    <dataValidation type="decimal" allowBlank="1" showInputMessage="1" showErrorMessage="1" sqref="L2" xr:uid="{ADDFB53B-FAAE-4228-B664-C85FA77CED66}">
      <formula1>19</formula1>
      <formula2>26</formula2>
    </dataValidation>
  </dataValidations>
  <hyperlinks>
    <hyperlink ref="A1:A2" location="Menu!A1" display="Back to Menu" xr:uid="{A4B85DFC-1A89-4BF2-8846-04D13562213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DBD8-668A-4E69-BEFC-A8916AA4E749}">
  <sheetPr codeName="Sheet25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139</v>
      </c>
      <c r="D2" s="59"/>
      <c r="E2" s="59" t="s">
        <v>140</v>
      </c>
      <c r="F2" s="59"/>
      <c r="G2" s="1" t="s">
        <v>188</v>
      </c>
      <c r="K2" s="4" t="s">
        <v>9</v>
      </c>
      <c r="L2" s="4">
        <v>22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16.5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44</v>
      </c>
      <c r="K4" s="4" t="s">
        <v>12</v>
      </c>
      <c r="L4" s="4">
        <v>40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30</v>
      </c>
    </row>
    <row r="6" spans="1:12" x14ac:dyDescent="0.3">
      <c r="A6" s="3" t="s">
        <v>162</v>
      </c>
      <c r="B6" s="58" t="s">
        <v>18</v>
      </c>
      <c r="C6" s="58"/>
      <c r="D6" s="58"/>
      <c r="E6" s="4">
        <v>6440</v>
      </c>
      <c r="F6" s="4">
        <v>1</v>
      </c>
      <c r="G6" s="25" t="s">
        <v>80</v>
      </c>
      <c r="H6" s="28" t="str">
        <f>HYPERLINK("#G6",CHAR(128))</f>
        <v>€</v>
      </c>
      <c r="K6" s="4" t="s">
        <v>14</v>
      </c>
      <c r="L6" s="4">
        <v>38</v>
      </c>
    </row>
    <row r="7" spans="1:12" x14ac:dyDescent="0.3">
      <c r="A7" s="2"/>
      <c r="B7" s="59" t="s">
        <v>21</v>
      </c>
      <c r="C7" s="59"/>
      <c r="D7" s="59"/>
      <c r="E7" s="1">
        <v>16.5</v>
      </c>
      <c r="F7" s="16">
        <v>1</v>
      </c>
      <c r="G7" s="25" t="s">
        <v>61</v>
      </c>
      <c r="H7" s="28" t="str">
        <f>HYPERLINK("#G7",CHAR(128))</f>
        <v>€</v>
      </c>
      <c r="K7" s="1" t="s">
        <v>15</v>
      </c>
      <c r="L7" s="1">
        <v>62</v>
      </c>
    </row>
    <row r="8" spans="1:12" x14ac:dyDescent="0.3">
      <c r="A8" s="3" t="s">
        <v>85</v>
      </c>
      <c r="B8" s="58" t="s">
        <v>19</v>
      </c>
      <c r="C8" s="58"/>
      <c r="D8" s="58"/>
      <c r="E8" s="4" t="s">
        <v>70</v>
      </c>
      <c r="F8" s="4">
        <v>1</v>
      </c>
      <c r="G8" s="25" t="s">
        <v>61</v>
      </c>
      <c r="H8" s="28" t="str">
        <f>HYPERLINK("#G8",CHAR(128))</f>
        <v>€</v>
      </c>
      <c r="K8" s="4" t="s">
        <v>16</v>
      </c>
      <c r="L8" s="4">
        <v>240</v>
      </c>
    </row>
    <row r="9" spans="1:12" x14ac:dyDescent="0.3">
      <c r="A9" s="2"/>
      <c r="B9" s="59" t="s">
        <v>20</v>
      </c>
      <c r="C9" s="59"/>
      <c r="D9" s="59"/>
      <c r="E9" s="1">
        <v>6430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130</v>
      </c>
    </row>
    <row r="10" spans="1:12" x14ac:dyDescent="0.3">
      <c r="A10" s="3" t="s">
        <v>149</v>
      </c>
      <c r="B10" s="58" t="s">
        <v>24</v>
      </c>
      <c r="C10" s="58"/>
      <c r="D10" s="58"/>
      <c r="E10" s="8">
        <v>7</v>
      </c>
      <c r="F10" s="4">
        <v>1</v>
      </c>
      <c r="G10" s="25" t="s">
        <v>80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/>
      <c r="B11" s="59" t="s">
        <v>23</v>
      </c>
      <c r="C11" s="59"/>
      <c r="D11" s="59"/>
      <c r="E11" s="1" t="s">
        <v>127</v>
      </c>
      <c r="F11" s="16">
        <v>1</v>
      </c>
      <c r="G11" s="25" t="s">
        <v>80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 t="s">
        <v>127</v>
      </c>
      <c r="F12" s="4">
        <v>1</v>
      </c>
      <c r="G12" s="25" t="s">
        <v>80</v>
      </c>
      <c r="H12" s="28" t="str">
        <f>HYPERLINK("#G12",CHAR(128))</f>
        <v>€</v>
      </c>
    </row>
    <row r="13" spans="1:12" x14ac:dyDescent="0.3">
      <c r="A13" s="2"/>
      <c r="B13" s="59" t="s">
        <v>26</v>
      </c>
      <c r="C13" s="59"/>
      <c r="D13" s="59"/>
      <c r="E13" s="1" t="s">
        <v>132</v>
      </c>
      <c r="F13" s="16">
        <v>1</v>
      </c>
      <c r="G13" s="25" t="s">
        <v>80</v>
      </c>
      <c r="H13" s="28" t="str">
        <f>HYPERLINK("#G13",CHAR(128))</f>
        <v>€</v>
      </c>
    </row>
    <row r="14" spans="1:12" x14ac:dyDescent="0.3">
      <c r="A14" s="5"/>
      <c r="B14" s="58" t="s">
        <v>27</v>
      </c>
      <c r="C14" s="58"/>
      <c r="D14" s="58"/>
      <c r="E14" s="4" t="s">
        <v>129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151</v>
      </c>
      <c r="B17" s="59" t="s">
        <v>22</v>
      </c>
      <c r="C17" s="59"/>
      <c r="D17" s="59"/>
      <c r="E17" s="1" t="s">
        <v>126</v>
      </c>
      <c r="F17" s="16">
        <v>1</v>
      </c>
      <c r="G17" s="25" t="s">
        <v>80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126</v>
      </c>
      <c r="F18" s="4">
        <v>1</v>
      </c>
      <c r="G18" s="25" t="s">
        <v>80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>
        <v>6444</v>
      </c>
      <c r="F19" s="16">
        <v>1</v>
      </c>
      <c r="G19" s="25" t="s">
        <v>80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 t="s">
        <v>152</v>
      </c>
      <c r="B21" s="59" t="s">
        <v>33</v>
      </c>
      <c r="C21" s="59"/>
      <c r="D21" s="59"/>
      <c r="E21" s="9">
        <v>7</v>
      </c>
      <c r="F21" s="16">
        <v>1</v>
      </c>
      <c r="G21" s="25" t="s">
        <v>80</v>
      </c>
      <c r="H21" s="23" t="str">
        <f>HYPERLINK("#G21",CHAR(128))</f>
        <v>€</v>
      </c>
    </row>
    <row r="22" spans="1:10" x14ac:dyDescent="0.3">
      <c r="A22" s="5" t="s">
        <v>164</v>
      </c>
      <c r="B22" s="58" t="s">
        <v>31</v>
      </c>
      <c r="C22" s="58"/>
      <c r="D22" s="58"/>
      <c r="E22" s="4">
        <v>6440</v>
      </c>
      <c r="F22" s="4">
        <v>1</v>
      </c>
      <c r="G22" s="25" t="s">
        <v>61</v>
      </c>
      <c r="H22" s="23" t="str">
        <f>HYPERLINK("#G22",CHAR(128))</f>
        <v>€</v>
      </c>
    </row>
    <row r="23" spans="1:10" x14ac:dyDescent="0.3">
      <c r="A23" s="2" t="s">
        <v>165</v>
      </c>
      <c r="B23" s="59" t="s">
        <v>47</v>
      </c>
      <c r="C23" s="59"/>
      <c r="D23" s="59"/>
      <c r="E23" s="1">
        <v>6430</v>
      </c>
      <c r="F23" s="16">
        <v>1</v>
      </c>
      <c r="G23" s="25" t="s">
        <v>80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Jesus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43" priority="2" operator="equal">
      <formula>"Returned"</formula>
    </cfRule>
    <cfRule type="cellIs" dxfId="142" priority="5" operator="equal">
      <formula>"Ready To Order"</formula>
    </cfRule>
    <cfRule type="cellIs" dxfId="141" priority="6" operator="equal">
      <formula>"UNP"</formula>
    </cfRule>
    <cfRule type="containsText" dxfId="140" priority="7" operator="containsText" text="Ordered">
      <formula>NOT(ISERROR(SEARCH("Ordered",G6)))</formula>
    </cfRule>
    <cfRule type="containsText" dxfId="139" priority="8" operator="containsText" text="Pick Up">
      <formula>NOT(ISERROR(SEARCH("Pick Up",G6)))</formula>
    </cfRule>
    <cfRule type="containsText" dxfId="138" priority="9" operator="containsText" text="Complete">
      <formula>NOT(ISERROR(SEARCH("Complete",G6)))</formula>
    </cfRule>
  </conditionalFormatting>
  <conditionalFormatting sqref="G30:G33">
    <cfRule type="containsText" dxfId="137" priority="4" operator="containsText" text="Given">
      <formula>NOT(ISERROR(SEARCH("Given",G30)))</formula>
    </cfRule>
  </conditionalFormatting>
  <conditionalFormatting sqref="G30:G34">
    <cfRule type="containsText" dxfId="136" priority="3" operator="containsText" text="Returned">
      <formula>NOT(ISERROR(SEARCH("Returned",G30)))</formula>
    </cfRule>
  </conditionalFormatting>
  <conditionalFormatting sqref="G6:G14 G21:G26 G16:G19">
    <cfRule type="cellIs" dxfId="135" priority="1" operator="equal">
      <formula>"In Stock"</formula>
    </cfRule>
  </conditionalFormatting>
  <dataValidations count="3">
    <dataValidation type="list" allowBlank="1" showInputMessage="1" showErrorMessage="1" sqref="G30:G34" xr:uid="{0603D985-FF17-4F98-B176-39094B475E51}">
      <formula1>"--,Returned, Given"</formula1>
    </dataValidation>
    <dataValidation type="list" allowBlank="1" showInputMessage="1" showErrorMessage="1" sqref="G16:G19 G21:G24 G26 G6:G14" xr:uid="{81CDADDD-D730-4E24-B68A-B3DFAE90F0C6}">
      <formula1>"UNP, Ready To Order, Ordered, In Stock, Pick Up, Complete, Returned"</formula1>
    </dataValidation>
    <dataValidation type="decimal" allowBlank="1" showInputMessage="1" showErrorMessage="1" sqref="L2" xr:uid="{C39D056E-91BB-4442-8EBA-CEAF19249705}">
      <formula1>19</formula1>
      <formula2>26</formula2>
    </dataValidation>
  </dataValidations>
  <hyperlinks>
    <hyperlink ref="A1:A2" location="Menu!A1" display="Back to Menu" xr:uid="{E40BDF89-E8F0-4E69-9417-B6BBD090F47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F831-86EC-4C9E-B807-EDC3AB9AC860}">
  <sheetPr codeName="Sheet26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141</v>
      </c>
      <c r="D2" s="59"/>
      <c r="E2" s="59" t="s">
        <v>142</v>
      </c>
      <c r="F2" s="59"/>
      <c r="G2" s="1" t="s">
        <v>189</v>
      </c>
      <c r="K2" s="4" t="s">
        <v>9</v>
      </c>
      <c r="L2" s="4">
        <v>22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44</v>
      </c>
      <c r="K4" s="4" t="s">
        <v>12</v>
      </c>
      <c r="L4" s="4">
        <v>32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26.5</v>
      </c>
    </row>
    <row r="6" spans="1:12" x14ac:dyDescent="0.3">
      <c r="A6" s="3" t="s">
        <v>167</v>
      </c>
      <c r="B6" s="58" t="s">
        <v>18</v>
      </c>
      <c r="C6" s="58"/>
      <c r="D6" s="58"/>
      <c r="E6" s="4">
        <v>6432</v>
      </c>
      <c r="F6" s="4">
        <v>1</v>
      </c>
      <c r="G6" s="25" t="s">
        <v>80</v>
      </c>
      <c r="H6" s="28" t="str">
        <f>HYPERLINK("#G6",CHAR(128))</f>
        <v>€</v>
      </c>
      <c r="K6" s="4" t="s">
        <v>14</v>
      </c>
      <c r="L6" s="4">
        <v>31</v>
      </c>
    </row>
    <row r="7" spans="1:12" x14ac:dyDescent="0.3">
      <c r="A7" s="2"/>
      <c r="B7" s="59" t="s">
        <v>21</v>
      </c>
      <c r="C7" s="59"/>
      <c r="D7" s="59"/>
      <c r="E7" s="1">
        <v>13</v>
      </c>
      <c r="F7" s="16">
        <v>1</v>
      </c>
      <c r="G7" s="25" t="s">
        <v>67</v>
      </c>
      <c r="H7" s="28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169</v>
      </c>
      <c r="B8" s="58" t="s">
        <v>19</v>
      </c>
      <c r="C8" s="58"/>
      <c r="D8" s="58"/>
      <c r="E8" s="4" t="s">
        <v>132</v>
      </c>
      <c r="F8" s="4">
        <v>1</v>
      </c>
      <c r="G8" s="25" t="s">
        <v>67</v>
      </c>
      <c r="H8" s="28" t="str">
        <f>HYPERLINK("#G8",CHAR(128))</f>
        <v>€</v>
      </c>
      <c r="K8" s="4" t="s">
        <v>16</v>
      </c>
      <c r="L8" s="4">
        <v>265</v>
      </c>
    </row>
    <row r="9" spans="1:12" x14ac:dyDescent="0.3">
      <c r="A9" s="2"/>
      <c r="B9" s="59" t="s">
        <v>20</v>
      </c>
      <c r="C9" s="59"/>
      <c r="D9" s="59"/>
      <c r="E9" s="1">
        <v>6427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95</v>
      </c>
    </row>
    <row r="10" spans="1:12" x14ac:dyDescent="0.3">
      <c r="A10" s="3" t="s">
        <v>149</v>
      </c>
      <c r="B10" s="58" t="s">
        <v>24</v>
      </c>
      <c r="C10" s="58"/>
      <c r="D10" s="58"/>
      <c r="E10" s="8">
        <v>7</v>
      </c>
      <c r="F10" s="4">
        <v>1</v>
      </c>
      <c r="G10" s="25" t="s">
        <v>67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/>
      <c r="B11" s="59" t="s">
        <v>23</v>
      </c>
      <c r="C11" s="59"/>
      <c r="D11" s="59"/>
      <c r="E11" s="1" t="s">
        <v>127</v>
      </c>
      <c r="F11" s="16">
        <v>1</v>
      </c>
      <c r="G11" s="25" t="s">
        <v>67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 t="s">
        <v>133</v>
      </c>
      <c r="F12" s="4">
        <v>1</v>
      </c>
      <c r="G12" s="25" t="s">
        <v>67</v>
      </c>
      <c r="H12" s="28" t="str">
        <f>HYPERLINK("#G12",CHAR(128))</f>
        <v>€</v>
      </c>
    </row>
    <row r="13" spans="1:12" x14ac:dyDescent="0.3">
      <c r="A13" s="2" t="s">
        <v>171</v>
      </c>
      <c r="B13" s="59" t="s">
        <v>26</v>
      </c>
      <c r="C13" s="59"/>
      <c r="D13" s="59"/>
      <c r="E13" s="1" t="s">
        <v>126</v>
      </c>
      <c r="F13" s="16">
        <v>1</v>
      </c>
      <c r="G13" s="25" t="s">
        <v>67</v>
      </c>
      <c r="H13" s="28" t="str">
        <f>HYPERLINK("#G13",CHAR(128))</f>
        <v>€</v>
      </c>
    </row>
    <row r="14" spans="1:12" x14ac:dyDescent="0.3">
      <c r="A14" s="5" t="s">
        <v>172</v>
      </c>
      <c r="B14" s="58" t="s">
        <v>27</v>
      </c>
      <c r="C14" s="58"/>
      <c r="D14" s="58"/>
      <c r="E14" s="4" t="s">
        <v>134</v>
      </c>
      <c r="F14" s="4">
        <v>1</v>
      </c>
      <c r="G14" s="25" t="s">
        <v>80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151</v>
      </c>
      <c r="B17" s="59" t="s">
        <v>22</v>
      </c>
      <c r="C17" s="59"/>
      <c r="D17" s="59"/>
      <c r="E17" s="1" t="s">
        <v>126</v>
      </c>
      <c r="F17" s="16">
        <v>1</v>
      </c>
      <c r="G17" s="25" t="s">
        <v>67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126</v>
      </c>
      <c r="F18" s="4">
        <v>1</v>
      </c>
      <c r="G18" s="25" t="s">
        <v>67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>
        <v>6436</v>
      </c>
      <c r="F19" s="16">
        <v>1</v>
      </c>
      <c r="G19" s="25" t="s">
        <v>80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 t="s">
        <v>152</v>
      </c>
      <c r="B21" s="59" t="s">
        <v>33</v>
      </c>
      <c r="C21" s="59"/>
      <c r="D21" s="59"/>
      <c r="E21" s="9">
        <v>7</v>
      </c>
      <c r="F21" s="16">
        <v>1</v>
      </c>
      <c r="G21" s="25" t="s">
        <v>67</v>
      </c>
      <c r="H21" s="23" t="str">
        <f>HYPERLINK("#G21",CHAR(128))</f>
        <v>€</v>
      </c>
    </row>
    <row r="22" spans="1:10" x14ac:dyDescent="0.3">
      <c r="A22" s="5" t="s">
        <v>173</v>
      </c>
      <c r="B22" s="58" t="s">
        <v>31</v>
      </c>
      <c r="C22" s="58"/>
      <c r="D22" s="58"/>
      <c r="E22" s="4">
        <v>6432</v>
      </c>
      <c r="F22" s="4">
        <v>1</v>
      </c>
      <c r="G22" s="25" t="s">
        <v>67</v>
      </c>
      <c r="H22" s="23" t="str">
        <f>HYPERLINK("#G22",CHAR(128))</f>
        <v>€</v>
      </c>
    </row>
    <row r="23" spans="1:10" x14ac:dyDescent="0.3">
      <c r="A23" s="2" t="s">
        <v>165</v>
      </c>
      <c r="B23" s="59" t="s">
        <v>47</v>
      </c>
      <c r="C23" s="59"/>
      <c r="D23" s="59"/>
      <c r="E23" s="1">
        <v>6430</v>
      </c>
      <c r="F23" s="16">
        <v>1</v>
      </c>
      <c r="G23" s="25" t="s">
        <v>80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Dia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28" priority="2" operator="equal">
      <formula>"Returned"</formula>
    </cfRule>
    <cfRule type="cellIs" dxfId="127" priority="5" operator="equal">
      <formula>"Ready To Order"</formula>
    </cfRule>
    <cfRule type="cellIs" dxfId="126" priority="6" operator="equal">
      <formula>"UNP"</formula>
    </cfRule>
    <cfRule type="containsText" dxfId="125" priority="7" operator="containsText" text="Ordered">
      <formula>NOT(ISERROR(SEARCH("Ordered",G6)))</formula>
    </cfRule>
    <cfRule type="containsText" dxfId="124" priority="8" operator="containsText" text="Pick Up">
      <formula>NOT(ISERROR(SEARCH("Pick Up",G6)))</formula>
    </cfRule>
    <cfRule type="containsText" dxfId="123" priority="9" operator="containsText" text="Complete">
      <formula>NOT(ISERROR(SEARCH("Complete",G6)))</formula>
    </cfRule>
  </conditionalFormatting>
  <conditionalFormatting sqref="G30:G33">
    <cfRule type="containsText" dxfId="122" priority="4" operator="containsText" text="Given">
      <formula>NOT(ISERROR(SEARCH("Given",G30)))</formula>
    </cfRule>
  </conditionalFormatting>
  <conditionalFormatting sqref="G30:G34">
    <cfRule type="containsText" dxfId="121" priority="3" operator="containsText" text="Returned">
      <formula>NOT(ISERROR(SEARCH("Returned",G30)))</formula>
    </cfRule>
  </conditionalFormatting>
  <conditionalFormatting sqref="G6:G14 G21:G26 G16:G19">
    <cfRule type="cellIs" dxfId="120" priority="1" operator="equal">
      <formula>"In Stock"</formula>
    </cfRule>
  </conditionalFormatting>
  <dataValidations count="3">
    <dataValidation type="list" allowBlank="1" showInputMessage="1" showErrorMessage="1" sqref="G30:G34" xr:uid="{BA3F8870-3BD4-42F4-B174-C2ECC5ED4BC1}">
      <formula1>"--,Returned, Given"</formula1>
    </dataValidation>
    <dataValidation type="list" allowBlank="1" showInputMessage="1" showErrorMessage="1" sqref="G16:G19 G21:G24 G26 G6:G14" xr:uid="{497E4C54-72C5-4E96-BA07-3F90D4F117E9}">
      <formula1>"UNP, Ready To Order, Ordered, In Stock, Pick Up, Complete, Returned"</formula1>
    </dataValidation>
    <dataValidation type="decimal" allowBlank="1" showInputMessage="1" showErrorMessage="1" sqref="L2" xr:uid="{534626D2-D739-4441-927F-E48E03B1FD94}">
      <formula1>19</formula1>
      <formula2>26</formula2>
    </dataValidation>
  </dataValidations>
  <hyperlinks>
    <hyperlink ref="A1:A2" location="Menu!A1" display="Back to Menu" xr:uid="{BCA94B48-E00A-49CB-AAAA-A7B24AD0864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C3D2E-3100-4963-9BA9-71074469955A}">
  <sheetPr codeName="Sheet27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141</v>
      </c>
      <c r="D2" s="59"/>
      <c r="E2" s="59" t="s">
        <v>142</v>
      </c>
      <c r="F2" s="59"/>
      <c r="G2" s="1" t="s">
        <v>190</v>
      </c>
      <c r="K2" s="4" t="s">
        <v>9</v>
      </c>
      <c r="L2" s="4">
        <v>22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72</v>
      </c>
      <c r="K4" s="4" t="s">
        <v>12</v>
      </c>
      <c r="L4" s="4">
        <v>32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26.5</v>
      </c>
    </row>
    <row r="6" spans="1:12" x14ac:dyDescent="0.3">
      <c r="A6" s="3" t="s">
        <v>167</v>
      </c>
      <c r="B6" s="58" t="s">
        <v>18</v>
      </c>
      <c r="C6" s="58"/>
      <c r="D6" s="58"/>
      <c r="E6" s="4">
        <v>6432</v>
      </c>
      <c r="F6" s="4">
        <v>1</v>
      </c>
      <c r="G6" s="25" t="s">
        <v>80</v>
      </c>
      <c r="H6" s="28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168</v>
      </c>
      <c r="B7" s="59" t="s">
        <v>21</v>
      </c>
      <c r="C7" s="59"/>
      <c r="D7" s="59"/>
      <c r="E7" s="1">
        <v>13</v>
      </c>
      <c r="F7" s="16">
        <v>1</v>
      </c>
      <c r="G7" s="25" t="s">
        <v>67</v>
      </c>
      <c r="H7" s="28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169</v>
      </c>
      <c r="B8" s="58" t="s">
        <v>19</v>
      </c>
      <c r="C8" s="58"/>
      <c r="D8" s="58"/>
      <c r="E8" s="4" t="s">
        <v>132</v>
      </c>
      <c r="F8" s="4">
        <v>1</v>
      </c>
      <c r="G8" s="25" t="s">
        <v>67</v>
      </c>
      <c r="H8" s="28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170</v>
      </c>
      <c r="B9" s="59" t="s">
        <v>20</v>
      </c>
      <c r="C9" s="59"/>
      <c r="D9" s="59"/>
      <c r="E9" s="1">
        <v>6427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95</v>
      </c>
    </row>
    <row r="10" spans="1:12" x14ac:dyDescent="0.3">
      <c r="A10" s="3" t="s">
        <v>149</v>
      </c>
      <c r="B10" s="58" t="s">
        <v>24</v>
      </c>
      <c r="C10" s="58"/>
      <c r="D10" s="58"/>
      <c r="E10" s="8">
        <v>7</v>
      </c>
      <c r="F10" s="4">
        <v>1</v>
      </c>
      <c r="G10" s="25" t="s">
        <v>67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/>
      <c r="B11" s="59" t="s">
        <v>23</v>
      </c>
      <c r="C11" s="59"/>
      <c r="D11" s="59"/>
      <c r="E11" s="1" t="s">
        <v>127</v>
      </c>
      <c r="F11" s="16">
        <v>1</v>
      </c>
      <c r="G11" s="25" t="s">
        <v>67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 t="s">
        <v>133</v>
      </c>
      <c r="F12" s="4">
        <v>1</v>
      </c>
      <c r="G12" s="25" t="s">
        <v>67</v>
      </c>
      <c r="H12" s="28" t="str">
        <f>HYPERLINK("#G12",CHAR(128))</f>
        <v>€</v>
      </c>
    </row>
    <row r="13" spans="1:12" x14ac:dyDescent="0.3">
      <c r="A13" s="2" t="s">
        <v>171</v>
      </c>
      <c r="B13" s="59" t="s">
        <v>26</v>
      </c>
      <c r="C13" s="59"/>
      <c r="D13" s="59"/>
      <c r="E13" s="1" t="s">
        <v>126</v>
      </c>
      <c r="F13" s="16">
        <v>1</v>
      </c>
      <c r="G13" s="25" t="s">
        <v>67</v>
      </c>
      <c r="H13" s="28" t="str">
        <f>HYPERLINK("#G13",CHAR(128))</f>
        <v>€</v>
      </c>
    </row>
    <row r="14" spans="1:12" x14ac:dyDescent="0.3">
      <c r="A14" s="5" t="s">
        <v>172</v>
      </c>
      <c r="B14" s="58" t="s">
        <v>27</v>
      </c>
      <c r="C14" s="58"/>
      <c r="D14" s="58"/>
      <c r="E14" s="4" t="s">
        <v>134</v>
      </c>
      <c r="F14" s="4">
        <v>1</v>
      </c>
      <c r="G14" s="25" t="s">
        <v>80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151</v>
      </c>
      <c r="B17" s="59" t="s">
        <v>22</v>
      </c>
      <c r="C17" s="59"/>
      <c r="D17" s="59"/>
      <c r="E17" s="1" t="s">
        <v>126</v>
      </c>
      <c r="F17" s="16">
        <v>1</v>
      </c>
      <c r="G17" s="25" t="s">
        <v>67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126</v>
      </c>
      <c r="F18" s="4">
        <v>1</v>
      </c>
      <c r="G18" s="25" t="s">
        <v>67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 t="s">
        <v>126</v>
      </c>
      <c r="F19" s="16">
        <v>1</v>
      </c>
      <c r="G19" s="25" t="s">
        <v>67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 t="s">
        <v>152</v>
      </c>
      <c r="B21" s="59" t="s">
        <v>33</v>
      </c>
      <c r="C21" s="59"/>
      <c r="D21" s="59"/>
      <c r="E21" s="9">
        <v>7</v>
      </c>
      <c r="F21" s="16">
        <v>1</v>
      </c>
      <c r="G21" s="25" t="s">
        <v>67</v>
      </c>
      <c r="H21" s="23" t="str">
        <f>HYPERLINK("#G21",CHAR(128))</f>
        <v>€</v>
      </c>
    </row>
    <row r="22" spans="1:10" x14ac:dyDescent="0.3">
      <c r="A22" s="5" t="s">
        <v>173</v>
      </c>
      <c r="B22" s="58" t="s">
        <v>31</v>
      </c>
      <c r="C22" s="58"/>
      <c r="D22" s="58"/>
      <c r="E22" s="4">
        <v>6432</v>
      </c>
      <c r="F22" s="4">
        <v>1</v>
      </c>
      <c r="G22" s="25" t="s">
        <v>67</v>
      </c>
      <c r="H22" s="23" t="str">
        <f>HYPERLINK("#G22",CHAR(128))</f>
        <v>€</v>
      </c>
    </row>
    <row r="23" spans="1:10" x14ac:dyDescent="0.3">
      <c r="A23" s="2" t="s">
        <v>165</v>
      </c>
      <c r="B23" s="59" t="s">
        <v>47</v>
      </c>
      <c r="C23" s="59"/>
      <c r="D23" s="59"/>
      <c r="E23" s="1">
        <v>6430</v>
      </c>
      <c r="F23" s="16">
        <v>1</v>
      </c>
      <c r="G23" s="25" t="s">
        <v>80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Dia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13" priority="2" operator="equal">
      <formula>"Returned"</formula>
    </cfRule>
    <cfRule type="cellIs" dxfId="112" priority="5" operator="equal">
      <formula>"Ready To Order"</formula>
    </cfRule>
    <cfRule type="cellIs" dxfId="111" priority="6" operator="equal">
      <formula>"UNP"</formula>
    </cfRule>
    <cfRule type="containsText" dxfId="110" priority="7" operator="containsText" text="Ordered">
      <formula>NOT(ISERROR(SEARCH("Ordered",G6)))</formula>
    </cfRule>
    <cfRule type="containsText" dxfId="109" priority="8" operator="containsText" text="Pick Up">
      <formula>NOT(ISERROR(SEARCH("Pick Up",G6)))</formula>
    </cfRule>
    <cfRule type="containsText" dxfId="108" priority="9" operator="containsText" text="Complete">
      <formula>NOT(ISERROR(SEARCH("Complete",G6)))</formula>
    </cfRule>
  </conditionalFormatting>
  <conditionalFormatting sqref="G30:G33">
    <cfRule type="containsText" dxfId="107" priority="4" operator="containsText" text="Given">
      <formula>NOT(ISERROR(SEARCH("Given",G30)))</formula>
    </cfRule>
  </conditionalFormatting>
  <conditionalFormatting sqref="G30:G34">
    <cfRule type="containsText" dxfId="106" priority="3" operator="containsText" text="Returned">
      <formula>NOT(ISERROR(SEARCH("Returned",G30)))</formula>
    </cfRule>
  </conditionalFormatting>
  <conditionalFormatting sqref="G6:G14 G21:G26 G16:G19">
    <cfRule type="cellIs" dxfId="105" priority="1" operator="equal">
      <formula>"In Stock"</formula>
    </cfRule>
  </conditionalFormatting>
  <dataValidations count="3">
    <dataValidation type="list" allowBlank="1" showInputMessage="1" showErrorMessage="1" sqref="G30:G34" xr:uid="{C60AB9C2-2120-405F-BD55-DEFD911E07A0}">
      <formula1>"--,Returned, Given"</formula1>
    </dataValidation>
    <dataValidation type="list" allowBlank="1" showInputMessage="1" showErrorMessage="1" sqref="G16:G19 G21:G24 G26 G6:G14" xr:uid="{F567718B-60B7-4A5C-BA78-733E065B0BF6}">
      <formula1>"UNP, Ready To Order, Ordered, In Stock, Pick Up, Complete, Returned"</formula1>
    </dataValidation>
    <dataValidation type="decimal" allowBlank="1" showInputMessage="1" showErrorMessage="1" sqref="L2" xr:uid="{95A32E1D-33FE-4827-8000-FE9D089BA14C}">
      <formula1>19</formula1>
      <formula2>26</formula2>
    </dataValidation>
  </dataValidations>
  <hyperlinks>
    <hyperlink ref="A1:A2" location="Menu!A1" display="Back to Menu" xr:uid="{B268E94E-1E91-4513-BB64-6BBADA12055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77E12-91B8-49C2-9FC8-C66E8B12F38E}">
  <sheetPr codeName="Sheet28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100</v>
      </c>
      <c r="D2" s="59"/>
      <c r="E2" s="59" t="s">
        <v>95</v>
      </c>
      <c r="F2" s="59"/>
      <c r="G2" s="1" t="s">
        <v>191</v>
      </c>
      <c r="K2" s="4" t="s">
        <v>9</v>
      </c>
      <c r="L2" s="4">
        <v>25.4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13.3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44</v>
      </c>
      <c r="K4" s="4" t="s">
        <v>12</v>
      </c>
      <c r="L4" s="4">
        <v>46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56.7</v>
      </c>
    </row>
    <row r="6" spans="1:12" x14ac:dyDescent="0.3">
      <c r="A6" s="3" t="s">
        <v>102</v>
      </c>
      <c r="B6" s="58" t="s">
        <v>18</v>
      </c>
      <c r="C6" s="58"/>
      <c r="D6" s="58"/>
      <c r="E6" s="4">
        <v>7046</v>
      </c>
      <c r="F6" s="4">
        <v>1</v>
      </c>
      <c r="G6" s="25" t="s">
        <v>61</v>
      </c>
      <c r="H6" s="28" t="str">
        <f>HYPERLINK("#G6",CHAR(128))</f>
        <v>€</v>
      </c>
      <c r="K6" s="4" t="s">
        <v>14</v>
      </c>
      <c r="L6" s="4">
        <v>56.8</v>
      </c>
    </row>
    <row r="7" spans="1:12" x14ac:dyDescent="0.3">
      <c r="A7" s="2"/>
      <c r="B7" s="59" t="s">
        <v>21</v>
      </c>
      <c r="C7" s="59"/>
      <c r="D7" s="59"/>
      <c r="E7" s="1" t="s">
        <v>103</v>
      </c>
      <c r="F7" s="16">
        <v>1</v>
      </c>
      <c r="G7" s="25" t="s">
        <v>61</v>
      </c>
      <c r="H7" s="28" t="str">
        <f>HYPERLINK("#G7",CHAR(128))</f>
        <v>€</v>
      </c>
      <c r="K7" s="1" t="s">
        <v>15</v>
      </c>
      <c r="L7" s="1">
        <v>66.8</v>
      </c>
    </row>
    <row r="8" spans="1:12" x14ac:dyDescent="0.3">
      <c r="A8" s="3" t="s">
        <v>71</v>
      </c>
      <c r="B8" s="58" t="s">
        <v>19</v>
      </c>
      <c r="C8" s="58"/>
      <c r="D8" s="58"/>
      <c r="E8" s="4" t="s">
        <v>56</v>
      </c>
      <c r="F8" s="4">
        <v>1</v>
      </c>
      <c r="G8" s="25" t="s">
        <v>61</v>
      </c>
      <c r="H8" s="28" t="str">
        <f>HYPERLINK("#G8",CHAR(128))</f>
        <v>€</v>
      </c>
      <c r="K8" s="4" t="s">
        <v>16</v>
      </c>
      <c r="L8" s="4">
        <v>293.89999999999998</v>
      </c>
    </row>
    <row r="9" spans="1:12" x14ac:dyDescent="0.3">
      <c r="A9" s="2"/>
      <c r="B9" s="59" t="s">
        <v>20</v>
      </c>
      <c r="C9" s="59"/>
      <c r="D9" s="59"/>
      <c r="E9" s="1">
        <v>7058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126</v>
      </c>
    </row>
    <row r="10" spans="1:12" x14ac:dyDescent="0.3">
      <c r="A10" s="3"/>
      <c r="B10" s="58" t="s">
        <v>24</v>
      </c>
      <c r="C10" s="58"/>
      <c r="D10" s="58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 t="s">
        <v>59</v>
      </c>
      <c r="B11" s="59" t="s">
        <v>23</v>
      </c>
      <c r="C11" s="59"/>
      <c r="D11" s="59"/>
      <c r="E11" s="1" t="s">
        <v>58</v>
      </c>
      <c r="F11" s="16">
        <v>1</v>
      </c>
      <c r="G11" s="25" t="s">
        <v>61</v>
      </c>
      <c r="H11" s="28" t="str">
        <f>HYPERLINK("#G11",CHAR(128))</f>
        <v>€</v>
      </c>
    </row>
    <row r="12" spans="1:12" x14ac:dyDescent="0.3">
      <c r="A12" s="5" t="s">
        <v>90</v>
      </c>
      <c r="B12" s="58" t="s">
        <v>25</v>
      </c>
      <c r="C12" s="58"/>
      <c r="D12" s="58"/>
      <c r="E12" s="4" t="s">
        <v>89</v>
      </c>
      <c r="F12" s="4">
        <v>1</v>
      </c>
      <c r="G12" s="25" t="s">
        <v>61</v>
      </c>
      <c r="H12" s="28" t="str">
        <f>HYPERLINK("#G12",CHAR(128))</f>
        <v>€</v>
      </c>
    </row>
    <row r="13" spans="1:12" x14ac:dyDescent="0.3">
      <c r="A13" s="2" t="s">
        <v>69</v>
      </c>
      <c r="B13" s="59" t="s">
        <v>26</v>
      </c>
      <c r="C13" s="59"/>
      <c r="D13" s="59"/>
      <c r="E13" s="1" t="s">
        <v>68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87</v>
      </c>
      <c r="B14" s="58" t="s">
        <v>27</v>
      </c>
      <c r="C14" s="58"/>
      <c r="D14" s="58"/>
      <c r="E14" s="4" t="s">
        <v>86</v>
      </c>
      <c r="F14" s="4">
        <v>1</v>
      </c>
      <c r="G14" s="25" t="s">
        <v>61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 t="s">
        <v>50</v>
      </c>
      <c r="F16" s="4">
        <v>1</v>
      </c>
      <c r="G16" s="25" t="s">
        <v>61</v>
      </c>
      <c r="H16" s="23" t="str">
        <f>HYPERLINK("#G16",CHAR(128))</f>
        <v>€</v>
      </c>
    </row>
    <row r="17" spans="1:10" x14ac:dyDescent="0.3">
      <c r="A17" s="2" t="s">
        <v>66</v>
      </c>
      <c r="B17" s="59" t="s">
        <v>22</v>
      </c>
      <c r="C17" s="59"/>
      <c r="D17" s="59"/>
      <c r="E17" s="1" t="s">
        <v>65</v>
      </c>
      <c r="F17" s="16">
        <v>1</v>
      </c>
      <c r="G17" s="25" t="s">
        <v>61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65</v>
      </c>
      <c r="F18" s="4">
        <v>1</v>
      </c>
      <c r="G18" s="25" t="s">
        <v>61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 t="s">
        <v>65</v>
      </c>
      <c r="F19" s="16">
        <v>1</v>
      </c>
      <c r="G19" s="25" t="s">
        <v>61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/>
      <c r="B21" s="59" t="s">
        <v>33</v>
      </c>
      <c r="C21" s="59"/>
      <c r="D21" s="59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106</v>
      </c>
      <c r="B22" s="58" t="s">
        <v>31</v>
      </c>
      <c r="C22" s="58"/>
      <c r="D22" s="58"/>
      <c r="E22" s="4">
        <v>6748</v>
      </c>
      <c r="F22" s="4">
        <v>1</v>
      </c>
      <c r="G22" s="25" t="s">
        <v>61</v>
      </c>
      <c r="H22" s="23" t="str">
        <f>HYPERLINK("#G22",CHAR(128))</f>
        <v>€</v>
      </c>
    </row>
    <row r="23" spans="1:10" x14ac:dyDescent="0.3">
      <c r="A23" s="2"/>
      <c r="B23" s="59" t="s">
        <v>47</v>
      </c>
      <c r="C23" s="59"/>
      <c r="D23" s="59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Clark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98" priority="2" operator="equal">
      <formula>"Returned"</formula>
    </cfRule>
    <cfRule type="cellIs" dxfId="97" priority="5" operator="equal">
      <formula>"Ready To Order"</formula>
    </cfRule>
    <cfRule type="cellIs" dxfId="96" priority="6" operator="equal">
      <formula>"UNP"</formula>
    </cfRule>
    <cfRule type="containsText" dxfId="95" priority="7" operator="containsText" text="Ordered">
      <formula>NOT(ISERROR(SEARCH("Ordered",G6)))</formula>
    </cfRule>
    <cfRule type="containsText" dxfId="94" priority="8" operator="containsText" text="Pick Up">
      <formula>NOT(ISERROR(SEARCH("Pick Up",G6)))</formula>
    </cfRule>
    <cfRule type="containsText" dxfId="93" priority="9" operator="containsText" text="Complete">
      <formula>NOT(ISERROR(SEARCH("Complete",G6)))</formula>
    </cfRule>
  </conditionalFormatting>
  <conditionalFormatting sqref="G30:G33">
    <cfRule type="containsText" dxfId="92" priority="4" operator="containsText" text="Given">
      <formula>NOT(ISERROR(SEARCH("Given",G30)))</formula>
    </cfRule>
  </conditionalFormatting>
  <conditionalFormatting sqref="G30:G34">
    <cfRule type="containsText" dxfId="91" priority="3" operator="containsText" text="Returned">
      <formula>NOT(ISERROR(SEARCH("Returned",G30)))</formula>
    </cfRule>
  </conditionalFormatting>
  <conditionalFormatting sqref="G6:G14 G21:G26 G16:G19">
    <cfRule type="cellIs" dxfId="90" priority="1" operator="equal">
      <formula>"In Stock"</formula>
    </cfRule>
  </conditionalFormatting>
  <dataValidations count="3">
    <dataValidation type="list" allowBlank="1" showInputMessage="1" showErrorMessage="1" sqref="G30:G34" xr:uid="{D3242AA1-47B0-4CD6-9B64-C557F826A96A}">
      <formula1>"--,Returned, Given"</formula1>
    </dataValidation>
    <dataValidation type="list" allowBlank="1" showInputMessage="1" showErrorMessage="1" sqref="G16:G19 G21:G24 G26 G6:G14" xr:uid="{9D0B9383-9BF8-4009-A040-65332F2665F2}">
      <formula1>"UNP, Ready To Order, Ordered, In Stock, Pick Up, Complete, Returned"</formula1>
    </dataValidation>
    <dataValidation type="decimal" allowBlank="1" showInputMessage="1" showErrorMessage="1" sqref="L2" xr:uid="{7D7A1BCE-ABAD-4CEC-988A-F5FF4C911F1C}">
      <formula1>19</formula1>
      <formula2>26</formula2>
    </dataValidation>
  </dataValidations>
  <hyperlinks>
    <hyperlink ref="A1:A2" location="Menu!A1" display="Back to Menu" xr:uid="{E8F2EF90-8257-4CD3-8BFC-16A278D8BA4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60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16759-5969-4D9A-B366-7B7D0CFFD1E6}">
  <sheetPr codeName="Sheet29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84</v>
      </c>
      <c r="D2" s="59"/>
      <c r="E2" s="59" t="s">
        <v>108</v>
      </c>
      <c r="F2" s="59"/>
      <c r="G2" s="1" t="s">
        <v>192</v>
      </c>
      <c r="K2" s="4" t="s">
        <v>9</v>
      </c>
      <c r="L2" s="4">
        <v>19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72</v>
      </c>
      <c r="K4" s="4" t="s">
        <v>12</v>
      </c>
      <c r="L4" s="4">
        <v>38.1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61.3</v>
      </c>
    </row>
    <row r="6" spans="1:12" x14ac:dyDescent="0.3">
      <c r="A6" s="3" t="s">
        <v>110</v>
      </c>
      <c r="B6" s="58" t="s">
        <v>18</v>
      </c>
      <c r="C6" s="58"/>
      <c r="D6" s="58"/>
      <c r="E6" s="4">
        <v>8040</v>
      </c>
      <c r="F6" s="4">
        <v>1</v>
      </c>
      <c r="G6" s="25" t="s">
        <v>61</v>
      </c>
      <c r="H6" s="28" t="str">
        <f>HYPERLINK("#G6",CHAR(128))</f>
        <v>€</v>
      </c>
      <c r="K6" s="4" t="s">
        <v>14</v>
      </c>
      <c r="L6" s="4">
        <v>44.2</v>
      </c>
    </row>
    <row r="7" spans="1:12" x14ac:dyDescent="0.3">
      <c r="A7" s="2"/>
      <c r="B7" s="59" t="s">
        <v>21</v>
      </c>
      <c r="C7" s="59"/>
      <c r="D7" s="59"/>
      <c r="E7" s="1" t="s">
        <v>73</v>
      </c>
      <c r="F7" s="16">
        <v>1</v>
      </c>
      <c r="G7" s="25" t="s">
        <v>61</v>
      </c>
      <c r="H7" s="28" t="str">
        <f>HYPERLINK("#G7",CHAR(128))</f>
        <v>€</v>
      </c>
      <c r="K7" s="1" t="s">
        <v>15</v>
      </c>
      <c r="L7" s="1">
        <v>70</v>
      </c>
    </row>
    <row r="8" spans="1:12" x14ac:dyDescent="0.3">
      <c r="A8" s="3" t="s">
        <v>85</v>
      </c>
      <c r="B8" s="58" t="s">
        <v>19</v>
      </c>
      <c r="C8" s="58"/>
      <c r="D8" s="58"/>
      <c r="E8" s="4" t="s">
        <v>70</v>
      </c>
      <c r="F8" s="4">
        <v>1</v>
      </c>
      <c r="G8" s="25" t="s">
        <v>61</v>
      </c>
      <c r="H8" s="28" t="str">
        <f>HYPERLINK("#G8",CHAR(128))</f>
        <v>€</v>
      </c>
      <c r="K8" s="4" t="s">
        <v>16</v>
      </c>
      <c r="L8" s="4">
        <v>317.10000000000002</v>
      </c>
    </row>
    <row r="9" spans="1:12" x14ac:dyDescent="0.3">
      <c r="A9" s="2"/>
      <c r="B9" s="59" t="s">
        <v>20</v>
      </c>
      <c r="C9" s="59"/>
      <c r="D9" s="59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100.2</v>
      </c>
    </row>
    <row r="10" spans="1:12" x14ac:dyDescent="0.3">
      <c r="A10" s="3"/>
      <c r="B10" s="58" t="s">
        <v>24</v>
      </c>
      <c r="C10" s="58"/>
      <c r="D10" s="58"/>
      <c r="E10" s="8">
        <v>6.375</v>
      </c>
      <c r="F10" s="4">
        <v>1</v>
      </c>
      <c r="G10" s="25" t="s">
        <v>61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 t="s">
        <v>92</v>
      </c>
      <c r="B11" s="59" t="s">
        <v>23</v>
      </c>
      <c r="C11" s="59"/>
      <c r="D11" s="59"/>
      <c r="E11" s="1" t="s">
        <v>91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69</v>
      </c>
      <c r="B13" s="59" t="s">
        <v>26</v>
      </c>
      <c r="C13" s="59"/>
      <c r="D13" s="59"/>
      <c r="E13" s="1" t="s">
        <v>68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87</v>
      </c>
      <c r="B14" s="58" t="s">
        <v>27</v>
      </c>
      <c r="C14" s="58"/>
      <c r="D14" s="58"/>
      <c r="E14" s="4" t="s">
        <v>86</v>
      </c>
      <c r="F14" s="4">
        <v>1</v>
      </c>
      <c r="G14" s="25" t="s">
        <v>61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 t="s">
        <v>50</v>
      </c>
      <c r="F16" s="4">
        <v>1</v>
      </c>
      <c r="G16" s="25" t="s">
        <v>61</v>
      </c>
      <c r="H16" s="23" t="str">
        <f>HYPERLINK("#G16",CHAR(128))</f>
        <v>€</v>
      </c>
    </row>
    <row r="17" spans="1:10" x14ac:dyDescent="0.3">
      <c r="A17" s="2" t="s">
        <v>88</v>
      </c>
      <c r="B17" s="59" t="s">
        <v>22</v>
      </c>
      <c r="C17" s="59"/>
      <c r="D17" s="59"/>
      <c r="E17" s="1" t="s">
        <v>75</v>
      </c>
      <c r="F17" s="16">
        <v>1</v>
      </c>
      <c r="G17" s="25" t="s">
        <v>61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75</v>
      </c>
      <c r="F18" s="4">
        <v>1</v>
      </c>
      <c r="G18" s="25" t="s">
        <v>61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 t="s">
        <v>75</v>
      </c>
      <c r="F19" s="16">
        <v>1</v>
      </c>
      <c r="G19" s="25" t="s">
        <v>61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/>
      <c r="B21" s="59" t="s">
        <v>33</v>
      </c>
      <c r="C21" s="59"/>
      <c r="D21" s="59"/>
      <c r="E21" s="9">
        <v>6.125</v>
      </c>
      <c r="F21" s="16">
        <v>1</v>
      </c>
      <c r="G21" s="25" t="s">
        <v>61</v>
      </c>
      <c r="H21" s="23" t="str">
        <f>HYPERLINK("#G21",CHAR(128))</f>
        <v>€</v>
      </c>
    </row>
    <row r="22" spans="1:10" x14ac:dyDescent="0.3">
      <c r="A22" s="5" t="s">
        <v>111</v>
      </c>
      <c r="B22" s="58" t="s">
        <v>31</v>
      </c>
      <c r="C22" s="58"/>
      <c r="D22" s="58"/>
      <c r="E22" s="4">
        <v>7640</v>
      </c>
      <c r="F22" s="4">
        <v>1</v>
      </c>
      <c r="G22" s="25" t="s">
        <v>61</v>
      </c>
      <c r="H22" s="23" t="str">
        <f>HYPERLINK("#G22",CHAR(128))</f>
        <v>€</v>
      </c>
    </row>
    <row r="23" spans="1:10" x14ac:dyDescent="0.3">
      <c r="A23" s="2"/>
      <c r="B23" s="59" t="s">
        <v>47</v>
      </c>
      <c r="C23" s="59"/>
      <c r="D23" s="59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113</v>
      </c>
      <c r="B24" s="58" t="s">
        <v>32</v>
      </c>
      <c r="C24" s="58"/>
      <c r="D24" s="58"/>
      <c r="E24" s="4" t="s">
        <v>112</v>
      </c>
      <c r="F24" s="4">
        <v>1</v>
      </c>
      <c r="G24" s="25" t="s">
        <v>61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Taylor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83" priority="2" operator="equal">
      <formula>"Returned"</formula>
    </cfRule>
    <cfRule type="cellIs" dxfId="82" priority="5" operator="equal">
      <formula>"Ready To Order"</formula>
    </cfRule>
    <cfRule type="cellIs" dxfId="81" priority="6" operator="equal">
      <formula>"UNP"</formula>
    </cfRule>
    <cfRule type="containsText" dxfId="80" priority="7" operator="containsText" text="Ordered">
      <formula>NOT(ISERROR(SEARCH("Ordered",G6)))</formula>
    </cfRule>
    <cfRule type="containsText" dxfId="79" priority="8" operator="containsText" text="Pick Up">
      <formula>NOT(ISERROR(SEARCH("Pick Up",G6)))</formula>
    </cfRule>
    <cfRule type="containsText" dxfId="78" priority="9" operator="containsText" text="Complete">
      <formula>NOT(ISERROR(SEARCH("Complete",G6)))</formula>
    </cfRule>
  </conditionalFormatting>
  <conditionalFormatting sqref="G30:G33">
    <cfRule type="containsText" dxfId="77" priority="4" operator="containsText" text="Given">
      <formula>NOT(ISERROR(SEARCH("Given",G30)))</formula>
    </cfRule>
  </conditionalFormatting>
  <conditionalFormatting sqref="G30:G34">
    <cfRule type="containsText" dxfId="76" priority="3" operator="containsText" text="Returned">
      <formula>NOT(ISERROR(SEARCH("Returned",G30)))</formula>
    </cfRule>
  </conditionalFormatting>
  <conditionalFormatting sqref="G6:G14 G21:G26 G16:G19">
    <cfRule type="cellIs" dxfId="75" priority="1" operator="equal">
      <formula>"In Stock"</formula>
    </cfRule>
  </conditionalFormatting>
  <dataValidations count="3">
    <dataValidation type="list" allowBlank="1" showInputMessage="1" showErrorMessage="1" sqref="G30:G34" xr:uid="{CF063701-9B85-4C1D-8DD7-9AC78725357F}">
      <formula1>"--,Returned, Given"</formula1>
    </dataValidation>
    <dataValidation type="list" allowBlank="1" showInputMessage="1" showErrorMessage="1" sqref="G16:G19 G21:G24 G26 G6:G14" xr:uid="{F674D48C-403E-46A7-BCB1-9AFC4E469536}">
      <formula1>"UNP, Ready To Order, Ordered, In Stock, Pick Up, Complete, Returned"</formula1>
    </dataValidation>
    <dataValidation type="decimal" allowBlank="1" showInputMessage="1" showErrorMessage="1" sqref="L2" xr:uid="{5F4B96C5-2DCA-4FBB-B960-00612398D563}">
      <formula1>19</formula1>
      <formula2>26</formula2>
    </dataValidation>
  </dataValidations>
  <hyperlinks>
    <hyperlink ref="A1:A2" location="Menu!A1" display="Back to Menu" xr:uid="{78F0A502-B8A4-4FF2-A455-9BEF04A5EC7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63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3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3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3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3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4302F-AE64-4886-84ED-3499390E5E8A}">
  <sheetPr codeName="Sheet30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135</v>
      </c>
      <c r="D2" s="59"/>
      <c r="E2" s="59" t="s">
        <v>136</v>
      </c>
      <c r="F2" s="59"/>
      <c r="G2" s="1" t="s">
        <v>193</v>
      </c>
      <c r="K2" s="4" t="s">
        <v>9</v>
      </c>
      <c r="L2" s="4">
        <v>22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16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72</v>
      </c>
      <c r="K4" s="4" t="s">
        <v>12</v>
      </c>
      <c r="L4" s="4">
        <v>35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31</v>
      </c>
    </row>
    <row r="6" spans="1:12" x14ac:dyDescent="0.3">
      <c r="A6" s="3" t="s">
        <v>145</v>
      </c>
      <c r="B6" s="58" t="s">
        <v>18</v>
      </c>
      <c r="C6" s="58"/>
      <c r="D6" s="58"/>
      <c r="E6" s="4">
        <v>6736</v>
      </c>
      <c r="F6" s="4">
        <v>1</v>
      </c>
      <c r="G6" s="25" t="s">
        <v>80</v>
      </c>
      <c r="H6" s="28" t="str">
        <f>HYPERLINK("#G6",CHAR(128))</f>
        <v>€</v>
      </c>
      <c r="K6" s="4" t="s">
        <v>14</v>
      </c>
      <c r="L6" s="4">
        <v>37</v>
      </c>
    </row>
    <row r="7" spans="1:12" x14ac:dyDescent="0.3">
      <c r="A7" s="2" t="s">
        <v>146</v>
      </c>
      <c r="B7" s="59" t="s">
        <v>21</v>
      </c>
      <c r="C7" s="59"/>
      <c r="D7" s="59"/>
      <c r="E7" s="1">
        <v>16</v>
      </c>
      <c r="F7" s="16">
        <v>1</v>
      </c>
      <c r="G7" s="25" t="s">
        <v>61</v>
      </c>
      <c r="H7" s="28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147</v>
      </c>
      <c r="B8" s="58" t="s">
        <v>19</v>
      </c>
      <c r="C8" s="58"/>
      <c r="D8" s="58"/>
      <c r="E8" s="4" t="s">
        <v>126</v>
      </c>
      <c r="F8" s="4">
        <v>1</v>
      </c>
      <c r="G8" s="25" t="s">
        <v>61</v>
      </c>
      <c r="H8" s="28" t="str">
        <f>HYPERLINK("#G8",CHAR(128))</f>
        <v>€</v>
      </c>
      <c r="K8" s="4" t="s">
        <v>16</v>
      </c>
      <c r="L8" s="4">
        <v>39</v>
      </c>
    </row>
    <row r="9" spans="1:12" x14ac:dyDescent="0.3">
      <c r="A9" s="2" t="s">
        <v>148</v>
      </c>
      <c r="B9" s="59" t="s">
        <v>20</v>
      </c>
      <c r="C9" s="59"/>
      <c r="D9" s="59"/>
      <c r="E9" s="1">
        <v>6731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13</v>
      </c>
    </row>
    <row r="10" spans="1:12" x14ac:dyDescent="0.3">
      <c r="A10" s="3" t="s">
        <v>149</v>
      </c>
      <c r="B10" s="58" t="s">
        <v>24</v>
      </c>
      <c r="C10" s="58"/>
      <c r="D10" s="58"/>
      <c r="E10" s="8">
        <v>7</v>
      </c>
      <c r="F10" s="4">
        <v>1</v>
      </c>
      <c r="G10" s="25" t="s">
        <v>61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/>
      <c r="B11" s="59" t="s">
        <v>23</v>
      </c>
      <c r="C11" s="59"/>
      <c r="D11" s="59"/>
      <c r="E11" s="1" t="s">
        <v>127</v>
      </c>
      <c r="F11" s="16">
        <v>1</v>
      </c>
      <c r="G11" s="25" t="s">
        <v>80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 t="s">
        <v>127</v>
      </c>
      <c r="F12" s="4">
        <v>1</v>
      </c>
      <c r="G12" s="25" t="s">
        <v>80</v>
      </c>
      <c r="H12" s="28" t="str">
        <f>HYPERLINK("#G12",CHAR(128))</f>
        <v>€</v>
      </c>
    </row>
    <row r="13" spans="1:12" x14ac:dyDescent="0.3">
      <c r="A13" s="2"/>
      <c r="B13" s="59" t="s">
        <v>26</v>
      </c>
      <c r="C13" s="59"/>
      <c r="D13" s="59"/>
      <c r="E13" s="1" t="s">
        <v>128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/>
      <c r="B14" s="58" t="s">
        <v>27</v>
      </c>
      <c r="C14" s="58"/>
      <c r="D14" s="58"/>
      <c r="E14" s="4" t="s">
        <v>129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151</v>
      </c>
      <c r="B17" s="59" t="s">
        <v>22</v>
      </c>
      <c r="C17" s="59"/>
      <c r="D17" s="59"/>
      <c r="E17" s="1" t="s">
        <v>126</v>
      </c>
      <c r="F17" s="16">
        <v>1</v>
      </c>
      <c r="G17" s="25" t="s">
        <v>80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126</v>
      </c>
      <c r="F18" s="4">
        <v>1</v>
      </c>
      <c r="G18" s="25" t="s">
        <v>80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 t="s">
        <v>126</v>
      </c>
      <c r="F19" s="16">
        <v>1</v>
      </c>
      <c r="G19" s="25" t="s">
        <v>80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 t="s">
        <v>152</v>
      </c>
      <c r="B21" s="59" t="s">
        <v>33</v>
      </c>
      <c r="C21" s="59"/>
      <c r="D21" s="59"/>
      <c r="E21" s="9">
        <v>7</v>
      </c>
      <c r="F21" s="16">
        <v>1</v>
      </c>
      <c r="G21" s="25" t="s">
        <v>80</v>
      </c>
      <c r="H21" s="23" t="str">
        <f>HYPERLINK("#G21",CHAR(128))</f>
        <v>€</v>
      </c>
    </row>
    <row r="22" spans="1:10" x14ac:dyDescent="0.3">
      <c r="A22" s="5" t="s">
        <v>153</v>
      </c>
      <c r="B22" s="58" t="s">
        <v>31</v>
      </c>
      <c r="C22" s="58"/>
      <c r="D22" s="58"/>
      <c r="E22" s="4">
        <v>6736</v>
      </c>
      <c r="F22" s="4">
        <v>1</v>
      </c>
      <c r="G22" s="25" t="s">
        <v>80</v>
      </c>
      <c r="H22" s="23" t="str">
        <f>HYPERLINK("#G22",CHAR(128))</f>
        <v>€</v>
      </c>
    </row>
    <row r="23" spans="1:10" x14ac:dyDescent="0.3">
      <c r="A23" s="2" t="s">
        <v>154</v>
      </c>
      <c r="B23" s="59" t="s">
        <v>47</v>
      </c>
      <c r="C23" s="59"/>
      <c r="D23" s="59"/>
      <c r="E23" s="1">
        <v>6734</v>
      </c>
      <c r="F23" s="16">
        <v>1</v>
      </c>
      <c r="G23" s="25" t="s">
        <v>80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Rob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68" priority="2" operator="equal">
      <formula>"Returned"</formula>
    </cfRule>
    <cfRule type="cellIs" dxfId="67" priority="5" operator="equal">
      <formula>"Ready To Order"</formula>
    </cfRule>
    <cfRule type="cellIs" dxfId="66" priority="6" operator="equal">
      <formula>"UNP"</formula>
    </cfRule>
    <cfRule type="containsText" dxfId="65" priority="7" operator="containsText" text="Ordered">
      <formula>NOT(ISERROR(SEARCH("Ordered",G6)))</formula>
    </cfRule>
    <cfRule type="containsText" dxfId="64" priority="8" operator="containsText" text="Pick Up">
      <formula>NOT(ISERROR(SEARCH("Pick Up",G6)))</formula>
    </cfRule>
    <cfRule type="containsText" dxfId="63" priority="9" operator="containsText" text="Complete">
      <formula>NOT(ISERROR(SEARCH("Complete",G6)))</formula>
    </cfRule>
  </conditionalFormatting>
  <conditionalFormatting sqref="G30:G33">
    <cfRule type="containsText" dxfId="62" priority="4" operator="containsText" text="Given">
      <formula>NOT(ISERROR(SEARCH("Given",G30)))</formula>
    </cfRule>
  </conditionalFormatting>
  <conditionalFormatting sqref="G30:G34">
    <cfRule type="containsText" dxfId="61" priority="3" operator="containsText" text="Returned">
      <formula>NOT(ISERROR(SEARCH("Returned",G30)))</formula>
    </cfRule>
  </conditionalFormatting>
  <conditionalFormatting sqref="G6:G14 G21:G26 G16:G19">
    <cfRule type="cellIs" dxfId="60" priority="1" operator="equal">
      <formula>"In Stock"</formula>
    </cfRule>
  </conditionalFormatting>
  <dataValidations count="3">
    <dataValidation type="list" allowBlank="1" showInputMessage="1" showErrorMessage="1" sqref="G30:G34" xr:uid="{F8DDDFD0-40D8-4176-9138-7BC92B0E8A84}">
      <formula1>"--,Returned, Given"</formula1>
    </dataValidation>
    <dataValidation type="list" allowBlank="1" showInputMessage="1" showErrorMessage="1" sqref="G16:G19 G21:G24 G26 G6:G14" xr:uid="{961FFCD6-7BCF-4620-88A3-F62A06666673}">
      <formula1>"UNP, Ready To Order, Ordered, In Stock, Pick Up, Complete, Returned"</formula1>
    </dataValidation>
    <dataValidation type="decimal" allowBlank="1" showInputMessage="1" showErrorMessage="1" sqref="L2" xr:uid="{7970EF0A-1418-475E-838A-E150C3A4F90C}">
      <formula1>19</formula1>
      <formula2>26</formula2>
    </dataValidation>
  </dataValidations>
  <hyperlinks>
    <hyperlink ref="A1:A2" location="Menu!A1" display="Back to Menu" xr:uid="{6752FFAB-9F2A-499F-A8F8-3D5F2F92CC9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665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5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5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31FD2-0FC7-4E44-AFF3-6653570F8CAC}">
  <sheetPr codeName="Sheet31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137</v>
      </c>
      <c r="D2" s="59"/>
      <c r="E2" s="59" t="s">
        <v>138</v>
      </c>
      <c r="F2" s="59"/>
      <c r="G2" s="1" t="s">
        <v>194</v>
      </c>
      <c r="K2" s="4" t="s">
        <v>9</v>
      </c>
      <c r="L2" s="4">
        <v>23.5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17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72</v>
      </c>
      <c r="K4" s="4" t="s">
        <v>12</v>
      </c>
      <c r="L4" s="4">
        <v>45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43</v>
      </c>
    </row>
    <row r="6" spans="1:12" x14ac:dyDescent="0.3">
      <c r="A6" s="3" t="s">
        <v>156</v>
      </c>
      <c r="B6" s="58" t="s">
        <v>18</v>
      </c>
      <c r="C6" s="58"/>
      <c r="D6" s="58"/>
      <c r="E6" s="4">
        <v>8046</v>
      </c>
      <c r="F6" s="4">
        <v>1</v>
      </c>
      <c r="G6" s="25" t="s">
        <v>80</v>
      </c>
      <c r="H6" s="28" t="str">
        <f>HYPERLINK("#G6",CHAR(128))</f>
        <v>€</v>
      </c>
      <c r="K6" s="4" t="s">
        <v>14</v>
      </c>
      <c r="L6" s="4">
        <v>43</v>
      </c>
    </row>
    <row r="7" spans="1:12" x14ac:dyDescent="0.3">
      <c r="A7" s="2"/>
      <c r="B7" s="59" t="s">
        <v>21</v>
      </c>
      <c r="C7" s="59"/>
      <c r="D7" s="59"/>
      <c r="E7" s="1">
        <v>17.5</v>
      </c>
      <c r="F7" s="16">
        <v>1</v>
      </c>
      <c r="G7" s="25" t="s">
        <v>61</v>
      </c>
      <c r="H7" s="28" t="str">
        <f>HYPERLINK("#G7",CHAR(128))</f>
        <v>€</v>
      </c>
      <c r="K7" s="1" t="s">
        <v>15</v>
      </c>
      <c r="L7" s="1">
        <v>75</v>
      </c>
    </row>
    <row r="8" spans="1:12" x14ac:dyDescent="0.3">
      <c r="A8" s="3" t="s">
        <v>157</v>
      </c>
      <c r="B8" s="58" t="s">
        <v>19</v>
      </c>
      <c r="C8" s="58"/>
      <c r="D8" s="58"/>
      <c r="E8" s="4" t="s">
        <v>130</v>
      </c>
      <c r="F8" s="4">
        <v>1</v>
      </c>
      <c r="G8" s="25" t="s">
        <v>61</v>
      </c>
      <c r="H8" s="28" t="str">
        <f>HYPERLINK("#G8",CHAR(128))</f>
        <v>€</v>
      </c>
      <c r="K8" s="4" t="s">
        <v>16</v>
      </c>
      <c r="L8" s="4">
        <v>304.8</v>
      </c>
    </row>
    <row r="9" spans="1:12" x14ac:dyDescent="0.3">
      <c r="A9" s="2" t="s">
        <v>158</v>
      </c>
      <c r="B9" s="59" t="s">
        <v>20</v>
      </c>
      <c r="C9" s="59"/>
      <c r="D9" s="59"/>
      <c r="E9" s="1">
        <v>7644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101.6</v>
      </c>
    </row>
    <row r="10" spans="1:12" x14ac:dyDescent="0.3">
      <c r="A10" s="3"/>
      <c r="B10" s="58" t="s">
        <v>24</v>
      </c>
      <c r="C10" s="58"/>
      <c r="D10" s="58"/>
      <c r="E10" s="8">
        <v>7.5</v>
      </c>
      <c r="F10" s="4">
        <v>1</v>
      </c>
      <c r="G10" s="25" t="s">
        <v>61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/>
      <c r="B11" s="59" t="s">
        <v>23</v>
      </c>
      <c r="C11" s="59"/>
      <c r="D11" s="59"/>
      <c r="E11" s="1" t="s">
        <v>131</v>
      </c>
      <c r="F11" s="16">
        <v>1</v>
      </c>
      <c r="G11" s="25" t="s">
        <v>61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 t="s">
        <v>131</v>
      </c>
      <c r="F12" s="4">
        <v>1</v>
      </c>
      <c r="G12" s="25" t="s">
        <v>61</v>
      </c>
      <c r="H12" s="28" t="str">
        <f>HYPERLINK("#G12",CHAR(128))</f>
        <v>€</v>
      </c>
    </row>
    <row r="13" spans="1:12" x14ac:dyDescent="0.3">
      <c r="A13" s="2"/>
      <c r="B13" s="59" t="s">
        <v>26</v>
      </c>
      <c r="C13" s="59"/>
      <c r="D13" s="59"/>
      <c r="E13" s="1" t="s">
        <v>70</v>
      </c>
      <c r="F13" s="16">
        <v>1</v>
      </c>
      <c r="G13" s="25" t="s">
        <v>80</v>
      </c>
      <c r="H13" s="28" t="str">
        <f>HYPERLINK("#G13",CHAR(128))</f>
        <v>€</v>
      </c>
    </row>
    <row r="14" spans="1:12" x14ac:dyDescent="0.3">
      <c r="A14" s="5"/>
      <c r="B14" s="58" t="s">
        <v>27</v>
      </c>
      <c r="C14" s="58"/>
      <c r="D14" s="58"/>
      <c r="E14" s="4" t="s">
        <v>129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159</v>
      </c>
      <c r="B17" s="59" t="s">
        <v>22</v>
      </c>
      <c r="C17" s="59"/>
      <c r="D17" s="59"/>
      <c r="E17" s="1" t="s">
        <v>130</v>
      </c>
      <c r="F17" s="16">
        <v>1</v>
      </c>
      <c r="G17" s="25" t="s">
        <v>61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130</v>
      </c>
      <c r="F18" s="4">
        <v>1</v>
      </c>
      <c r="G18" s="25" t="s">
        <v>61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 t="s">
        <v>130</v>
      </c>
      <c r="F19" s="16">
        <v>1</v>
      </c>
      <c r="G19" s="25" t="s">
        <v>61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/>
      <c r="B21" s="59" t="s">
        <v>33</v>
      </c>
      <c r="C21" s="59"/>
      <c r="D21" s="59"/>
      <c r="E21" s="9">
        <v>7.5</v>
      </c>
      <c r="F21" s="16">
        <v>1</v>
      </c>
      <c r="G21" s="25" t="s">
        <v>61</v>
      </c>
      <c r="H21" s="23" t="str">
        <f>HYPERLINK("#G21",CHAR(128))</f>
        <v>€</v>
      </c>
    </row>
    <row r="22" spans="1:10" x14ac:dyDescent="0.3">
      <c r="A22" s="5" t="s">
        <v>160</v>
      </c>
      <c r="B22" s="58" t="s">
        <v>31</v>
      </c>
      <c r="C22" s="58"/>
      <c r="D22" s="58"/>
      <c r="E22" s="4">
        <v>7648</v>
      </c>
      <c r="F22" s="4">
        <v>1</v>
      </c>
      <c r="G22" s="25" t="s">
        <v>61</v>
      </c>
      <c r="H22" s="23" t="str">
        <f>HYPERLINK("#G22",CHAR(128))</f>
        <v>€</v>
      </c>
    </row>
    <row r="23" spans="1:10" x14ac:dyDescent="0.3">
      <c r="A23" s="2" t="s">
        <v>161</v>
      </c>
      <c r="B23" s="59" t="s">
        <v>47</v>
      </c>
      <c r="C23" s="59"/>
      <c r="D23" s="59"/>
      <c r="E23" s="1">
        <v>7646</v>
      </c>
      <c r="F23" s="16">
        <v>1</v>
      </c>
      <c r="G23" s="25" t="s">
        <v>61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Mike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53" priority="2" operator="equal">
      <formula>"Returned"</formula>
    </cfRule>
    <cfRule type="cellIs" dxfId="52" priority="5" operator="equal">
      <formula>"Ready To Order"</formula>
    </cfRule>
    <cfRule type="cellIs" dxfId="51" priority="6" operator="equal">
      <formula>"UNP"</formula>
    </cfRule>
    <cfRule type="containsText" dxfId="50" priority="7" operator="containsText" text="Ordered">
      <formula>NOT(ISERROR(SEARCH("Ordered",G6)))</formula>
    </cfRule>
    <cfRule type="containsText" dxfId="49" priority="8" operator="containsText" text="Pick Up">
      <formula>NOT(ISERROR(SEARCH("Pick Up",G6)))</formula>
    </cfRule>
    <cfRule type="containsText" dxfId="48" priority="9" operator="containsText" text="Complete">
      <formula>NOT(ISERROR(SEARCH("Complete",G6)))</formula>
    </cfRule>
  </conditionalFormatting>
  <conditionalFormatting sqref="G30:G33">
    <cfRule type="containsText" dxfId="47" priority="4" operator="containsText" text="Given">
      <formula>NOT(ISERROR(SEARCH("Given",G30)))</formula>
    </cfRule>
  </conditionalFormatting>
  <conditionalFormatting sqref="G30:G34">
    <cfRule type="containsText" dxfId="46" priority="3" operator="containsText" text="Returned">
      <formula>NOT(ISERROR(SEARCH("Returned",G30)))</formula>
    </cfRule>
  </conditionalFormatting>
  <conditionalFormatting sqref="G6:G14 G21:G26 G16:G19">
    <cfRule type="cellIs" dxfId="45" priority="1" operator="equal">
      <formula>"In Stock"</formula>
    </cfRule>
  </conditionalFormatting>
  <dataValidations count="3">
    <dataValidation type="list" allowBlank="1" showInputMessage="1" showErrorMessage="1" sqref="G30:G34" xr:uid="{C290A7AC-78DD-4490-9AEE-79A93ECE1FA5}">
      <formula1>"--,Returned, Given"</formula1>
    </dataValidation>
    <dataValidation type="list" allowBlank="1" showInputMessage="1" showErrorMessage="1" sqref="G16:G19 G21:G24 G26 G6:G14" xr:uid="{8139796D-B232-4492-A05E-7063E02AF8E0}">
      <formula1>"UNP, Ready To Order, Ordered, In Stock, Pick Up, Complete, Returned"</formula1>
    </dataValidation>
    <dataValidation type="decimal" allowBlank="1" showInputMessage="1" showErrorMessage="1" sqref="L2" xr:uid="{A867B2E9-EB13-4285-85A8-B6573D2F8FB5}">
      <formula1>19</formula1>
      <formula2>26</formula2>
    </dataValidation>
  </dataValidations>
  <hyperlinks>
    <hyperlink ref="A1:A2" location="Menu!A1" display="Back to Menu" xr:uid="{2DF08697-63F9-42F8-A18F-F89260D19C2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8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393D2-41FE-437F-B787-086AE9F449D5}">
  <sheetPr codeName="Sheet32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139</v>
      </c>
      <c r="D2" s="59"/>
      <c r="E2" s="59" t="s">
        <v>140</v>
      </c>
      <c r="F2" s="59"/>
      <c r="G2" s="1" t="s">
        <v>195</v>
      </c>
      <c r="K2" s="4" t="s">
        <v>9</v>
      </c>
      <c r="L2" s="4">
        <v>22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16.5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72</v>
      </c>
      <c r="K4" s="4" t="s">
        <v>12</v>
      </c>
      <c r="L4" s="4">
        <v>40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30</v>
      </c>
    </row>
    <row r="6" spans="1:12" x14ac:dyDescent="0.3">
      <c r="A6" s="3" t="s">
        <v>162</v>
      </c>
      <c r="B6" s="58" t="s">
        <v>18</v>
      </c>
      <c r="C6" s="58"/>
      <c r="D6" s="58"/>
      <c r="E6" s="4">
        <v>6440</v>
      </c>
      <c r="F6" s="4">
        <v>1</v>
      </c>
      <c r="G6" s="25" t="s">
        <v>80</v>
      </c>
      <c r="H6" s="28" t="str">
        <f>HYPERLINK("#G6",CHAR(128))</f>
        <v>€</v>
      </c>
      <c r="K6" s="4" t="s">
        <v>14</v>
      </c>
      <c r="L6" s="4">
        <v>38</v>
      </c>
    </row>
    <row r="7" spans="1:12" x14ac:dyDescent="0.3">
      <c r="A7" s="2"/>
      <c r="B7" s="59" t="s">
        <v>21</v>
      </c>
      <c r="C7" s="59"/>
      <c r="D7" s="59"/>
      <c r="E7" s="1">
        <v>16.5</v>
      </c>
      <c r="F7" s="16">
        <v>1</v>
      </c>
      <c r="G7" s="25" t="s">
        <v>61</v>
      </c>
      <c r="H7" s="28" t="str">
        <f>HYPERLINK("#G7",CHAR(128))</f>
        <v>€</v>
      </c>
      <c r="K7" s="1" t="s">
        <v>15</v>
      </c>
      <c r="L7" s="1">
        <v>62</v>
      </c>
    </row>
    <row r="8" spans="1:12" x14ac:dyDescent="0.3">
      <c r="A8" s="3" t="s">
        <v>85</v>
      </c>
      <c r="B8" s="58" t="s">
        <v>19</v>
      </c>
      <c r="C8" s="58"/>
      <c r="D8" s="58"/>
      <c r="E8" s="4" t="s">
        <v>70</v>
      </c>
      <c r="F8" s="4">
        <v>1</v>
      </c>
      <c r="G8" s="25" t="s">
        <v>61</v>
      </c>
      <c r="H8" s="28" t="str">
        <f>HYPERLINK("#G8",CHAR(128))</f>
        <v>€</v>
      </c>
      <c r="K8" s="4" t="s">
        <v>16</v>
      </c>
      <c r="L8" s="4">
        <v>240</v>
      </c>
    </row>
    <row r="9" spans="1:12" x14ac:dyDescent="0.3">
      <c r="A9" s="2" t="s">
        <v>163</v>
      </c>
      <c r="B9" s="59" t="s">
        <v>20</v>
      </c>
      <c r="C9" s="59"/>
      <c r="D9" s="59"/>
      <c r="E9" s="1">
        <v>6430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130</v>
      </c>
    </row>
    <row r="10" spans="1:12" x14ac:dyDescent="0.3">
      <c r="A10" s="3" t="s">
        <v>149</v>
      </c>
      <c r="B10" s="58" t="s">
        <v>24</v>
      </c>
      <c r="C10" s="58"/>
      <c r="D10" s="58"/>
      <c r="E10" s="8">
        <v>7</v>
      </c>
      <c r="F10" s="4">
        <v>1</v>
      </c>
      <c r="G10" s="25" t="s">
        <v>80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/>
      <c r="B11" s="59" t="s">
        <v>23</v>
      </c>
      <c r="C11" s="59"/>
      <c r="D11" s="59"/>
      <c r="E11" s="1" t="s">
        <v>127</v>
      </c>
      <c r="F11" s="16">
        <v>1</v>
      </c>
      <c r="G11" s="25" t="s">
        <v>80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 t="s">
        <v>127</v>
      </c>
      <c r="F12" s="4">
        <v>1</v>
      </c>
      <c r="G12" s="25" t="s">
        <v>80</v>
      </c>
      <c r="H12" s="28" t="str">
        <f>HYPERLINK("#G12",CHAR(128))</f>
        <v>€</v>
      </c>
    </row>
    <row r="13" spans="1:12" x14ac:dyDescent="0.3">
      <c r="A13" s="2"/>
      <c r="B13" s="59" t="s">
        <v>26</v>
      </c>
      <c r="C13" s="59"/>
      <c r="D13" s="59"/>
      <c r="E13" s="1" t="s">
        <v>132</v>
      </c>
      <c r="F13" s="16">
        <v>1</v>
      </c>
      <c r="G13" s="25" t="s">
        <v>80</v>
      </c>
      <c r="H13" s="28" t="str">
        <f>HYPERLINK("#G13",CHAR(128))</f>
        <v>€</v>
      </c>
    </row>
    <row r="14" spans="1:12" x14ac:dyDescent="0.3">
      <c r="A14" s="5"/>
      <c r="B14" s="58" t="s">
        <v>27</v>
      </c>
      <c r="C14" s="58"/>
      <c r="D14" s="58"/>
      <c r="E14" s="4" t="s">
        <v>129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151</v>
      </c>
      <c r="B17" s="59" t="s">
        <v>22</v>
      </c>
      <c r="C17" s="59"/>
      <c r="D17" s="59"/>
      <c r="E17" s="1" t="s">
        <v>126</v>
      </c>
      <c r="F17" s="16">
        <v>1</v>
      </c>
      <c r="G17" s="25" t="s">
        <v>80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126</v>
      </c>
      <c r="F18" s="4">
        <v>1</v>
      </c>
      <c r="G18" s="25" t="s">
        <v>80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 t="s">
        <v>126</v>
      </c>
      <c r="F19" s="16">
        <v>1</v>
      </c>
      <c r="G19" s="25" t="s">
        <v>80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 t="s">
        <v>152</v>
      </c>
      <c r="B21" s="59" t="s">
        <v>33</v>
      </c>
      <c r="C21" s="59"/>
      <c r="D21" s="59"/>
      <c r="E21" s="9">
        <v>7</v>
      </c>
      <c r="F21" s="16">
        <v>1</v>
      </c>
      <c r="G21" s="25" t="s">
        <v>80</v>
      </c>
      <c r="H21" s="23" t="str">
        <f>HYPERLINK("#G21",CHAR(128))</f>
        <v>€</v>
      </c>
    </row>
    <row r="22" spans="1:10" x14ac:dyDescent="0.3">
      <c r="A22" s="5" t="s">
        <v>164</v>
      </c>
      <c r="B22" s="58" t="s">
        <v>31</v>
      </c>
      <c r="C22" s="58"/>
      <c r="D22" s="58"/>
      <c r="E22" s="4">
        <v>6440</v>
      </c>
      <c r="F22" s="4">
        <v>1</v>
      </c>
      <c r="G22" s="25" t="s">
        <v>61</v>
      </c>
      <c r="H22" s="23" t="str">
        <f>HYPERLINK("#G22",CHAR(128))</f>
        <v>€</v>
      </c>
    </row>
    <row r="23" spans="1:10" x14ac:dyDescent="0.3">
      <c r="A23" s="2" t="s">
        <v>165</v>
      </c>
      <c r="B23" s="59" t="s">
        <v>47</v>
      </c>
      <c r="C23" s="59"/>
      <c r="D23" s="59"/>
      <c r="E23" s="1">
        <v>6430</v>
      </c>
      <c r="F23" s="16">
        <v>1</v>
      </c>
      <c r="G23" s="25" t="s">
        <v>80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Jesus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8" priority="2" operator="equal">
      <formula>"Returned"</formula>
    </cfRule>
    <cfRule type="cellIs" dxfId="37" priority="5" operator="equal">
      <formula>"Ready To Order"</formula>
    </cfRule>
    <cfRule type="cellIs" dxfId="36" priority="6" operator="equal">
      <formula>"UNP"</formula>
    </cfRule>
    <cfRule type="containsText" dxfId="35" priority="7" operator="containsText" text="Ordered">
      <formula>NOT(ISERROR(SEARCH("Ordered",G6)))</formula>
    </cfRule>
    <cfRule type="containsText" dxfId="34" priority="8" operator="containsText" text="Pick Up">
      <formula>NOT(ISERROR(SEARCH("Pick Up",G6)))</formula>
    </cfRule>
    <cfRule type="containsText" dxfId="33" priority="9" operator="containsText" text="Complete">
      <formula>NOT(ISERROR(SEARCH("Complete",G6)))</formula>
    </cfRule>
  </conditionalFormatting>
  <conditionalFormatting sqref="G30:G33">
    <cfRule type="containsText" dxfId="32" priority="4" operator="containsText" text="Given">
      <formula>NOT(ISERROR(SEARCH("Given",G30)))</formula>
    </cfRule>
  </conditionalFormatting>
  <conditionalFormatting sqref="G30:G34">
    <cfRule type="containsText" dxfId="31" priority="3" operator="containsText" text="Returned">
      <formula>NOT(ISERROR(SEARCH("Returned",G30)))</formula>
    </cfRule>
  </conditionalFormatting>
  <conditionalFormatting sqref="G6:G14 G21:G26 G16:G19">
    <cfRule type="cellIs" dxfId="30" priority="1" operator="equal">
      <formula>"In Stock"</formula>
    </cfRule>
  </conditionalFormatting>
  <dataValidations count="3">
    <dataValidation type="list" allowBlank="1" showInputMessage="1" showErrorMessage="1" sqref="G30:G34" xr:uid="{EA9DEDC1-2894-481C-9E83-E75F47AEC161}">
      <formula1>"--,Returned, Given"</formula1>
    </dataValidation>
    <dataValidation type="list" allowBlank="1" showInputMessage="1" showErrorMessage="1" sqref="G16:G19 G21:G24 G26 G6:G14" xr:uid="{D542FC85-6FA9-48C8-8E2C-EAACD718E565}">
      <formula1>"UNP, Ready To Order, Ordered, In Stock, Pick Up, Complete, Returned"</formula1>
    </dataValidation>
    <dataValidation type="decimal" allowBlank="1" showInputMessage="1" showErrorMessage="1" sqref="L2" xr:uid="{837781A0-A630-452E-87BA-778E70E21C28}">
      <formula1>19</formula1>
      <formula2>26</formula2>
    </dataValidation>
  </dataValidations>
  <hyperlinks>
    <hyperlink ref="A1:A2" location="Menu!A1" display="Back to Menu" xr:uid="{25D91C88-570A-4361-96B3-5F327A7A0D0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88D57-BBDA-4050-887E-DE0869E09951}">
  <sheetPr codeName="Sheet33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x14ac:dyDescent="0.3">
      <c r="A2" s="66"/>
      <c r="B2" s="2" t="s">
        <v>143</v>
      </c>
      <c r="C2" s="59" t="s">
        <v>141</v>
      </c>
      <c r="D2" s="59"/>
      <c r="E2" s="59" t="s">
        <v>142</v>
      </c>
      <c r="F2" s="59"/>
      <c r="G2" s="1" t="s">
        <v>196</v>
      </c>
      <c r="K2" s="4" t="s">
        <v>9</v>
      </c>
      <c r="L2" s="4">
        <v>22</v>
      </c>
    </row>
    <row r="3" spans="1:12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64">
        <v>9999999999</v>
      </c>
      <c r="C4" s="64"/>
      <c r="D4" s="64"/>
      <c r="E4" s="59"/>
      <c r="F4" s="59"/>
      <c r="G4" s="1" t="s">
        <v>72</v>
      </c>
      <c r="K4" s="4" t="s">
        <v>12</v>
      </c>
      <c r="L4" s="4">
        <v>32</v>
      </c>
    </row>
    <row r="5" spans="1:12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>
        <v>26.5</v>
      </c>
    </row>
    <row r="6" spans="1:12" x14ac:dyDescent="0.3">
      <c r="A6" s="3" t="s">
        <v>167</v>
      </c>
      <c r="B6" s="58" t="s">
        <v>18</v>
      </c>
      <c r="C6" s="58"/>
      <c r="D6" s="58"/>
      <c r="E6" s="4">
        <v>6432</v>
      </c>
      <c r="F6" s="4">
        <v>1</v>
      </c>
      <c r="G6" s="25" t="s">
        <v>80</v>
      </c>
      <c r="H6" s="28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168</v>
      </c>
      <c r="B7" s="59" t="s">
        <v>21</v>
      </c>
      <c r="C7" s="59"/>
      <c r="D7" s="59"/>
      <c r="E7" s="1">
        <v>13</v>
      </c>
      <c r="F7" s="16">
        <v>1</v>
      </c>
      <c r="G7" s="25" t="s">
        <v>67</v>
      </c>
      <c r="H7" s="28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169</v>
      </c>
      <c r="B8" s="58" t="s">
        <v>19</v>
      </c>
      <c r="C8" s="58"/>
      <c r="D8" s="58"/>
      <c r="E8" s="4" t="s">
        <v>132</v>
      </c>
      <c r="F8" s="4">
        <v>1</v>
      </c>
      <c r="G8" s="25" t="s">
        <v>67</v>
      </c>
      <c r="H8" s="28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170</v>
      </c>
      <c r="B9" s="59" t="s">
        <v>20</v>
      </c>
      <c r="C9" s="59"/>
      <c r="D9" s="59"/>
      <c r="E9" s="1">
        <v>6427</v>
      </c>
      <c r="F9" s="16">
        <v>1</v>
      </c>
      <c r="G9" s="25" t="s">
        <v>61</v>
      </c>
      <c r="H9" s="28" t="str">
        <f>HYPERLINK("#G9",CHAR(128))</f>
        <v>€</v>
      </c>
      <c r="I9" s="11"/>
      <c r="K9" s="1" t="s">
        <v>17</v>
      </c>
      <c r="L9" s="1">
        <v>95</v>
      </c>
    </row>
    <row r="10" spans="1:12" x14ac:dyDescent="0.3">
      <c r="A10" s="3" t="s">
        <v>149</v>
      </c>
      <c r="B10" s="58" t="s">
        <v>24</v>
      </c>
      <c r="C10" s="58"/>
      <c r="D10" s="58"/>
      <c r="E10" s="8">
        <v>7</v>
      </c>
      <c r="F10" s="4">
        <v>1</v>
      </c>
      <c r="G10" s="25" t="s">
        <v>67</v>
      </c>
      <c r="H10" s="28" t="str">
        <f>HYPERLINK("#G10",CHAR(128))</f>
        <v>€</v>
      </c>
      <c r="K10" s="15" t="s">
        <v>46</v>
      </c>
      <c r="L10" s="15"/>
    </row>
    <row r="11" spans="1:12" x14ac:dyDescent="0.3">
      <c r="A11" s="2"/>
      <c r="B11" s="59" t="s">
        <v>23</v>
      </c>
      <c r="C11" s="59"/>
      <c r="D11" s="59"/>
      <c r="E11" s="1" t="s">
        <v>127</v>
      </c>
      <c r="F11" s="16">
        <v>1</v>
      </c>
      <c r="G11" s="25" t="s">
        <v>67</v>
      </c>
      <c r="H11" s="28" t="str">
        <f>HYPERLINK("#G11",CHAR(128))</f>
        <v>€</v>
      </c>
    </row>
    <row r="12" spans="1:12" x14ac:dyDescent="0.3">
      <c r="A12" s="5"/>
      <c r="B12" s="58" t="s">
        <v>25</v>
      </c>
      <c r="C12" s="58"/>
      <c r="D12" s="58"/>
      <c r="E12" s="4" t="s">
        <v>133</v>
      </c>
      <c r="F12" s="4">
        <v>1</v>
      </c>
      <c r="G12" s="25" t="s">
        <v>67</v>
      </c>
      <c r="H12" s="28" t="str">
        <f>HYPERLINK("#G12",CHAR(128))</f>
        <v>€</v>
      </c>
    </row>
    <row r="13" spans="1:12" x14ac:dyDescent="0.3">
      <c r="A13" s="2" t="s">
        <v>171</v>
      </c>
      <c r="B13" s="59" t="s">
        <v>26</v>
      </c>
      <c r="C13" s="59"/>
      <c r="D13" s="59"/>
      <c r="E13" s="1" t="s">
        <v>126</v>
      </c>
      <c r="F13" s="16">
        <v>1</v>
      </c>
      <c r="G13" s="25" t="s">
        <v>67</v>
      </c>
      <c r="H13" s="28" t="str">
        <f>HYPERLINK("#G13",CHAR(128))</f>
        <v>€</v>
      </c>
    </row>
    <row r="14" spans="1:12" x14ac:dyDescent="0.3">
      <c r="A14" s="5" t="s">
        <v>172</v>
      </c>
      <c r="B14" s="58" t="s">
        <v>27</v>
      </c>
      <c r="C14" s="58"/>
      <c r="D14" s="58"/>
      <c r="E14" s="4" t="s">
        <v>134</v>
      </c>
      <c r="F14" s="4">
        <v>1</v>
      </c>
      <c r="G14" s="25" t="s">
        <v>80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16"/>
      <c r="H15" s="14"/>
    </row>
    <row r="16" spans="1:12" x14ac:dyDescent="0.3">
      <c r="A16" s="5" t="s">
        <v>150</v>
      </c>
      <c r="B16" s="58" t="s">
        <v>28</v>
      </c>
      <c r="C16" s="58"/>
      <c r="D16" s="5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151</v>
      </c>
      <c r="B17" s="59" t="s">
        <v>22</v>
      </c>
      <c r="C17" s="59"/>
      <c r="D17" s="59"/>
      <c r="E17" s="1" t="s">
        <v>126</v>
      </c>
      <c r="F17" s="16">
        <v>1</v>
      </c>
      <c r="G17" s="25" t="s">
        <v>67</v>
      </c>
      <c r="H17" s="23" t="str">
        <f>HYPERLINK("#G17",CHAR(128))</f>
        <v>€</v>
      </c>
    </row>
    <row r="18" spans="1:10" x14ac:dyDescent="0.3">
      <c r="A18" s="5"/>
      <c r="B18" s="58" t="s">
        <v>29</v>
      </c>
      <c r="C18" s="58"/>
      <c r="D18" s="58"/>
      <c r="E18" s="4" t="s">
        <v>126</v>
      </c>
      <c r="F18" s="4">
        <v>1</v>
      </c>
      <c r="G18" s="25" t="s">
        <v>67</v>
      </c>
      <c r="H18" s="23" t="str">
        <f>HYPERLINK("#G18",CHAR(128))</f>
        <v>€</v>
      </c>
    </row>
    <row r="19" spans="1:10" x14ac:dyDescent="0.3">
      <c r="A19" s="2"/>
      <c r="B19" s="59" t="s">
        <v>30</v>
      </c>
      <c r="C19" s="59"/>
      <c r="D19" s="59"/>
      <c r="E19" s="1" t="s">
        <v>126</v>
      </c>
      <c r="F19" s="16">
        <v>1</v>
      </c>
      <c r="G19" s="25" t="s">
        <v>67</v>
      </c>
      <c r="H19" s="23" t="str">
        <f>HYPERLINK("#G19",CHAR(128))</f>
        <v>€</v>
      </c>
    </row>
    <row r="20" spans="1:10" x14ac:dyDescent="0.3">
      <c r="A20" s="5"/>
      <c r="B20" s="61"/>
      <c r="C20" s="62"/>
      <c r="D20" s="63"/>
      <c r="E20" s="4"/>
      <c r="F20" s="4"/>
      <c r="G20" s="4"/>
      <c r="H20" s="14"/>
    </row>
    <row r="21" spans="1:10" x14ac:dyDescent="0.3">
      <c r="A21" s="2" t="s">
        <v>152</v>
      </c>
      <c r="B21" s="59" t="s">
        <v>33</v>
      </c>
      <c r="C21" s="59"/>
      <c r="D21" s="59"/>
      <c r="E21" s="9">
        <v>7</v>
      </c>
      <c r="F21" s="16">
        <v>1</v>
      </c>
      <c r="G21" s="25" t="s">
        <v>67</v>
      </c>
      <c r="H21" s="23" t="str">
        <f>HYPERLINK("#G21",CHAR(128))</f>
        <v>€</v>
      </c>
    </row>
    <row r="22" spans="1:10" x14ac:dyDescent="0.3">
      <c r="A22" s="5" t="s">
        <v>173</v>
      </c>
      <c r="B22" s="58" t="s">
        <v>31</v>
      </c>
      <c r="C22" s="58"/>
      <c r="D22" s="58"/>
      <c r="E22" s="4">
        <v>6432</v>
      </c>
      <c r="F22" s="4">
        <v>1</v>
      </c>
      <c r="G22" s="25" t="s">
        <v>67</v>
      </c>
      <c r="H22" s="23" t="str">
        <f>HYPERLINK("#G22",CHAR(128))</f>
        <v>€</v>
      </c>
    </row>
    <row r="23" spans="1:10" x14ac:dyDescent="0.3">
      <c r="A23" s="2" t="s">
        <v>165</v>
      </c>
      <c r="B23" s="59" t="s">
        <v>47</v>
      </c>
      <c r="C23" s="59"/>
      <c r="D23" s="59"/>
      <c r="E23" s="1">
        <v>6430</v>
      </c>
      <c r="F23" s="16">
        <v>1</v>
      </c>
      <c r="G23" s="25" t="s">
        <v>80</v>
      </c>
      <c r="H23" s="22" t="str">
        <f>HYPERLINK("#G23",CHAR(128))</f>
        <v>€</v>
      </c>
    </row>
    <row r="24" spans="1:10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0" x14ac:dyDescent="0.3">
      <c r="A26" s="5"/>
      <c r="B26" s="58" t="s">
        <v>37</v>
      </c>
      <c r="C26" s="58"/>
      <c r="D26" s="58"/>
      <c r="E26" s="4" t="str">
        <f>C2</f>
        <v>Dia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23" priority="2" operator="equal">
      <formula>"Returned"</formula>
    </cfRule>
    <cfRule type="cellIs" dxfId="22" priority="5" operator="equal">
      <formula>"Ready To Order"</formula>
    </cfRule>
    <cfRule type="cellIs" dxfId="21" priority="6" operator="equal">
      <formula>"UNP"</formula>
    </cfRule>
    <cfRule type="containsText" dxfId="20" priority="7" operator="containsText" text="Ordered">
      <formula>NOT(ISERROR(SEARCH("Ordered",G6)))</formula>
    </cfRule>
    <cfRule type="containsText" dxfId="19" priority="8" operator="containsText" text="Pick Up">
      <formula>NOT(ISERROR(SEARCH("Pick Up",G6)))</formula>
    </cfRule>
    <cfRule type="containsText" dxfId="18" priority="9" operator="containsText" text="Complete">
      <formula>NOT(ISERROR(SEARCH("Complete",G6)))</formula>
    </cfRule>
  </conditionalFormatting>
  <conditionalFormatting sqref="G30:G33">
    <cfRule type="containsText" dxfId="17" priority="4" operator="containsText" text="Given">
      <formula>NOT(ISERROR(SEARCH("Given",G30)))</formula>
    </cfRule>
  </conditionalFormatting>
  <conditionalFormatting sqref="G30:G34">
    <cfRule type="containsText" dxfId="16" priority="3" operator="containsText" text="Returned">
      <formula>NOT(ISERROR(SEARCH("Returned",G30)))</formula>
    </cfRule>
  </conditionalFormatting>
  <conditionalFormatting sqref="G6:G14 G21:G26 G16:G19">
    <cfRule type="cellIs" dxfId="15" priority="1" operator="equal">
      <formula>"In Stock"</formula>
    </cfRule>
  </conditionalFormatting>
  <dataValidations count="3">
    <dataValidation type="list" allowBlank="1" showInputMessage="1" showErrorMessage="1" sqref="G30:G34" xr:uid="{31364E22-0CAE-46DB-84F4-F9F54F3A4CA6}">
      <formula1>"--,Returned, Given"</formula1>
    </dataValidation>
    <dataValidation type="list" allowBlank="1" showInputMessage="1" showErrorMessage="1" sqref="G16:G19 G21:G24 G26 G6:G14" xr:uid="{C22AC62B-C1D7-4067-AAE3-04F4FB6A9859}">
      <formula1>"UNP, Ready To Order, Ordered, In Stock, Pick Up, Complete, Returned"</formula1>
    </dataValidation>
    <dataValidation type="decimal" allowBlank="1" showInputMessage="1" showErrorMessage="1" sqref="L2" xr:uid="{EA2A23A5-9003-4BC2-A14E-C80412FEBCF4}">
      <formula1>19</formula1>
      <formula2>26</formula2>
    </dataValidation>
  </dataValidations>
  <hyperlinks>
    <hyperlink ref="A1:A2" location="Menu!A1" display="Back to Menu" xr:uid="{6B4BD910-4911-4433-91B5-31119DDAF53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4.4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5" customHeight="1" x14ac:dyDescent="0.3">
      <c r="A1" s="65" t="s">
        <v>42</v>
      </c>
      <c r="B1" s="20" t="s">
        <v>3</v>
      </c>
      <c r="C1" s="57" t="s">
        <v>0</v>
      </c>
      <c r="D1" s="57"/>
      <c r="E1" s="57" t="s">
        <v>2</v>
      </c>
      <c r="F1" s="57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66"/>
      <c r="B2" s="2"/>
      <c r="C2" s="59"/>
      <c r="D2" s="59"/>
      <c r="E2" s="59"/>
      <c r="F2" s="59"/>
      <c r="G2" s="1"/>
      <c r="K2" s="4" t="s">
        <v>9</v>
      </c>
      <c r="L2" s="4"/>
    </row>
    <row r="3" spans="1:12" ht="17.25" customHeight="1" x14ac:dyDescent="0.3">
      <c r="A3" s="20" t="s">
        <v>1</v>
      </c>
      <c r="B3" s="67" t="s">
        <v>4</v>
      </c>
      <c r="C3" s="68"/>
      <c r="D3" s="69"/>
      <c r="E3" s="67" t="s">
        <v>48</v>
      </c>
      <c r="F3" s="69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64"/>
      <c r="C4" s="64"/>
      <c r="D4" s="64"/>
      <c r="E4" s="59"/>
      <c r="F4" s="59"/>
      <c r="G4" s="1"/>
      <c r="K4" s="4" t="s">
        <v>12</v>
      </c>
      <c r="L4" s="4"/>
    </row>
    <row r="5" spans="1:12" ht="17.25" customHeight="1" x14ac:dyDescent="0.3">
      <c r="A5" s="20" t="s">
        <v>6</v>
      </c>
      <c r="B5" s="57" t="s">
        <v>7</v>
      </c>
      <c r="C5" s="57"/>
      <c r="D5" s="57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58" t="s">
        <v>18</v>
      </c>
      <c r="C6" s="58"/>
      <c r="D6" s="58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59" t="s">
        <v>21</v>
      </c>
      <c r="C7" s="59"/>
      <c r="D7" s="59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58" t="s">
        <v>19</v>
      </c>
      <c r="C8" s="58"/>
      <c r="D8" s="58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59" t="s">
        <v>20</v>
      </c>
      <c r="C9" s="59"/>
      <c r="D9" s="59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58" t="s">
        <v>24</v>
      </c>
      <c r="C10" s="58"/>
      <c r="D10" s="58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46</v>
      </c>
      <c r="L10" s="15"/>
    </row>
    <row r="11" spans="1:12" ht="17.25" customHeight="1" x14ac:dyDescent="0.3">
      <c r="A11" s="2"/>
      <c r="B11" s="59" t="s">
        <v>23</v>
      </c>
      <c r="C11" s="59"/>
      <c r="D11" s="59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3">
      <c r="A12" s="5"/>
      <c r="B12" s="58" t="s">
        <v>25</v>
      </c>
      <c r="C12" s="58"/>
      <c r="D12" s="58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3">
      <c r="A13" s="2"/>
      <c r="B13" s="59" t="s">
        <v>26</v>
      </c>
      <c r="C13" s="59"/>
      <c r="D13" s="59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3">
      <c r="A14" s="5"/>
      <c r="B14" s="58" t="s">
        <v>27</v>
      </c>
      <c r="C14" s="58"/>
      <c r="D14" s="58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3">
      <c r="A15" s="2"/>
      <c r="B15" s="60"/>
      <c r="C15" s="60"/>
      <c r="D15" s="60"/>
      <c r="E15" s="1"/>
      <c r="F15" s="16"/>
      <c r="G15" s="16"/>
      <c r="H15" s="14"/>
    </row>
    <row r="16" spans="1:12" ht="17.25" customHeight="1" x14ac:dyDescent="0.3">
      <c r="A16" s="5"/>
      <c r="B16" s="58" t="s">
        <v>28</v>
      </c>
      <c r="C16" s="58"/>
      <c r="D16" s="58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3">
      <c r="A17" s="2"/>
      <c r="B17" s="59" t="s">
        <v>22</v>
      </c>
      <c r="C17" s="59"/>
      <c r="D17" s="59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3">
      <c r="A18" s="5"/>
      <c r="B18" s="58" t="s">
        <v>29</v>
      </c>
      <c r="C18" s="58"/>
      <c r="D18" s="58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3">
      <c r="A19" s="2"/>
      <c r="B19" s="59" t="s">
        <v>30</v>
      </c>
      <c r="C19" s="59"/>
      <c r="D19" s="59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3">
      <c r="A20" s="5"/>
      <c r="B20" s="61"/>
      <c r="C20" s="62"/>
      <c r="D20" s="63"/>
      <c r="E20" s="4"/>
      <c r="F20" s="4"/>
      <c r="G20" s="4"/>
      <c r="H20" s="14"/>
    </row>
    <row r="21" spans="1:14" x14ac:dyDescent="0.3">
      <c r="A21" s="2"/>
      <c r="B21" s="59" t="s">
        <v>33</v>
      </c>
      <c r="C21" s="59"/>
      <c r="D21" s="59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3">
      <c r="A22" s="5"/>
      <c r="B22" s="58" t="s">
        <v>31</v>
      </c>
      <c r="C22" s="58"/>
      <c r="D22" s="58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3">
      <c r="A23" s="2"/>
      <c r="B23" s="59" t="s">
        <v>47</v>
      </c>
      <c r="C23" s="59"/>
      <c r="D23" s="59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3">
      <c r="A24" s="5"/>
      <c r="B24" s="58" t="s">
        <v>32</v>
      </c>
      <c r="C24" s="58"/>
      <c r="D24" s="58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3">
      <c r="A25" s="2"/>
      <c r="B25" s="59"/>
      <c r="C25" s="59"/>
      <c r="D25" s="59"/>
      <c r="E25" s="1"/>
      <c r="F25" s="16"/>
      <c r="G25" s="16"/>
      <c r="H25" s="14"/>
      <c r="I25" s="12"/>
    </row>
    <row r="26" spans="1:14" x14ac:dyDescent="0.3">
      <c r="A26" s="5"/>
      <c r="B26" s="58" t="s">
        <v>37</v>
      </c>
      <c r="C26" s="58"/>
      <c r="D26" s="58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57" t="s">
        <v>49</v>
      </c>
      <c r="C29" s="57"/>
      <c r="D29" s="57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58"/>
      <c r="C30" s="58"/>
      <c r="D30" s="58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59"/>
      <c r="C31" s="59"/>
      <c r="D31" s="59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58"/>
      <c r="C32" s="58"/>
      <c r="D32" s="5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63</v>
      </c>
      <c r="D37" s="40" t="s">
        <v>64</v>
      </c>
    </row>
    <row r="38" spans="1:8" x14ac:dyDescent="0.3">
      <c r="A38" s="40"/>
      <c r="B38" s="40"/>
      <c r="C38" s="40"/>
      <c r="D38" s="40"/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Menu</vt:lpstr>
      <vt:lpstr>Importing</vt:lpstr>
      <vt:lpstr>Pickup</vt:lpstr>
      <vt:lpstr>Import Sheets</vt:lpstr>
      <vt:lpstr>Master</vt:lpstr>
      <vt:lpstr>Charlie_Clark_6D74C5A2</vt:lpstr>
      <vt:lpstr>Isabella_Taylor_39329697</vt:lpstr>
      <vt:lpstr>Banks_Rob_009907AE</vt:lpstr>
      <vt:lpstr>Rophone_Mike_075E95A3</vt:lpstr>
      <vt:lpstr>Christ_Jesus_1CB2AEBC</vt:lpstr>
      <vt:lpstr>Rhea_Dia_D874C084</vt:lpstr>
      <vt:lpstr>Rhea_Dia_6D7376B0</vt:lpstr>
      <vt:lpstr>Charlie_Clark_705CF08B</vt:lpstr>
      <vt:lpstr>Isabella_Taylor_3DB5A497</vt:lpstr>
      <vt:lpstr>Banks_Rob_DEE84589</vt:lpstr>
      <vt:lpstr>Rophone_Mike_011D10BB</vt:lpstr>
      <vt:lpstr>Christ_Jesus_B5B783A3</vt:lpstr>
      <vt:lpstr>Rhea_Dia_772C83B6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cp:lastPrinted>2023-12-28T05:00:54Z</cp:lastPrinted>
  <dcterms:created xsi:type="dcterms:W3CDTF">2023-08-20T19:28:09Z</dcterms:created>
  <dcterms:modified xsi:type="dcterms:W3CDTF">2024-01-12T04:16:10Z</dcterms:modified>
</cp:coreProperties>
</file>