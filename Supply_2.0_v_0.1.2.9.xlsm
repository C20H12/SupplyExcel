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\Desktop\projects\SupplyExcel\"/>
    </mc:Choice>
  </mc:AlternateContent>
  <xr:revisionPtr revIDLastSave="0" documentId="13_ncr:1_{BD7FF360-0CFF-47F0-8534-9472465C0534}" xr6:coauthVersionLast="47" xr6:coauthVersionMax="47" xr10:uidLastSave="{00000000-0000-0000-0000-000000000000}"/>
  <bookViews>
    <workbookView xWindow="-98" yWindow="-98" windowWidth="21795" windowHeight="13875" tabRatio="856" activeTab="5" xr2:uid="{01218C0E-FF84-42AC-8993-DD76AC11461D}"/>
  </bookViews>
  <sheets>
    <sheet name="Menu" sheetId="48" r:id="rId1"/>
    <sheet name="Importing" sheetId="124" r:id="rId2"/>
    <sheet name="Pickup" sheetId="181" r:id="rId3"/>
    <sheet name="Master" sheetId="227" r:id="rId4"/>
    <sheet name="Charlie_Clark_74CD899D" sheetId="246" r:id="rId5"/>
    <sheet name="Isabella_Taylor_D098F288" sheetId="247" r:id="rId6"/>
    <sheet name="Template" sheetId="1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247" l="1"/>
  <c r="H33" i="247"/>
  <c r="H32" i="247"/>
  <c r="H31" i="247"/>
  <c r="H30" i="247"/>
  <c r="H26" i="247"/>
  <c r="E26" i="247"/>
  <c r="H24" i="247"/>
  <c r="H23" i="247"/>
  <c r="H22" i="247"/>
  <c r="H21" i="247"/>
  <c r="H19" i="247"/>
  <c r="H18" i="247"/>
  <c r="H17" i="247"/>
  <c r="H16" i="247"/>
  <c r="H14" i="247"/>
  <c r="H13" i="247"/>
  <c r="H12" i="247"/>
  <c r="H11" i="247"/>
  <c r="H10" i="247"/>
  <c r="H9" i="247"/>
  <c r="H8" i="247"/>
  <c r="H7" i="247"/>
  <c r="H6" i="247"/>
  <c r="H34" i="246"/>
  <c r="H33" i="246"/>
  <c r="H32" i="246"/>
  <c r="H31" i="246"/>
  <c r="H30" i="246"/>
  <c r="H26" i="246"/>
  <c r="E26" i="246"/>
  <c r="H24" i="246"/>
  <c r="H23" i="246"/>
  <c r="H22" i="246"/>
  <c r="H21" i="246"/>
  <c r="H19" i="246"/>
  <c r="H18" i="246"/>
  <c r="H17" i="246"/>
  <c r="H16" i="246"/>
  <c r="H14" i="246"/>
  <c r="H13" i="246"/>
  <c r="H12" i="246"/>
  <c r="H11" i="246"/>
  <c r="H10" i="246"/>
  <c r="H9" i="246"/>
  <c r="H8" i="246"/>
  <c r="H7" i="246"/>
  <c r="H6" i="246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<sst xmlns="http://schemas.openxmlformats.org/spreadsheetml/2006/main" count="378" uniqueCount="125">
  <si>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</si>
  <si>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</si>
  <si>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</si>
  <si>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</si>
  <si>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</si>
  <si>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</si>
  <si>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</si>
  <si>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</si>
  <si>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</si>
  <si>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</si>
  <si>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</si>
  <si>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</si>
  <si>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</si>
  <si>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</si>
  <si>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</si>
  <si>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</si>
  <si>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</si>
  <si>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</si>
  <si>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</si>
  <si>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</si>
  <si>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</si>
  <si>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</si>
  <si>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</si>
  <si>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</si>
  <si>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</si>
  <si>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</si>
  <si>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</si>
  <si>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</si>
  <si>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</si>
  <si>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</si>
  <si>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</si>
  <si>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</si>
  <si>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</si>
  <si>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</si>
  <si>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</si>
  <si>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</si>
  <si>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</si>
  <si>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</si>
  <si>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</si>
  <si>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</si>
  <si>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</si>
  <si>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</si>
  <si>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</si>
  <si>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</si>
  <si>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</si>
  <si>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UNP</t>
  </si>
  <si>
    <t>8405-21-907-9466</t>
  </si>
  <si>
    <t>Hand Length</t>
  </si>
  <si>
    <t>FTU Pants</t>
  </si>
  <si>
    <t>Email</t>
  </si>
  <si>
    <t>Extra Items</t>
  </si>
  <si>
    <t>UNI</t>
  </si>
  <si>
    <t>Jesus@hotmail.com</t>
  </si>
  <si>
    <t>Last Name</t>
  </si>
  <si>
    <t>Is Male</t>
  </si>
  <si>
    <t>Hip</t>
  </si>
  <si>
    <t>Foot Len</t>
  </si>
  <si>
    <t>Foot Wid</t>
  </si>
  <si>
    <t>XXL</t>
  </si>
  <si>
    <t>Hand</t>
  </si>
  <si>
    <t>R (50 inch)</t>
  </si>
  <si>
    <t>8440-21-905-7384</t>
  </si>
  <si>
    <t>Name</t>
  </si>
  <si>
    <t>In Stock</t>
  </si>
  <si>
    <t xml:space="preserve"> </t>
  </si>
  <si>
    <t>Old Size</t>
  </si>
  <si>
    <t>New Size</t>
  </si>
  <si>
    <t>4XL</t>
  </si>
  <si>
    <t>1000-21-264-2550</t>
  </si>
  <si>
    <t>Pick Up</t>
  </si>
  <si>
    <t>XL/TG</t>
  </si>
  <si>
    <t>8440-20-006-6068</t>
  </si>
  <si>
    <t>(JR / JR)</t>
  </si>
  <si>
    <t>8415-20-006-8915</t>
  </si>
  <si>
    <t>XL (60 inch)</t>
  </si>
  <si>
    <t>8405-20-001-1049</t>
  </si>
  <si>
    <t>L</t>
  </si>
  <si>
    <t>8420-20-001-0734</t>
  </si>
  <si>
    <t>Female</t>
  </si>
  <si>
    <t>36 M</t>
  </si>
  <si>
    <t>1000-21-165-3600</t>
  </si>
  <si>
    <t>XS</t>
  </si>
  <si>
    <t>Complete</t>
  </si>
  <si>
    <t>Toggle Done</t>
  </si>
  <si>
    <t xml:space="preserve">In Stock </t>
  </si>
  <si>
    <t>Ready To Order</t>
  </si>
  <si>
    <t>Ordered</t>
  </si>
  <si>
    <t>Returned</t>
  </si>
  <si>
    <t>Leave Blank</t>
  </si>
  <si>
    <t>Leave Blank2</t>
  </si>
  <si>
    <t>Taylor</t>
  </si>
  <si>
    <t>8420-20-001-0731</t>
  </si>
  <si>
    <t>8405-20-003-5837</t>
  </si>
  <si>
    <t>320/126</t>
  </si>
  <si>
    <t>8430-20-006-2569</t>
  </si>
  <si>
    <t>8405-21-920-7275</t>
  </si>
  <si>
    <t>3XL</t>
  </si>
  <si>
    <t>1000-21-215-7662</t>
  </si>
  <si>
    <t>L (56 inch)</t>
  </si>
  <si>
    <t>8440-21-899-1182</t>
  </si>
  <si>
    <t>Column3</t>
  </si>
  <si>
    <t>NameTag</t>
  </si>
  <si>
    <t>8405-20-013-1465</t>
  </si>
  <si>
    <t>Charlie</t>
  </si>
  <si>
    <t>Not Done</t>
  </si>
  <si>
    <t>In Progress</t>
  </si>
  <si>
    <t>Done</t>
  </si>
  <si>
    <t>Name Colors:</t>
  </si>
  <si>
    <t>Generating</t>
  </si>
  <si>
    <t>Clark</t>
  </si>
  <si>
    <t>74CD899D</t>
  </si>
  <si>
    <t>8405-21-910-8155</t>
  </si>
  <si>
    <t>16-1/2</t>
  </si>
  <si>
    <t>8405-20-001-4512</t>
  </si>
  <si>
    <t>1000-21-070-7058</t>
  </si>
  <si>
    <t>8405-20-004-7489</t>
  </si>
  <si>
    <t>Clark, Charlie</t>
  </si>
  <si>
    <t>Isabella</t>
  </si>
  <si>
    <t>D098F288</t>
  </si>
  <si>
    <t>1000-21-059-8040</t>
  </si>
  <si>
    <t>8405-21-920-7099</t>
  </si>
  <si>
    <t>8405-20-004-7500</t>
  </si>
  <si>
    <t>16D</t>
  </si>
  <si>
    <t>8430-20-A0X-9353</t>
  </si>
  <si>
    <t>Taylor, Isabella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</si>
</sst>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A3FB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C888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CFF8C"/>
        <bgColor indexed="64"/>
      </patternFill>
    </fill>
    <fill>
      <patternFill patternType="solid">
        <fgColor rgb="FFFDEA5D"/>
        <bgColor indexed="64"/>
      </patternFill>
    </fill>
    <fill>
      <patternFill patternType="solid">
        <fgColor rgb="FFFFFFFF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0" fillId="9" borderId="0" xfId="0" applyFill="1"/>
    <xf numFmtId="0" fontId="12" fillId="8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2" fillId="0" borderId="0" xfId="3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16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13" borderId="0" xfId="3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7" xfId="3" applyFont="1" applyBorder="1" applyAlignment="1">
      <alignment horizontal="center" vertical="center"/>
    </xf>
    <xf numFmtId="0" fontId="5" fillId="0" borderId="13" xfId="3" applyFont="1" applyBorder="1" applyAlignment="1">
      <alignment horizontal="center" vertical="center" wrapText="1"/>
    </xf>
    <xf numFmtId="165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3" xfId="3" applyFill="1" applyBorder="1" applyAlignment="1">
      <alignment horizontal="center" vertical="center"/>
    </xf>
    <xf numFmtId="0" fontId="2" fillId="0" borderId="6" xfId="3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0" fontId="5" fillId="6" borderId="0" xfId="0" applyFont="1" applyFill="1" applyAlignment="1">
      <alignment horizontal="center" vertical="center"/>
    </xf>
    <xf numFmtId="0" fontId="1" fillId="2" borderId="1" xfId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86"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C8888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ont>
        <color theme="1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85"/>
      <tableStyleElement type="headerRow" dxfId="84"/>
      <tableStyleElement type="firstRowStripe" dxfId="83"/>
      <tableStyleElement type="secondRowStripe" dxfId="82"/>
    </tableStyle>
  </tableStyles>
  <colors>
    <mruColors>
      <color rgb="FFFC8888"/>
      <color rgb="FFFF7575"/>
      <color rgb="FFFDEA5D"/>
      <color rgb="FF8CFF8C"/>
      <color rgb="FF674EA7"/>
      <color rgb="FF00FF00"/>
      <color rgb="FFFB873F"/>
      <color rgb="FF808080"/>
      <color rgb="FF9BC2E6"/>
      <color rgb="FFFBA3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277908</xdr:colOff>
      <xdr:row>0</xdr:row>
      <xdr:rowOff>251011</xdr:rowOff>
    </xdr:from>
    <xdr:to>
      <xdr:col>7</xdr:col>
      <xdr:colOff>421342</xdr:colOff>
      <xdr:row>1</xdr:row>
      <xdr:rowOff>125506</xdr:rowOff>
    </xdr:to>
    <xdr:sp macro="[0]!ScanAllSheetsAndPrioritizeLabe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89696" y="251011"/>
          <a:ext cx="1362634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Update Status</a:t>
          </a:r>
        </a:p>
      </xdr:txBody>
    </xdr:sp>
    <xdr:clientData/>
  </xdr:twoCellAnchor>
  <xdr:twoCellAnchor editAs="absolute">
    <xdr:from>
      <xdr:col>5</xdr:col>
      <xdr:colOff>251014</xdr:colOff>
      <xdr:row>3</xdr:row>
      <xdr:rowOff>2800</xdr:rowOff>
    </xdr:from>
    <xdr:to>
      <xdr:col>7</xdr:col>
      <xdr:colOff>439272</xdr:colOff>
      <xdr:row>5</xdr:row>
      <xdr:rowOff>5603</xdr:rowOff>
    </xdr:to>
    <xdr:sp macro="[0]!NCInput_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62802" y="1004046"/>
          <a:ext cx="1407458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New Cadet Form</a:t>
          </a:r>
        </a:p>
      </xdr:txBody>
    </xdr:sp>
    <xdr:clientData/>
  </xdr:twoCellAnchor>
  <xdr:twoCellAnchor editAs="absolute">
    <xdr:from>
      <xdr:col>5</xdr:col>
      <xdr:colOff>251012</xdr:colOff>
      <xdr:row>9</xdr:row>
      <xdr:rowOff>175928</xdr:rowOff>
    </xdr:from>
    <xdr:to>
      <xdr:col>7</xdr:col>
      <xdr:colOff>448235</xdr:colOff>
      <xdr:row>12</xdr:row>
      <xdr:rowOff>56029</xdr:rowOff>
    </xdr:to>
    <xdr:sp macro="[0]!ManualBac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62800" y="2474256"/>
          <a:ext cx="141642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Manual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Backup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251013</xdr:colOff>
      <xdr:row>6</xdr:row>
      <xdr:rowOff>149037</xdr:rowOff>
    </xdr:from>
    <xdr:to>
      <xdr:col>7</xdr:col>
      <xdr:colOff>430306</xdr:colOff>
      <xdr:row>8</xdr:row>
      <xdr:rowOff>50424</xdr:rowOff>
    </xdr:to>
    <xdr:sp macro="[0]!OldCadetExchange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1" y="1739151"/>
          <a:ext cx="139849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Old Cadet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Exchange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161364</xdr:colOff>
      <xdr:row>0</xdr:row>
      <xdr:rowOff>89644</xdr:rowOff>
    </xdr:from>
    <xdr:to>
      <xdr:col>16</xdr:col>
      <xdr:colOff>179294</xdr:colOff>
      <xdr:row>0</xdr:row>
      <xdr:rowOff>519951</xdr:rowOff>
    </xdr:to>
    <xdr:sp macro="[0]!NC_Experimen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559552" y="89644"/>
          <a:ext cx="1237130" cy="43030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Emergency</a:t>
          </a:r>
          <a:r>
            <a:rPr lang="en-CA" sz="1100" b="1" baseline="0">
              <a:solidFill>
                <a:schemeClr val="tx1"/>
              </a:solidFill>
            </a:rPr>
            <a:t> Test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395288</xdr:colOff>
          <xdr:row>0</xdr:row>
          <xdr:rowOff>128588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152400</xdr:colOff>
          <xdr:row>0</xdr:row>
          <xdr:rowOff>52388</xdr:rowOff>
        </xdr:from>
        <xdr:to>
          <xdr:col>24</xdr:col>
          <xdr:colOff>533400</xdr:colOff>
          <xdr:row>0</xdr:row>
          <xdr:rowOff>442913</xdr:rowOff>
        </xdr:to>
        <xdr:sp macro="" textlink="">
          <xdr:nvSpPr>
            <xdr:cNvPr id="164002" name="Button 162" hidden="1">
              <a:extLst>
                <a:ext uri="{63B3BB69-23CF-44E3-9099-C40C66FF867C}">
                  <a14:compatExt spid="_x0000_s164002"/>
                </a:ext>
                <a:ext uri="{FF2B5EF4-FFF2-40B4-BE49-F238E27FC236}">
                  <a16:creationId xmlns:a16="http://schemas.microsoft.com/office/drawing/2014/main" id="{00000000-0008-0000-0200-0000A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302559</xdr:colOff>
      <xdr:row>0</xdr:row>
      <xdr:rowOff>17929</xdr:rowOff>
    </xdr:from>
    <xdr:to>
      <xdr:col>22</xdr:col>
      <xdr:colOff>842682</xdr:colOff>
      <xdr:row>0</xdr:row>
      <xdr:rowOff>313765</xdr:rowOff>
    </xdr:to>
    <xdr:sp macro="[0]!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534465" y="17929"/>
          <a:ext cx="1275229" cy="295836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Generate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260097" name="Toggle2" hidden="1">
              <a:extLst>
                <a:ext uri="{63B3BB69-23CF-44E3-9099-C40C66FF867C}">
                  <a14:compatExt spid="_x0000_s260097"/>
                </a:ext>
                <a:ext uri="{FF2B5EF4-FFF2-40B4-BE49-F238E27FC236}">
                  <a16:creationId xmlns:a16="http://schemas.microsoft.com/office/drawing/2014/main" id="{00000000-0008-0000-0300-000001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3</xdr:row>
          <xdr:rowOff>0</xdr:rowOff>
        </xdr:from>
        <xdr:to>
          <xdr:col>23</xdr:col>
          <xdr:colOff>0</xdr:colOff>
          <xdr:row>4</xdr:row>
          <xdr:rowOff>0</xdr:rowOff>
        </xdr:to>
        <xdr:sp macro="" textlink="">
          <xdr:nvSpPr>
            <xdr:cNvPr id="260098" name="Toggle3" hidden="1">
              <a:extLst>
                <a:ext uri="{63B3BB69-23CF-44E3-9099-C40C66FF867C}">
                  <a14:compatExt spid="_x0000_s260098"/>
                </a:ext>
                <a:ext uri="{FF2B5EF4-FFF2-40B4-BE49-F238E27FC236}">
                  <a16:creationId xmlns:a16="http://schemas.microsoft.com/office/drawing/2014/main" id="{00000000-0008-0000-0300-000002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258049" name="Button 1" hidden="1">
              <a:extLst>
                <a:ext uri="{63B3BB69-23CF-44E3-9099-C40C66FF867C}">
                  <a14:compatExt spid="_x0000_s258049"/>
                </a:ext>
                <a:ext uri="{FF2B5EF4-FFF2-40B4-BE49-F238E27FC236}">
                  <a16:creationId xmlns:a16="http://schemas.microsoft.com/office/drawing/2014/main" id="{00000000-0008-0000-0400-000001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258050" name="Button 2" hidden="1">
              <a:extLst>
                <a:ext uri="{63B3BB69-23CF-44E3-9099-C40C66FF867C}">
                  <a14:compatExt spid="_x0000_s258050"/>
                </a:ext>
                <a:ext uri="{FF2B5EF4-FFF2-40B4-BE49-F238E27FC236}">
                  <a16:creationId xmlns:a16="http://schemas.microsoft.com/office/drawing/2014/main" id="{00000000-0008-0000-0400-000002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258051" name="Button 3" hidden="1">
              <a:extLst>
                <a:ext uri="{63B3BB69-23CF-44E3-9099-C40C66FF867C}">
                  <a14:compatExt spid="_x0000_s258051"/>
                </a:ext>
                <a:ext uri="{FF2B5EF4-FFF2-40B4-BE49-F238E27FC236}">
                  <a16:creationId xmlns:a16="http://schemas.microsoft.com/office/drawing/2014/main" id="{00000000-0008-0000-0400-000003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58052" name="Button 4" hidden="1">
              <a:extLst>
                <a:ext uri="{63B3BB69-23CF-44E3-9099-C40C66FF867C}">
                  <a14:compatExt spid="_x0000_s258052"/>
                </a:ext>
                <a:ext uri="{FF2B5EF4-FFF2-40B4-BE49-F238E27FC236}">
                  <a16:creationId xmlns:a16="http://schemas.microsoft.com/office/drawing/2014/main" id="{00000000-0008-0000-0400-000004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104775</xdr:rowOff>
        </xdr:to>
        <xdr:sp macro="" textlink="">
          <xdr:nvSpPr>
            <xdr:cNvPr id="258053" name="Button 5" hidden="1">
              <a:extLst>
                <a:ext uri="{63B3BB69-23CF-44E3-9099-C40C66FF867C}">
                  <a14:compatExt spid="_x0000_s258053"/>
                </a:ext>
                <a:ext uri="{FF2B5EF4-FFF2-40B4-BE49-F238E27FC236}">
                  <a16:creationId xmlns:a16="http://schemas.microsoft.com/office/drawing/2014/main" id="{00000000-0008-0000-0400-000005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5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259074" name="Button 2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5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259075" name="Button 3" hidden="1">
              <a:extLst>
                <a:ext uri="{63B3BB69-23CF-44E3-9099-C40C66FF867C}">
                  <a14:compatExt spid="_x0000_s259075"/>
                </a:ext>
                <a:ext uri="{FF2B5EF4-FFF2-40B4-BE49-F238E27FC236}">
                  <a16:creationId xmlns:a16="http://schemas.microsoft.com/office/drawing/2014/main" id="{00000000-0008-0000-0500-00000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59076" name="Button 4" hidden="1">
              <a:extLst>
                <a:ext uri="{63B3BB69-23CF-44E3-9099-C40C66FF867C}">
                  <a14:compatExt spid="_x0000_s259076"/>
                </a:ext>
                <a:ext uri="{FF2B5EF4-FFF2-40B4-BE49-F238E27FC236}">
                  <a16:creationId xmlns:a16="http://schemas.microsoft.com/office/drawing/2014/main" id="{00000000-0008-0000-0500-00000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104775</xdr:rowOff>
        </xdr:to>
        <xdr:sp macro="" textlink="">
          <xdr:nvSpPr>
            <xdr:cNvPr id="259077" name="Button 5" hidden="1">
              <a:extLst>
                <a:ext uri="{63B3BB69-23CF-44E3-9099-C40C66FF867C}">
                  <a14:compatExt spid="_x0000_s259077"/>
                </a:ext>
                <a:ext uri="{FF2B5EF4-FFF2-40B4-BE49-F238E27FC236}">
                  <a16:creationId xmlns:a16="http://schemas.microsoft.com/office/drawing/2014/main" id="{00000000-0008-0000-0500-00000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6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6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6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6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104775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6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6" totalsRowShown="0" headerRowDxfId="73" dataDxfId="71" headerRowBorderDxfId="72" tableBorderDxfId="70" totalsRowBorderDxfId="69" headerRowCellStyle="60% - Accent5">
  <autoFilter ref="A1:E6" xr:uid="{7E3155DF-3CB2-4063-8346-D3006162EB2E}"/>
  <sortState xmlns:xlrd2="http://schemas.microsoft.com/office/spreadsheetml/2017/richdata2" ref="A2:E6">
    <sortCondition ref="A1:A6"/>
  </sortState>
  <tableColumns count="5">
    <tableColumn id="1" xr3:uid="{4A3C96D4-74F9-46DA-B54B-0CD347E35136}" name="Surname" dataDxfId="68" dataCellStyle="Hyperlink"/>
    <tableColumn id="2" xr3:uid="{2B90B92F-5F96-4EDA-9BBB-0E797162ECC4}" name="First Name" dataDxfId="67" dataCellStyle="Hyperlink"/>
    <tableColumn id="8" xr3:uid="{CFE0A41F-FE26-4CF3-BAA8-F6CEC7B006D4}" name="Status" dataDxfId="66" dataCellStyle="Hyperlink"/>
    <tableColumn id="3" xr3:uid="{EBBDE5FC-4AD9-4996-A6CE-25D9B52D4D03}" name="Date" dataDxfId="65"/>
    <tableColumn id="4" xr3:uid="{854BBB0E-E50E-4F6C-90CC-6180E0CE5D32}" name="ID" dataDxfId="64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E43AA0-FEFE-4953-BA96-A0217731DC97}" name="StatusTable" displayName="StatusTable" ref="A2:W4" totalsRowShown="0" headerRowDxfId="63" dataDxfId="62">
  <autoFilter ref="A2:W4" xr:uid="{BBE43AA0-FEFE-4953-BA96-A0217731DC97}"/>
  <sortState xmlns:xlrd2="http://schemas.microsoft.com/office/spreadsheetml/2017/richdata2" ref="A2:W2">
    <sortCondition ref="A2"/>
  </sortState>
  <tableColumns count="23">
    <tableColumn id="1" xr3:uid="{77C7B428-E99D-49B8-8796-47FEBA3B8CD2}" name="Name" dataDxfId="61" dataCellStyle="Hyperlink"/>
    <tableColumn id="2" xr3:uid="{36FC8A03-C285-4FA4-AEC4-647B7067D01E}" name="Tunic" dataDxfId="60"/>
    <tableColumn id="3" xr3:uid="{E2B75A82-055F-492D-97B2-03C8E9C74CBF}" name="Collar Shirt" dataDxfId="59"/>
    <tableColumn id="4" xr3:uid="{89128C49-0667-4328-9CC8-935C76EB5CFF}" name="T-Shirt" dataDxfId="58"/>
    <tableColumn id="5" xr3:uid="{58E02DDF-FF68-4A85-A160-1478AFFC5301}" name="Dress Pants" dataDxfId="57"/>
    <tableColumn id="6" xr3:uid="{3C885A6D-7C6D-47FE-9D20-7FB555626C24}" name="Wedge" dataDxfId="56"/>
    <tableColumn id="7" xr3:uid="{650E09C5-6A05-4527-A321-E6D98102B309}" name="Tie" dataDxfId="55"/>
    <tableColumn id="8" xr3:uid="{B5F54AB4-5997-4EA8-AF06-4966A756DE93}" name="Belt" dataDxfId="54"/>
    <tableColumn id="9" xr3:uid="{8136261F-5775-4352-A73E-8E659AD02B53}" name="Socks" dataDxfId="53"/>
    <tableColumn id="10" xr3:uid="{9DEA83F4-EB2F-4D7E-9C9C-751F43044531}" name="Leather Boots" dataDxfId="52"/>
    <tableColumn id="11" xr3:uid="{1CEE23EA-B0BC-483E-BE3B-570F93C07C1A}" name="Leave Blank" dataDxfId="51"/>
    <tableColumn id="12" xr3:uid="{1D45495D-88A2-4A94-96C4-B047B6ED62D3}" name="Toque" dataDxfId="50"/>
    <tableColumn id="13" xr3:uid="{5954CB37-ED15-4CF3-A1FD-DCA35E0B036C}" name="Tilly" dataDxfId="49"/>
    <tableColumn id="14" xr3:uid="{4EB0159F-D44E-4237-807C-59C05B43CC3A}" name="Parka" dataDxfId="48"/>
    <tableColumn id="15" xr3:uid="{2D7F5042-3E7C-429C-8AFF-8601B19B8A0F}" name="Gloves" dataDxfId="47"/>
    <tableColumn id="16" xr3:uid="{D45A8E58-834C-42E4-980C-B85C418519A9}" name="Leave Blank2" dataDxfId="46"/>
    <tableColumn id="17" xr3:uid="{433672DD-A406-4334-A746-FB02B994A2E4}" name="Beret" dataDxfId="45"/>
    <tableColumn id="18" xr3:uid="{EE18EFD7-E877-490B-B14E-3FC28D0B1264}" name="FTU Tunic" dataDxfId="44"/>
    <tableColumn id="19" xr3:uid="{29AC551F-F02C-4401-9F86-D5A21F3B8962}" name="FTU Pants" dataDxfId="43"/>
    <tableColumn id="20" xr3:uid="{6DB4DDF9-B627-4BC2-B983-0DA0719B49B1}" name="FTU Boots" dataDxfId="42"/>
    <tableColumn id="27" xr3:uid="{84909A50-96B7-4616-B421-ACD5823BBA6B}" name="Column3" dataDxfId="41"/>
    <tableColumn id="26" xr3:uid="{0EFD58A3-59A1-406F-A3FD-C3E38DB387F2}" name="NameTag" dataDxfId="40"/>
    <tableColumn id="21" xr3:uid="{AEFDE823-D276-4BBA-8AAC-39096CA09601}" name="Toggle Done" dataDxfId="3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4CBEA0-3C35-47C4-899C-54642FCCEC00}" name="Charlie_Clark_74CD899DExchangeTable" displayName="Charlie_Clark_74CD899DExchangeTable" ref="A37:D38" insertRow="1" totalsRowShown="0" headerRowDxfId="29" dataDxfId="28">
  <autoFilter ref="A37:D38" xr:uid="{FC4CBEA0-3C35-47C4-899C-54642FCCEC00}"/>
  <tableColumns count="4">
    <tableColumn id="1" xr3:uid="{0E3A8317-16C1-4737-8188-209F4B309D95}" name="Date" dataDxfId="27"/>
    <tableColumn id="2" xr3:uid="{C8021A62-52E6-4853-A215-FDEB914C3124}" name="Item" dataDxfId="26"/>
    <tableColumn id="3" xr3:uid="{7A861241-55A5-4209-A3EA-33C239D3194B}" name="Old Size" dataDxfId="25"/>
    <tableColumn id="4" xr3:uid="{0047CD2F-9019-4A9C-99E6-E38CA8B64E87}" name="New Size" dataDxfId="24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529D9B-1E6F-4486-963A-E46D759286CD}" name="Isabella_Taylor_D098F288ExchangeTable" displayName="Isabella_Taylor_D098F288ExchangeTable" ref="A37:D40" totalsRowShown="0" headerRowDxfId="14" dataDxfId="13">
  <autoFilter ref="A37:D40" xr:uid="{52529D9B-1E6F-4486-963A-E46D759286CD}"/>
  <tableColumns count="4">
    <tableColumn id="1" xr3:uid="{2335A062-9327-4783-BBF4-BD2519F075DE}" name="Date" dataDxfId="12"/>
    <tableColumn id="2" xr3:uid="{CA4B2DC8-BFE2-4284-B564-9E2D82BC149A}" name="Item" dataDxfId="11"/>
    <tableColumn id="3" xr3:uid="{B31EA789-3577-4A66-B7FD-4661B6C501DC}" name="Old Size" dataDxfId="10"/>
    <tableColumn id="4" xr3:uid="{DB5C0015-EC71-4A94-A3A5-CCD59FF712A8}" name="New Size" dataDxfId="9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6"/>
  <sheetViews>
    <sheetView zoomScale="85" zoomScaleNormal="85" workbookViewId="0">
      <selection activeCell="A2" sqref="A2:E6"/>
    </sheetView>
  </sheetViews>
  <sheetFormatPr defaultRowHeight="14.25" x14ac:dyDescent="0.45"/>
  <cols>
    <col min="1" max="1" width="16.86328125" customWidth="1"/>
    <col min="2" max="2" width="21.33203125" customWidth="1"/>
    <col min="3" max="3" width="20.19921875" customWidth="1"/>
    <col min="4" max="4" width="25.6640625" customWidth="1"/>
    <col min="5" max="5" width="16.6640625" customWidth="1"/>
  </cols>
  <sheetData>
    <row r="1" spans="1:15" ht="43.8" customHeight="1" x14ac:dyDescent="0.45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  <c r="O1" t="s">
        <v>64</v>
      </c>
    </row>
    <row r="2" spans="1:15" x14ac:dyDescent="0.45">
      <c r="A2" s="59" t="s">
        <v>109</v>
      </c>
      <c r="B2" s="52" t="s">
        <v>103</v>
      </c>
      <c r="C2" s="53"/>
      <c r="D2" s="54">
        <v>45298.602870370371</v>
      </c>
      <c r="E2" s="55" t="s">
        <v>110</v>
      </c>
    </row>
    <row r="3" spans="1:15" x14ac:dyDescent="0.45">
      <c r="A3" s="60" t="s">
        <v>90</v>
      </c>
      <c r="B3" s="49" t="s">
        <v>117</v>
      </c>
      <c r="C3" s="31"/>
      <c r="D3" s="50">
        <v>45298.604872685188</v>
      </c>
      <c r="E3" s="51" t="s">
        <v>118</v>
      </c>
    </row>
    <row r="4" spans="1:15" x14ac:dyDescent="0.45">
      <c r="A4" s="56"/>
      <c r="B4" s="30"/>
      <c r="C4" s="31"/>
      <c r="D4" s="57"/>
      <c r="E4" s="58"/>
    </row>
    <row r="5" spans="1:15" x14ac:dyDescent="0.45">
      <c r="A5" s="56"/>
      <c r="B5" s="30"/>
      <c r="C5" s="31"/>
      <c r="D5" s="57"/>
      <c r="E5" s="58"/>
    </row>
    <row r="6" spans="1:15" x14ac:dyDescent="0.45">
      <c r="A6" s="56"/>
      <c r="B6" s="30"/>
      <c r="C6" s="31"/>
      <c r="D6" s="57"/>
      <c r="E6" s="58"/>
    </row>
  </sheetData>
  <conditionalFormatting sqref="C2:C6">
    <cfRule type="cellIs" dxfId="81" priority="1" operator="equal">
      <formula>"S.O.S"</formula>
    </cfRule>
    <cfRule type="containsText" dxfId="80" priority="2" operator="containsText" text="UNP">
      <formula>NOT(ISERROR(SEARCH("UNP",C2)))</formula>
    </cfRule>
    <cfRule type="cellIs" dxfId="79" priority="3" operator="equal">
      <formula>"In Stock"</formula>
    </cfRule>
    <cfRule type="containsText" dxfId="78" priority="4" operator="containsText" text="Pick Up">
      <formula>NOT(ISERROR(SEARCH("Pick Up",C2)))</formula>
    </cfRule>
    <cfRule type="cellIs" dxfId="77" priority="9" operator="equal">
      <formula>"Ready To Order"</formula>
    </cfRule>
    <cfRule type="containsText" dxfId="76" priority="10" operator="containsText" text="Ordered">
      <formula>NOT(ISERROR(SEARCH("Ordered",C2)))</formula>
    </cfRule>
    <cfRule type="containsText" dxfId="75" priority="11" operator="containsText" text="Complete">
      <formula>NOT(ISERROR(SEARCH("Complete",C2)))</formula>
    </cfRule>
    <cfRule type="cellIs" dxfId="74" priority="12" operator="equal">
      <formula>"Returned"</formula>
    </cfRule>
  </conditionalFormatting>
  <hyperlinks>
    <hyperlink ref="A2" location="'Charlie_Clark_74CD899D'!A1" display="Clark" xr:uid="{08DF2DD6-F01B-425A-A1D5-7F06665BCADF}"/>
    <hyperlink ref="A3" location="'Isabella_Taylor_D098F288'!A1" display="Taylor" xr:uid="{23EA7479-556C-40B6-881F-8910CF0758F7}"/>
  </hyperlink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M24" sqref="M24"/>
    </sheetView>
  </sheetViews>
  <sheetFormatPr defaultRowHeight="14.25" x14ac:dyDescent="0.45"/>
  <cols>
    <col min="2" max="2" width="10.53125" customWidth="1"/>
    <col min="3" max="3" width="10.6640625" customWidth="1"/>
    <col min="12" max="12" width="12.1328125" customWidth="1"/>
  </cols>
  <sheetData>
    <row r="1" spans="1:13" ht="38" customHeight="1" x14ac:dyDescent="0.45">
      <c r="A1" s="33" t="s">
        <v>49</v>
      </c>
      <c r="B1" s="33" t="s">
        <v>53</v>
      </c>
      <c r="C1" s="33" t="s">
        <v>2</v>
      </c>
      <c r="D1" s="33" t="s">
        <v>54</v>
      </c>
      <c r="E1" s="33" t="s">
        <v>9</v>
      </c>
      <c r="F1" s="33" t="s">
        <v>11</v>
      </c>
      <c r="G1" s="33" t="s">
        <v>12</v>
      </c>
      <c r="H1" s="33" t="s">
        <v>13</v>
      </c>
      <c r="I1" s="33" t="s">
        <v>55</v>
      </c>
      <c r="J1" s="33" t="s">
        <v>15</v>
      </c>
      <c r="K1" s="33" t="s">
        <v>56</v>
      </c>
      <c r="L1" s="33" t="s">
        <v>57</v>
      </c>
      <c r="M1" s="33" t="s">
        <v>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395288</xdr:colOff>
                    <xdr:row>0</xdr:row>
                    <xdr:rowOff>128588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Y2"/>
  <sheetViews>
    <sheetView workbookViewId="0">
      <selection activeCell="V2" sqref="V2"/>
    </sheetView>
  </sheetViews>
  <sheetFormatPr defaultRowHeight="14.25" x14ac:dyDescent="0.45"/>
  <cols>
    <col min="1" max="1" width="13.1328125" customWidth="1"/>
    <col min="3" max="3" width="10.86328125" customWidth="1"/>
    <col min="4" max="4" width="7.53125" customWidth="1"/>
    <col min="5" max="5" width="10.53125" customWidth="1"/>
    <col min="6" max="6" width="7" customWidth="1"/>
    <col min="7" max="7" width="4.796875" customWidth="1"/>
    <col min="8" max="8" width="6.1328125" customWidth="1"/>
    <col min="9" max="9" width="6.53125" customWidth="1"/>
    <col min="10" max="10" width="11.86328125" customWidth="1"/>
    <col min="11" max="11" width="2.53125" hidden="1" customWidth="1"/>
    <col min="12" max="12" width="7.46484375" customWidth="1"/>
    <col min="13" max="13" width="5.46484375" customWidth="1"/>
    <col min="14" max="14" width="7.19921875" customWidth="1"/>
    <col min="15" max="15" width="11.1328125" customWidth="1"/>
    <col min="16" max="16" width="7.6640625" hidden="1" customWidth="1"/>
    <col min="17" max="17" width="6.1328125" customWidth="1"/>
    <col min="21" max="21" width="0" hidden="1" customWidth="1"/>
    <col min="24" max="24" width="11.1328125" customWidth="1"/>
    <col min="25" max="25" width="10.19921875" customWidth="1"/>
  </cols>
  <sheetData>
    <row r="1" spans="1:25" ht="41.75" customHeight="1" x14ac:dyDescent="0.45">
      <c r="A1" s="34" t="s">
        <v>62</v>
      </c>
      <c r="B1" s="34" t="s">
        <v>18</v>
      </c>
      <c r="C1" s="34" t="s">
        <v>21</v>
      </c>
      <c r="D1" s="34" t="s">
        <v>19</v>
      </c>
      <c r="E1" s="34" t="s">
        <v>20</v>
      </c>
      <c r="F1" s="34" t="s">
        <v>24</v>
      </c>
      <c r="G1" s="34" t="s">
        <v>23</v>
      </c>
      <c r="H1" s="34" t="s">
        <v>25</v>
      </c>
      <c r="I1" s="34" t="s">
        <v>26</v>
      </c>
      <c r="J1" s="34" t="s">
        <v>27</v>
      </c>
      <c r="K1" s="34"/>
      <c r="L1" s="34" t="s">
        <v>28</v>
      </c>
      <c r="M1" s="34" t="s">
        <v>22</v>
      </c>
      <c r="N1" s="34" t="s">
        <v>29</v>
      </c>
      <c r="O1" s="34" t="s">
        <v>30</v>
      </c>
      <c r="P1" s="34"/>
      <c r="Q1" s="34" t="s">
        <v>33</v>
      </c>
      <c r="R1" s="34" t="s">
        <v>31</v>
      </c>
      <c r="S1" s="34" t="s">
        <v>48</v>
      </c>
      <c r="T1" s="34" t="s">
        <v>32</v>
      </c>
      <c r="U1" s="34"/>
      <c r="V1" s="34" t="s">
        <v>101</v>
      </c>
      <c r="W1" s="32"/>
      <c r="X1" s="32"/>
      <c r="Y1" s="32"/>
    </row>
    <row r="2" spans="1:25" x14ac:dyDescent="0.45">
      <c r="A2" t="s">
        <v>108</v>
      </c>
    </row>
  </sheetData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02" r:id="rId4" name="Button 162">
              <controlPr defaultSize="0" print="0" autoFill="0" autoPict="0" macro="[0]!pickup">
                <anchor moveWithCells="1" sizeWithCells="1">
                  <from>
                    <xdr:col>22</xdr:col>
                    <xdr:colOff>152400</xdr:colOff>
                    <xdr:row>0</xdr:row>
                    <xdr:rowOff>52388</xdr:rowOff>
                  </from>
                  <to>
                    <xdr:col>24</xdr:col>
                    <xdr:colOff>533400</xdr:colOff>
                    <xdr:row>0</xdr:row>
                    <xdr:rowOff>442913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ADA2-84C8-4239-9B0B-2EC01C320ED7}">
  <sheetPr codeName="Sheet11"/>
  <dimension ref="A1:W4"/>
  <sheetViews>
    <sheetView zoomScale="85" zoomScaleNormal="85" workbookViewId="0">
      <selection activeCell="J16" sqref="J16"/>
    </sheetView>
  </sheetViews>
  <sheetFormatPr defaultRowHeight="14.25" x14ac:dyDescent="0.45"/>
  <cols>
    <col min="1" max="1" width="16.19921875" customWidth="1"/>
    <col min="2" max="9" width="9.6640625" customWidth="1"/>
    <col min="10" max="10" width="13.53125" customWidth="1"/>
    <col min="11" max="11" width="1.46484375" hidden="1" customWidth="1"/>
    <col min="12" max="15" width="10.6640625" customWidth="1"/>
    <col min="16" max="16" width="1.796875" hidden="1" customWidth="1"/>
    <col min="17" max="20" width="10.6640625" customWidth="1"/>
    <col min="21" max="21" width="10.6640625" hidden="1" customWidth="1"/>
    <col min="22" max="22" width="10.6640625" customWidth="1"/>
    <col min="23" max="23" width="13.6640625" customWidth="1"/>
  </cols>
  <sheetData>
    <row r="1" spans="1:23" ht="27.6" customHeight="1" x14ac:dyDescent="0.45">
      <c r="A1" s="39" t="s">
        <v>42</v>
      </c>
      <c r="B1" s="35" t="s">
        <v>45</v>
      </c>
      <c r="C1" s="36" t="s">
        <v>84</v>
      </c>
      <c r="D1" s="63" t="s">
        <v>85</v>
      </c>
      <c r="E1" s="63"/>
      <c r="F1" s="42" t="s">
        <v>86</v>
      </c>
      <c r="G1" s="45" t="s">
        <v>69</v>
      </c>
      <c r="H1" s="37" t="s">
        <v>82</v>
      </c>
      <c r="I1" s="38" t="s">
        <v>87</v>
      </c>
      <c r="L1" s="40" t="s">
        <v>107</v>
      </c>
      <c r="M1" s="48" t="s">
        <v>104</v>
      </c>
      <c r="N1" s="47" t="s">
        <v>105</v>
      </c>
      <c r="O1" s="46" t="s">
        <v>106</v>
      </c>
    </row>
    <row r="2" spans="1:23" ht="37.35" customHeight="1" x14ac:dyDescent="0.45">
      <c r="A2" s="34" t="s">
        <v>62</v>
      </c>
      <c r="B2" s="34" t="s">
        <v>18</v>
      </c>
      <c r="C2" s="34" t="s">
        <v>21</v>
      </c>
      <c r="D2" s="34" t="s">
        <v>19</v>
      </c>
      <c r="E2" s="34" t="s">
        <v>20</v>
      </c>
      <c r="F2" s="34" t="s">
        <v>24</v>
      </c>
      <c r="G2" s="34" t="s">
        <v>23</v>
      </c>
      <c r="H2" s="34" t="s">
        <v>25</v>
      </c>
      <c r="I2" s="34" t="s">
        <v>26</v>
      </c>
      <c r="J2" s="34" t="s">
        <v>27</v>
      </c>
      <c r="K2" s="34" t="s">
        <v>88</v>
      </c>
      <c r="L2" s="34" t="s">
        <v>28</v>
      </c>
      <c r="M2" s="34" t="s">
        <v>22</v>
      </c>
      <c r="N2" s="34" t="s">
        <v>29</v>
      </c>
      <c r="O2" s="34" t="s">
        <v>30</v>
      </c>
      <c r="P2" s="34" t="s">
        <v>89</v>
      </c>
      <c r="Q2" s="34" t="s">
        <v>33</v>
      </c>
      <c r="R2" s="34" t="s">
        <v>31</v>
      </c>
      <c r="S2" s="34" t="s">
        <v>48</v>
      </c>
      <c r="T2" s="34" t="s">
        <v>32</v>
      </c>
      <c r="U2" s="34" t="s">
        <v>100</v>
      </c>
      <c r="V2" s="34" t="s">
        <v>101</v>
      </c>
      <c r="W2" s="34" t="s">
        <v>83</v>
      </c>
    </row>
    <row r="3" spans="1:23" x14ac:dyDescent="0.45">
      <c r="A3" s="44" t="s">
        <v>116</v>
      </c>
      <c r="B3" s="36">
        <v>7046</v>
      </c>
      <c r="C3" s="36" t="s">
        <v>112</v>
      </c>
      <c r="D3" s="36" t="s">
        <v>58</v>
      </c>
      <c r="E3" s="36">
        <v>7058</v>
      </c>
      <c r="F3" s="35"/>
      <c r="G3" s="36" t="s">
        <v>60</v>
      </c>
      <c r="H3" s="36" t="s">
        <v>96</v>
      </c>
      <c r="I3" s="35" t="s">
        <v>70</v>
      </c>
      <c r="J3" s="36" t="s">
        <v>93</v>
      </c>
      <c r="K3" s="61"/>
      <c r="L3" s="36" t="s">
        <v>51</v>
      </c>
      <c r="M3" s="36" t="s">
        <v>67</v>
      </c>
      <c r="N3" s="36">
        <v>7656</v>
      </c>
      <c r="O3" s="36" t="s">
        <v>72</v>
      </c>
      <c r="P3" s="61"/>
      <c r="Q3" s="35"/>
      <c r="R3" s="36">
        <v>6748</v>
      </c>
      <c r="S3" s="35"/>
      <c r="T3" s="35"/>
      <c r="U3" s="61"/>
      <c r="V3" s="35" t="s">
        <v>109</v>
      </c>
      <c r="W3" s="40"/>
    </row>
    <row r="4" spans="1:23" x14ac:dyDescent="0.45">
      <c r="A4" s="44" t="s">
        <v>124</v>
      </c>
      <c r="B4" s="36">
        <v>8040</v>
      </c>
      <c r="C4" s="36" t="s">
        <v>79</v>
      </c>
      <c r="D4" s="36" t="s">
        <v>76</v>
      </c>
      <c r="E4" s="35"/>
      <c r="F4" s="36">
        <v>6.375</v>
      </c>
      <c r="G4" s="36" t="s">
        <v>74</v>
      </c>
      <c r="H4" s="35"/>
      <c r="I4" s="35" t="s">
        <v>70</v>
      </c>
      <c r="J4" s="36" t="s">
        <v>93</v>
      </c>
      <c r="K4" s="61"/>
      <c r="L4" s="36" t="s">
        <v>51</v>
      </c>
      <c r="M4" s="36" t="s">
        <v>81</v>
      </c>
      <c r="N4" s="36">
        <v>7644</v>
      </c>
      <c r="O4" s="36" t="s">
        <v>72</v>
      </c>
      <c r="P4" s="61"/>
      <c r="Q4" s="36">
        <v>6.125</v>
      </c>
      <c r="R4" s="36">
        <v>7640</v>
      </c>
      <c r="S4" s="35"/>
      <c r="T4" s="36" t="s">
        <v>122</v>
      </c>
      <c r="U4" s="62"/>
      <c r="V4" s="41" t="s">
        <v>90</v>
      </c>
      <c r="W4" s="40"/>
    </row>
  </sheetData>
  <mergeCells count="1">
    <mergeCell ref="D1:E1"/>
  </mergeCells>
  <hyperlinks>
    <hyperlink ref="A1" location="Menu!A1" display="Back to Menu" xr:uid="{2F36453C-1B65-4911-A569-6D05EA005156}"/>
    <hyperlink ref="A3" location="Charlie_Clark_74CD899D!A1" display="Clark, Charlie" xr:uid="{8B609C61-0EB4-4161-997B-0D8A2B576697}"/>
    <hyperlink ref="A4" location="Isabella_Taylor_D098F288!A1" display="Taylor, Isabella" xr:uid="{8C698D47-2D5C-48FB-B274-4D89B7D447B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3" name="Toggle2">
              <controlPr defaultSize="0" print="0" autoFill="0" autoPict="0" macro="[0]!'togglePersonAsComplete 3'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098" r:id="rId4" name="Toggle3">
              <controlPr defaultSize="0" print="0" autoFill="0" autoPict="0" macro="[0]!'togglePersonAsComplete 4'">
                <anchor moveWithCells="1" sizeWithCells="1">
                  <from>
                    <xdr:col>22</xdr:col>
                    <xdr:colOff>0</xdr:colOff>
                    <xdr:row>3</xdr:row>
                    <xdr:rowOff>0</xdr:rowOff>
                  </from>
                  <to>
                    <xdr:col>23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F096B-FDF1-49A8-849D-5C3CF01B0CBA}">
  <sheetPr codeName="Sheet4"/>
  <dimension ref="A1:L38"/>
  <sheetViews>
    <sheetView workbookViewId="0">
      <selection sqref="A1:A1048576"/>
    </sheetView>
  </sheetViews>
  <sheetFormatPr defaultRowHeight="14.25" x14ac:dyDescent="0.45"/>
  <cols>
    <col min="1" max="1" width="18.46484375" customWidth="1"/>
    <col min="3" max="3" width="9.1328125" customWidth="1"/>
    <col min="4" max="4" width="10" customWidth="1"/>
    <col min="5" max="5" width="15.59765625" customWidth="1"/>
    <col min="7" max="7" width="16.59765625" customWidth="1"/>
    <col min="8" max="8" width="2.3984375" customWidth="1"/>
    <col min="11" max="11" width="12" customWidth="1"/>
    <col min="12" max="12" width="13" customWidth="1"/>
  </cols>
  <sheetData>
    <row r="1" spans="1:12" x14ac:dyDescent="0.45">
      <c r="A1" s="65" t="s">
        <v>42</v>
      </c>
      <c r="B1" s="20" t="s">
        <v>3</v>
      </c>
      <c r="C1" s="67" t="s">
        <v>0</v>
      </c>
      <c r="D1" s="67"/>
      <c r="E1" s="67" t="s">
        <v>2</v>
      </c>
      <c r="F1" s="67"/>
      <c r="G1" s="20" t="s">
        <v>34</v>
      </c>
      <c r="K1" s="20" t="s">
        <v>38</v>
      </c>
      <c r="L1" s="20" t="s">
        <v>10</v>
      </c>
    </row>
    <row r="2" spans="1:12" x14ac:dyDescent="0.45">
      <c r="A2" s="66"/>
      <c r="B2" s="2" t="s">
        <v>43</v>
      </c>
      <c r="C2" s="68" t="s">
        <v>109</v>
      </c>
      <c r="D2" s="68"/>
      <c r="E2" s="68" t="s">
        <v>103</v>
      </c>
      <c r="F2" s="68"/>
      <c r="G2" s="1" t="s">
        <v>110</v>
      </c>
      <c r="K2" s="4" t="s">
        <v>9</v>
      </c>
      <c r="L2" s="4">
        <v>25.4</v>
      </c>
    </row>
    <row r="3" spans="1:12" x14ac:dyDescent="0.45">
      <c r="A3" s="20" t="s">
        <v>1</v>
      </c>
      <c r="B3" s="69" t="s">
        <v>4</v>
      </c>
      <c r="C3" s="70"/>
      <c r="D3" s="71"/>
      <c r="E3" s="69" t="s">
        <v>49</v>
      </c>
      <c r="F3" s="71"/>
      <c r="G3" s="20" t="s">
        <v>5</v>
      </c>
      <c r="K3" s="1" t="s">
        <v>11</v>
      </c>
      <c r="L3" s="1">
        <v>13.3</v>
      </c>
    </row>
    <row r="4" spans="1:12" x14ac:dyDescent="0.45">
      <c r="A4" s="1" t="s">
        <v>39</v>
      </c>
      <c r="B4" s="72">
        <v>2468446139</v>
      </c>
      <c r="C4" s="72"/>
      <c r="D4" s="72"/>
      <c r="E4" s="68" t="s">
        <v>52</v>
      </c>
      <c r="F4" s="68"/>
      <c r="G4" s="1" t="s">
        <v>44</v>
      </c>
      <c r="K4" s="4" t="s">
        <v>12</v>
      </c>
      <c r="L4" s="4">
        <v>46</v>
      </c>
    </row>
    <row r="5" spans="1:12" x14ac:dyDescent="0.45">
      <c r="A5" s="20" t="s">
        <v>6</v>
      </c>
      <c r="B5" s="67" t="s">
        <v>7</v>
      </c>
      <c r="C5" s="67"/>
      <c r="D5" s="67"/>
      <c r="E5" s="20" t="s">
        <v>8</v>
      </c>
      <c r="F5" s="20" t="s">
        <v>35</v>
      </c>
      <c r="G5" s="20" t="s">
        <v>36</v>
      </c>
      <c r="K5" s="1" t="s">
        <v>13</v>
      </c>
      <c r="L5" s="1">
        <v>56.7</v>
      </c>
    </row>
    <row r="6" spans="1:12" x14ac:dyDescent="0.45">
      <c r="A6" s="3" t="s">
        <v>111</v>
      </c>
      <c r="B6" s="64" t="s">
        <v>18</v>
      </c>
      <c r="C6" s="64"/>
      <c r="D6" s="64"/>
      <c r="E6" s="4">
        <v>7046</v>
      </c>
      <c r="F6" s="4">
        <v>1</v>
      </c>
      <c r="G6" s="25" t="s">
        <v>63</v>
      </c>
      <c r="H6" s="28" t="str">
        <f>HYPERLINK("#G6",CHAR(128))</f>
        <v>€</v>
      </c>
      <c r="K6" s="4" t="s">
        <v>14</v>
      </c>
      <c r="L6" s="4">
        <v>56.8</v>
      </c>
    </row>
    <row r="7" spans="1:12" x14ac:dyDescent="0.45">
      <c r="A7" s="2" t="s">
        <v>113</v>
      </c>
      <c r="B7" s="68" t="s">
        <v>21</v>
      </c>
      <c r="C7" s="68"/>
      <c r="D7" s="68"/>
      <c r="E7" s="1" t="s">
        <v>112</v>
      </c>
      <c r="F7" s="16">
        <v>1</v>
      </c>
      <c r="G7" s="25" t="s">
        <v>63</v>
      </c>
      <c r="H7" s="28" t="str">
        <f>HYPERLINK("#G7",CHAR(128))</f>
        <v>€</v>
      </c>
      <c r="K7" s="1" t="s">
        <v>15</v>
      </c>
      <c r="L7" s="1">
        <v>66.8</v>
      </c>
    </row>
    <row r="8" spans="1:12" x14ac:dyDescent="0.45">
      <c r="A8" s="3" t="s">
        <v>77</v>
      </c>
      <c r="B8" s="64" t="s">
        <v>19</v>
      </c>
      <c r="C8" s="64"/>
      <c r="D8" s="64"/>
      <c r="E8" s="4" t="s">
        <v>58</v>
      </c>
      <c r="F8" s="4">
        <v>1</v>
      </c>
      <c r="G8" s="25" t="s">
        <v>63</v>
      </c>
      <c r="H8" s="28" t="str">
        <f>HYPERLINK("#G8",CHAR(128))</f>
        <v>€</v>
      </c>
      <c r="K8" s="4" t="s">
        <v>16</v>
      </c>
      <c r="L8" s="4">
        <v>293.89999999999998</v>
      </c>
    </row>
    <row r="9" spans="1:12" x14ac:dyDescent="0.45">
      <c r="A9" s="2" t="s">
        <v>114</v>
      </c>
      <c r="B9" s="68" t="s">
        <v>20</v>
      </c>
      <c r="C9" s="68"/>
      <c r="D9" s="68"/>
      <c r="E9" s="1">
        <v>7058</v>
      </c>
      <c r="F9" s="16">
        <v>1</v>
      </c>
      <c r="G9" s="25" t="s">
        <v>63</v>
      </c>
      <c r="H9" s="28" t="str">
        <f>HYPERLINK("#G9",CHAR(128))</f>
        <v>€</v>
      </c>
      <c r="I9" s="11"/>
      <c r="K9" s="1" t="s">
        <v>17</v>
      </c>
      <c r="L9" s="1">
        <v>126</v>
      </c>
    </row>
    <row r="10" spans="1:12" x14ac:dyDescent="0.45">
      <c r="A10" s="3"/>
      <c r="B10" s="64" t="s">
        <v>24</v>
      </c>
      <c r="C10" s="64"/>
      <c r="D10" s="64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>
        <v>7.8</v>
      </c>
    </row>
    <row r="11" spans="1:12" x14ac:dyDescent="0.45">
      <c r="A11" s="2" t="s">
        <v>61</v>
      </c>
      <c r="B11" s="68" t="s">
        <v>23</v>
      </c>
      <c r="C11" s="68"/>
      <c r="D11" s="68"/>
      <c r="E11" s="1" t="s">
        <v>60</v>
      </c>
      <c r="F11" s="16">
        <v>1</v>
      </c>
      <c r="G11" s="25" t="s">
        <v>63</v>
      </c>
      <c r="H11" s="28" t="str">
        <f>HYPERLINK("#G11",CHAR(128))</f>
        <v>€</v>
      </c>
    </row>
    <row r="12" spans="1:12" x14ac:dyDescent="0.45">
      <c r="A12" s="5" t="s">
        <v>97</v>
      </c>
      <c r="B12" s="64" t="s">
        <v>25</v>
      </c>
      <c r="C12" s="64"/>
      <c r="D12" s="64"/>
      <c r="E12" s="4" t="s">
        <v>96</v>
      </c>
      <c r="F12" s="4">
        <v>1</v>
      </c>
      <c r="G12" s="25" t="s">
        <v>63</v>
      </c>
      <c r="H12" s="28" t="str">
        <f>HYPERLINK("#G12",CHAR(128))</f>
        <v>€</v>
      </c>
    </row>
    <row r="13" spans="1:12" x14ac:dyDescent="0.45">
      <c r="A13" s="2" t="s">
        <v>71</v>
      </c>
      <c r="B13" s="68" t="s">
        <v>26</v>
      </c>
      <c r="C13" s="68"/>
      <c r="D13" s="68"/>
      <c r="E13" s="1" t="s">
        <v>70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45">
      <c r="A14" s="5" t="s">
        <v>94</v>
      </c>
      <c r="B14" s="64" t="s">
        <v>27</v>
      </c>
      <c r="C14" s="64"/>
      <c r="D14" s="64"/>
      <c r="E14" s="4" t="s">
        <v>93</v>
      </c>
      <c r="F14" s="4">
        <v>1</v>
      </c>
      <c r="G14" s="25" t="s">
        <v>63</v>
      </c>
      <c r="H14" s="28" t="str">
        <f>HYPERLINK("#G14",CHAR(128))</f>
        <v>€</v>
      </c>
    </row>
    <row r="15" spans="1:12" x14ac:dyDescent="0.45">
      <c r="A15" s="2"/>
      <c r="B15" s="76"/>
      <c r="C15" s="76"/>
      <c r="D15" s="76"/>
      <c r="E15" s="1"/>
      <c r="F15" s="16"/>
      <c r="G15" s="16"/>
      <c r="H15" s="14"/>
    </row>
    <row r="16" spans="1:12" x14ac:dyDescent="0.45">
      <c r="A16" s="5" t="s">
        <v>46</v>
      </c>
      <c r="B16" s="64" t="s">
        <v>28</v>
      </c>
      <c r="C16" s="64"/>
      <c r="D16" s="64"/>
      <c r="E16" s="4" t="s">
        <v>51</v>
      </c>
      <c r="F16" s="4">
        <v>1</v>
      </c>
      <c r="G16" s="25" t="s">
        <v>63</v>
      </c>
      <c r="H16" s="23" t="str">
        <f>HYPERLINK("#G16",CHAR(128))</f>
        <v>€</v>
      </c>
    </row>
    <row r="17" spans="1:10" x14ac:dyDescent="0.45">
      <c r="A17" s="2" t="s">
        <v>68</v>
      </c>
      <c r="B17" s="68" t="s">
        <v>22</v>
      </c>
      <c r="C17" s="68"/>
      <c r="D17" s="68"/>
      <c r="E17" s="1" t="s">
        <v>67</v>
      </c>
      <c r="F17" s="16">
        <v>1</v>
      </c>
      <c r="G17" s="25" t="s">
        <v>63</v>
      </c>
      <c r="H17" s="23" t="str">
        <f>HYPERLINK("#G17",CHAR(128))</f>
        <v>€</v>
      </c>
    </row>
    <row r="18" spans="1:10" x14ac:dyDescent="0.45">
      <c r="A18" s="5" t="s">
        <v>75</v>
      </c>
      <c r="B18" s="64" t="s">
        <v>29</v>
      </c>
      <c r="C18" s="64"/>
      <c r="D18" s="64"/>
      <c r="E18" s="4">
        <v>7656</v>
      </c>
      <c r="F18" s="4">
        <v>1</v>
      </c>
      <c r="G18" s="25" t="s">
        <v>63</v>
      </c>
      <c r="H18" s="23" t="str">
        <f>HYPERLINK("#G18",CHAR(128))</f>
        <v>€</v>
      </c>
    </row>
    <row r="19" spans="1:10" x14ac:dyDescent="0.45">
      <c r="A19" s="2" t="s">
        <v>73</v>
      </c>
      <c r="B19" s="68" t="s">
        <v>30</v>
      </c>
      <c r="C19" s="68"/>
      <c r="D19" s="68"/>
      <c r="E19" s="1" t="s">
        <v>72</v>
      </c>
      <c r="F19" s="16">
        <v>1</v>
      </c>
      <c r="G19" s="25" t="s">
        <v>63</v>
      </c>
      <c r="H19" s="23" t="str">
        <f>HYPERLINK("#G19",CHAR(128))</f>
        <v>€</v>
      </c>
    </row>
    <row r="20" spans="1:10" x14ac:dyDescent="0.45">
      <c r="A20" s="5"/>
      <c r="B20" s="73"/>
      <c r="C20" s="74"/>
      <c r="D20" s="75"/>
      <c r="E20" s="4"/>
      <c r="F20" s="4"/>
      <c r="G20" s="4"/>
      <c r="H20" s="14"/>
    </row>
    <row r="21" spans="1:10" x14ac:dyDescent="0.45">
      <c r="A21" s="2"/>
      <c r="B21" s="68" t="s">
        <v>33</v>
      </c>
      <c r="C21" s="68"/>
      <c r="D21" s="68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0" x14ac:dyDescent="0.45">
      <c r="A22" s="5" t="s">
        <v>115</v>
      </c>
      <c r="B22" s="64" t="s">
        <v>31</v>
      </c>
      <c r="C22" s="64"/>
      <c r="D22" s="64"/>
      <c r="E22" s="4">
        <v>6748</v>
      </c>
      <c r="F22" s="4">
        <v>1</v>
      </c>
      <c r="G22" s="25" t="s">
        <v>63</v>
      </c>
      <c r="H22" s="23" t="str">
        <f>HYPERLINK("#G22",CHAR(128))</f>
        <v>€</v>
      </c>
    </row>
    <row r="23" spans="1:10" x14ac:dyDescent="0.45">
      <c r="A23" s="2"/>
      <c r="B23" s="68" t="s">
        <v>48</v>
      </c>
      <c r="C23" s="68"/>
      <c r="D23" s="68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45">
      <c r="A24" s="5"/>
      <c r="B24" s="64" t="s">
        <v>32</v>
      </c>
      <c r="C24" s="64"/>
      <c r="D24" s="64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45">
      <c r="A25" s="2"/>
      <c r="B25" s="68"/>
      <c r="C25" s="68"/>
      <c r="D25" s="68"/>
      <c r="E25" s="1"/>
      <c r="F25" s="16"/>
      <c r="G25" s="16"/>
      <c r="H25" s="14"/>
      <c r="I25" s="12"/>
    </row>
    <row r="26" spans="1:10" x14ac:dyDescent="0.45">
      <c r="A26" s="5"/>
      <c r="B26" s="64" t="s">
        <v>37</v>
      </c>
      <c r="C26" s="64"/>
      <c r="D26" s="64"/>
      <c r="E26" s="4" t="str">
        <f>C2</f>
        <v>Clark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67" t="s">
        <v>50</v>
      </c>
      <c r="C29" s="67"/>
      <c r="D29" s="67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64"/>
      <c r="C30" s="64"/>
      <c r="D30" s="64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68"/>
      <c r="C31" s="68"/>
      <c r="D31" s="68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64"/>
      <c r="C32" s="64"/>
      <c r="D32" s="64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68"/>
      <c r="C33" s="68"/>
      <c r="D33" s="68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64"/>
      <c r="C34" s="64"/>
      <c r="D34" s="64"/>
      <c r="E34" s="4"/>
      <c r="F34" s="4">
        <v>1</v>
      </c>
      <c r="G34" s="27"/>
      <c r="H34" s="19" t="str">
        <f>HYPERLINK("#G34",CHAR(128))</f>
        <v>€</v>
      </c>
    </row>
    <row r="37" spans="1:8" x14ac:dyDescent="0.45">
      <c r="A37" s="40" t="s">
        <v>40</v>
      </c>
      <c r="B37" s="40" t="s">
        <v>7</v>
      </c>
      <c r="C37" s="40" t="s">
        <v>65</v>
      </c>
      <c r="D37" s="40" t="s">
        <v>66</v>
      </c>
    </row>
    <row r="38" spans="1:8" x14ac:dyDescent="0.45">
      <c r="A38" s="40"/>
      <c r="B38" s="40"/>
      <c r="C38" s="40"/>
      <c r="D38" s="40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38" priority="2" operator="equal">
      <formula>"Returned"</formula>
    </cfRule>
    <cfRule type="cellIs" dxfId="37" priority="5" operator="equal">
      <formula>"Ready To Order"</formula>
    </cfRule>
    <cfRule type="cellIs" dxfId="36" priority="6" operator="equal">
      <formula>"UNP"</formula>
    </cfRule>
    <cfRule type="containsText" dxfId="35" priority="7" operator="containsText" text="Ordered">
      <formula>NOT(ISERROR(SEARCH("Ordered",G6)))</formula>
    </cfRule>
    <cfRule type="containsText" dxfId="34" priority="8" operator="containsText" text="Pick Up">
      <formula>NOT(ISERROR(SEARCH("Pick Up",G6)))</formula>
    </cfRule>
    <cfRule type="containsText" dxfId="33" priority="9" operator="containsText" text="Complete">
      <formula>NOT(ISERROR(SEARCH("Complete",G6)))</formula>
    </cfRule>
  </conditionalFormatting>
  <conditionalFormatting sqref="G30:G33">
    <cfRule type="containsText" dxfId="32" priority="4" operator="containsText" text="Given">
      <formula>NOT(ISERROR(SEARCH("Given",G30)))</formula>
    </cfRule>
  </conditionalFormatting>
  <conditionalFormatting sqref="G30:G34">
    <cfRule type="containsText" dxfId="31" priority="3" operator="containsText" text="Returned">
      <formula>NOT(ISERROR(SEARCH("Returned",G30)))</formula>
    </cfRule>
  </conditionalFormatting>
  <conditionalFormatting sqref="G6:G14 G21:G26 G16:G19">
    <cfRule type="cellIs" dxfId="30" priority="1" operator="equal">
      <formula>"In Stock"</formula>
    </cfRule>
  </conditionalFormatting>
  <dataValidations count="3">
    <dataValidation type="list" allowBlank="1" showInputMessage="1" showErrorMessage="1" sqref="G30:G34" xr:uid="{E5F89021-1DE9-481D-8EFF-CC69B551A21F}">
      <formula1>"--,Returned, Given"</formula1>
    </dataValidation>
    <dataValidation type="list" allowBlank="1" showInputMessage="1" showErrorMessage="1" sqref="G16:G19 G21:G24 G26 G6:G14" xr:uid="{C155E035-3176-4309-9C97-2B2629EADEA1}">
      <formula1>"UNP, Ready To Order, Ordered, In Stock, Pick Up, Complete, Returned"</formula1>
    </dataValidation>
    <dataValidation type="decimal" allowBlank="1" showInputMessage="1" showErrorMessage="1" sqref="L2" xr:uid="{D51CB7E5-1775-4EB4-95A0-1E2CFF5E49E5}">
      <formula1>19</formula1>
      <formula2>26</formula2>
    </dataValidation>
  </dataValidations>
  <hyperlinks>
    <hyperlink ref="A1:A2" location="Menu!A1" display="Back to Menu" xr:uid="{2D3E0B61-AD9C-4EE4-ABA9-4EEA2919A88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04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8E31D-9959-4B64-97A8-69261E470013}">
  <sheetPr codeName="Sheet5"/>
  <dimension ref="A1:L40"/>
  <sheetViews>
    <sheetView tabSelected="1" workbookViewId="0">
      <selection activeCell="I12" sqref="I12"/>
    </sheetView>
  </sheetViews>
  <sheetFormatPr defaultRowHeight="14.25" x14ac:dyDescent="0.45"/>
  <cols>
    <col min="1" max="1" width="18.46484375" customWidth="1"/>
    <col min="3" max="3" width="9.1328125" customWidth="1"/>
    <col min="4" max="4" width="10" customWidth="1"/>
    <col min="5" max="5" width="15.59765625" customWidth="1"/>
    <col min="7" max="7" width="16.59765625" customWidth="1"/>
    <col min="8" max="8" width="2.3984375" customWidth="1"/>
    <col min="11" max="11" width="12" customWidth="1"/>
    <col min="12" max="12" width="13" customWidth="1"/>
  </cols>
  <sheetData>
    <row r="1" spans="1:12" x14ac:dyDescent="0.45">
      <c r="A1" s="65" t="s">
        <v>42</v>
      </c>
      <c r="B1" s="20" t="s">
        <v>3</v>
      </c>
      <c r="C1" s="67" t="s">
        <v>0</v>
      </c>
      <c r="D1" s="67"/>
      <c r="E1" s="67" t="s">
        <v>2</v>
      </c>
      <c r="F1" s="67"/>
      <c r="G1" s="20" t="s">
        <v>34</v>
      </c>
      <c r="K1" s="20" t="s">
        <v>38</v>
      </c>
      <c r="L1" s="20" t="s">
        <v>10</v>
      </c>
    </row>
    <row r="2" spans="1:12" x14ac:dyDescent="0.45">
      <c r="A2" s="66"/>
      <c r="B2" s="2" t="s">
        <v>43</v>
      </c>
      <c r="C2" s="68" t="s">
        <v>90</v>
      </c>
      <c r="D2" s="68"/>
      <c r="E2" s="68" t="s">
        <v>117</v>
      </c>
      <c r="F2" s="68"/>
      <c r="G2" s="1" t="s">
        <v>118</v>
      </c>
      <c r="K2" s="4" t="s">
        <v>9</v>
      </c>
      <c r="L2" s="4">
        <v>19</v>
      </c>
    </row>
    <row r="3" spans="1:12" x14ac:dyDescent="0.45">
      <c r="A3" s="20" t="s">
        <v>1</v>
      </c>
      <c r="B3" s="69" t="s">
        <v>4</v>
      </c>
      <c r="C3" s="70"/>
      <c r="D3" s="71"/>
      <c r="E3" s="69" t="s">
        <v>49</v>
      </c>
      <c r="F3" s="71"/>
      <c r="G3" s="20" t="s">
        <v>5</v>
      </c>
      <c r="K3" s="1" t="s">
        <v>11</v>
      </c>
      <c r="L3" s="1">
        <v>13</v>
      </c>
    </row>
    <row r="4" spans="1:12" x14ac:dyDescent="0.45">
      <c r="A4" s="1" t="s">
        <v>39</v>
      </c>
      <c r="B4" s="72">
        <v>8364443015</v>
      </c>
      <c r="C4" s="72"/>
      <c r="D4" s="72"/>
      <c r="E4" s="68" t="s">
        <v>52</v>
      </c>
      <c r="F4" s="68"/>
      <c r="G4" s="1" t="s">
        <v>78</v>
      </c>
      <c r="K4" s="4" t="s">
        <v>12</v>
      </c>
      <c r="L4" s="4">
        <v>38.1</v>
      </c>
    </row>
    <row r="5" spans="1:12" x14ac:dyDescent="0.45">
      <c r="A5" s="20" t="s">
        <v>6</v>
      </c>
      <c r="B5" s="67" t="s">
        <v>7</v>
      </c>
      <c r="C5" s="67"/>
      <c r="D5" s="67"/>
      <c r="E5" s="20" t="s">
        <v>8</v>
      </c>
      <c r="F5" s="20" t="s">
        <v>35</v>
      </c>
      <c r="G5" s="20" t="s">
        <v>36</v>
      </c>
      <c r="K5" s="1" t="s">
        <v>13</v>
      </c>
      <c r="L5" s="1">
        <v>61.3</v>
      </c>
    </row>
    <row r="6" spans="1:12" x14ac:dyDescent="0.45">
      <c r="A6" s="3" t="s">
        <v>119</v>
      </c>
      <c r="B6" s="64" t="s">
        <v>18</v>
      </c>
      <c r="C6" s="64"/>
      <c r="D6" s="64"/>
      <c r="E6" s="4">
        <v>8040</v>
      </c>
      <c r="F6" s="4">
        <v>1</v>
      </c>
      <c r="G6" s="25" t="s">
        <v>63</v>
      </c>
      <c r="H6" s="28" t="str">
        <f>HYPERLINK("#G6",CHAR(128))</f>
        <v>€</v>
      </c>
      <c r="K6" s="4" t="s">
        <v>14</v>
      </c>
      <c r="L6" s="4">
        <v>44.2</v>
      </c>
    </row>
    <row r="7" spans="1:12" x14ac:dyDescent="0.45">
      <c r="A7" s="2" t="s">
        <v>80</v>
      </c>
      <c r="B7" s="68" t="s">
        <v>21</v>
      </c>
      <c r="C7" s="68"/>
      <c r="D7" s="68"/>
      <c r="E7" s="1" t="s">
        <v>79</v>
      </c>
      <c r="F7" s="16">
        <v>1</v>
      </c>
      <c r="G7" s="25" t="s">
        <v>63</v>
      </c>
      <c r="H7" s="28" t="str">
        <f>HYPERLINK("#G7",CHAR(128))</f>
        <v>€</v>
      </c>
      <c r="K7" s="1" t="s">
        <v>15</v>
      </c>
      <c r="L7" s="1">
        <v>70</v>
      </c>
    </row>
    <row r="8" spans="1:12" x14ac:dyDescent="0.45">
      <c r="A8" s="3" t="s">
        <v>91</v>
      </c>
      <c r="B8" s="64" t="s">
        <v>19</v>
      </c>
      <c r="C8" s="64"/>
      <c r="D8" s="64"/>
      <c r="E8" s="4" t="s">
        <v>76</v>
      </c>
      <c r="F8" s="4">
        <v>1</v>
      </c>
      <c r="G8" s="25" t="s">
        <v>63</v>
      </c>
      <c r="H8" s="28" t="str">
        <f>HYPERLINK("#G8",CHAR(128))</f>
        <v>€</v>
      </c>
      <c r="K8" s="4" t="s">
        <v>16</v>
      </c>
      <c r="L8" s="4">
        <v>317.10000000000002</v>
      </c>
    </row>
    <row r="9" spans="1:12" x14ac:dyDescent="0.45">
      <c r="A9" s="2"/>
      <c r="B9" s="68" t="s">
        <v>20</v>
      </c>
      <c r="C9" s="68"/>
      <c r="D9" s="68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>
        <v>100.2</v>
      </c>
    </row>
    <row r="10" spans="1:12" x14ac:dyDescent="0.45">
      <c r="A10" s="3" t="s">
        <v>92</v>
      </c>
      <c r="B10" s="64" t="s">
        <v>24</v>
      </c>
      <c r="C10" s="64"/>
      <c r="D10" s="64"/>
      <c r="E10" s="8">
        <v>6.375</v>
      </c>
      <c r="F10" s="4">
        <v>1</v>
      </c>
      <c r="G10" s="25" t="s">
        <v>63</v>
      </c>
      <c r="H10" s="28" t="str">
        <f>HYPERLINK("#G10",CHAR(128))</f>
        <v>€</v>
      </c>
      <c r="K10" s="15" t="s">
        <v>47</v>
      </c>
      <c r="L10" s="15">
        <v>7.4</v>
      </c>
    </row>
    <row r="11" spans="1:12" x14ac:dyDescent="0.45">
      <c r="A11" s="2" t="s">
        <v>99</v>
      </c>
      <c r="B11" s="68" t="s">
        <v>23</v>
      </c>
      <c r="C11" s="68"/>
      <c r="D11" s="68"/>
      <c r="E11" s="1" t="s">
        <v>98</v>
      </c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45">
      <c r="A12" s="5"/>
      <c r="B12" s="64" t="s">
        <v>25</v>
      </c>
      <c r="C12" s="64"/>
      <c r="D12" s="64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45">
      <c r="A13" s="2" t="s">
        <v>71</v>
      </c>
      <c r="B13" s="68" t="s">
        <v>26</v>
      </c>
      <c r="C13" s="68"/>
      <c r="D13" s="68"/>
      <c r="E13" s="1" t="s">
        <v>70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45">
      <c r="A14" s="5" t="s">
        <v>94</v>
      </c>
      <c r="B14" s="64" t="s">
        <v>27</v>
      </c>
      <c r="C14" s="64"/>
      <c r="D14" s="64"/>
      <c r="E14" s="4" t="s">
        <v>93</v>
      </c>
      <c r="F14" s="4">
        <v>1</v>
      </c>
      <c r="G14" s="25" t="s">
        <v>63</v>
      </c>
      <c r="H14" s="28" t="str">
        <f>HYPERLINK("#G14",CHAR(128))</f>
        <v>€</v>
      </c>
    </row>
    <row r="15" spans="1:12" x14ac:dyDescent="0.45">
      <c r="A15" s="2"/>
      <c r="B15" s="76"/>
      <c r="C15" s="76"/>
      <c r="D15" s="76"/>
      <c r="E15" s="1"/>
      <c r="F15" s="16"/>
      <c r="G15" s="16"/>
      <c r="H15" s="14"/>
    </row>
    <row r="16" spans="1:12" x14ac:dyDescent="0.45">
      <c r="A16" s="5" t="s">
        <v>46</v>
      </c>
      <c r="B16" s="64" t="s">
        <v>28</v>
      </c>
      <c r="C16" s="64"/>
      <c r="D16" s="64"/>
      <c r="E16" s="4" t="s">
        <v>51</v>
      </c>
      <c r="F16" s="4">
        <v>1</v>
      </c>
      <c r="G16" s="25" t="s">
        <v>63</v>
      </c>
      <c r="H16" s="23" t="str">
        <f>HYPERLINK("#G16",CHAR(128))</f>
        <v>€</v>
      </c>
    </row>
    <row r="17" spans="1:10" x14ac:dyDescent="0.45">
      <c r="A17" s="2" t="s">
        <v>95</v>
      </c>
      <c r="B17" s="68" t="s">
        <v>22</v>
      </c>
      <c r="C17" s="68"/>
      <c r="D17" s="68"/>
      <c r="E17" s="1" t="s">
        <v>81</v>
      </c>
      <c r="F17" s="16">
        <v>1</v>
      </c>
      <c r="G17" s="25" t="s">
        <v>63</v>
      </c>
      <c r="H17" s="23" t="str">
        <f>HYPERLINK("#G17",CHAR(128))</f>
        <v>€</v>
      </c>
    </row>
    <row r="18" spans="1:10" x14ac:dyDescent="0.45">
      <c r="A18" s="5" t="s">
        <v>120</v>
      </c>
      <c r="B18" s="64" t="s">
        <v>29</v>
      </c>
      <c r="C18" s="64"/>
      <c r="D18" s="64"/>
      <c r="E18" s="4">
        <v>7644</v>
      </c>
      <c r="F18" s="4">
        <v>1</v>
      </c>
      <c r="G18" s="25" t="s">
        <v>63</v>
      </c>
      <c r="H18" s="23" t="str">
        <f>HYPERLINK("#G18",CHAR(128))</f>
        <v>€</v>
      </c>
    </row>
    <row r="19" spans="1:10" x14ac:dyDescent="0.45">
      <c r="A19" s="2" t="s">
        <v>73</v>
      </c>
      <c r="B19" s="68" t="s">
        <v>30</v>
      </c>
      <c r="C19" s="68"/>
      <c r="D19" s="68"/>
      <c r="E19" s="1" t="s">
        <v>72</v>
      </c>
      <c r="F19" s="16">
        <v>1</v>
      </c>
      <c r="G19" s="25" t="s">
        <v>63</v>
      </c>
      <c r="H19" s="23" t="str">
        <f>HYPERLINK("#G19",CHAR(128))</f>
        <v>€</v>
      </c>
    </row>
    <row r="20" spans="1:10" x14ac:dyDescent="0.45">
      <c r="A20" s="5"/>
      <c r="B20" s="73"/>
      <c r="C20" s="74"/>
      <c r="D20" s="75"/>
      <c r="E20" s="4"/>
      <c r="F20" s="4"/>
      <c r="G20" s="4"/>
      <c r="H20" s="14"/>
    </row>
    <row r="21" spans="1:10" x14ac:dyDescent="0.45">
      <c r="A21" s="2" t="s">
        <v>102</v>
      </c>
      <c r="B21" s="68" t="s">
        <v>33</v>
      </c>
      <c r="C21" s="68"/>
      <c r="D21" s="68"/>
      <c r="E21" s="9">
        <v>6.125</v>
      </c>
      <c r="F21" s="16">
        <v>1</v>
      </c>
      <c r="G21" s="25" t="s">
        <v>63</v>
      </c>
      <c r="H21" s="23" t="str">
        <f>HYPERLINK("#G21",CHAR(128))</f>
        <v>€</v>
      </c>
    </row>
    <row r="22" spans="1:10" x14ac:dyDescent="0.45">
      <c r="A22" s="5" t="s">
        <v>121</v>
      </c>
      <c r="B22" s="64" t="s">
        <v>31</v>
      </c>
      <c r="C22" s="64"/>
      <c r="D22" s="64"/>
      <c r="E22" s="4">
        <v>7640</v>
      </c>
      <c r="F22" s="4">
        <v>1</v>
      </c>
      <c r="G22" s="25" t="s">
        <v>63</v>
      </c>
      <c r="H22" s="23" t="str">
        <f>HYPERLINK("#G22",CHAR(128))</f>
        <v>€</v>
      </c>
    </row>
    <row r="23" spans="1:10" x14ac:dyDescent="0.45">
      <c r="A23" s="2"/>
      <c r="B23" s="68" t="s">
        <v>48</v>
      </c>
      <c r="C23" s="68"/>
      <c r="D23" s="68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45">
      <c r="A24" s="5" t="s">
        <v>123</v>
      </c>
      <c r="B24" s="64" t="s">
        <v>32</v>
      </c>
      <c r="C24" s="64"/>
      <c r="D24" s="64"/>
      <c r="E24" s="4" t="s">
        <v>122</v>
      </c>
      <c r="F24" s="4">
        <v>1</v>
      </c>
      <c r="G24" s="25" t="s">
        <v>63</v>
      </c>
      <c r="H24" s="22" t="str">
        <f>HYPERLINK("#G24",CHAR(128))</f>
        <v>€</v>
      </c>
    </row>
    <row r="25" spans="1:10" x14ac:dyDescent="0.45">
      <c r="A25" s="2"/>
      <c r="B25" s="68"/>
      <c r="C25" s="68"/>
      <c r="D25" s="68"/>
      <c r="E25" s="1"/>
      <c r="F25" s="16"/>
      <c r="G25" s="16"/>
      <c r="H25" s="14"/>
      <c r="I25" s="12"/>
    </row>
    <row r="26" spans="1:10" x14ac:dyDescent="0.45">
      <c r="A26" s="5"/>
      <c r="B26" s="64" t="s">
        <v>37</v>
      </c>
      <c r="C26" s="64"/>
      <c r="D26" s="64"/>
      <c r="E26" s="4" t="str">
        <f>C2</f>
        <v>Taylor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67" t="s">
        <v>50</v>
      </c>
      <c r="C29" s="67"/>
      <c r="D29" s="67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64"/>
      <c r="C30" s="64"/>
      <c r="D30" s="64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68"/>
      <c r="C31" s="68"/>
      <c r="D31" s="68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64"/>
      <c r="C32" s="64"/>
      <c r="D32" s="64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68"/>
      <c r="C33" s="68"/>
      <c r="D33" s="68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64"/>
      <c r="C34" s="64"/>
      <c r="D34" s="64"/>
      <c r="E34" s="4"/>
      <c r="F34" s="4">
        <v>1</v>
      </c>
      <c r="G34" s="27"/>
      <c r="H34" s="19" t="str">
        <f>HYPERLINK("#G34",CHAR(128))</f>
        <v>€</v>
      </c>
    </row>
    <row r="37" spans="1:8" x14ac:dyDescent="0.45">
      <c r="A37" s="40" t="s">
        <v>40</v>
      </c>
      <c r="B37" s="40" t="s">
        <v>7</v>
      </c>
      <c r="C37" s="40" t="s">
        <v>65</v>
      </c>
      <c r="D37" s="40" t="s">
        <v>66</v>
      </c>
    </row>
    <row r="38" spans="1:8" x14ac:dyDescent="0.45">
      <c r="A38" s="43">
        <v>45298</v>
      </c>
      <c r="B38" s="40" t="s">
        <v>23</v>
      </c>
      <c r="C38" s="40" t="s">
        <v>74</v>
      </c>
      <c r="D38" s="40" t="s">
        <v>60</v>
      </c>
    </row>
    <row r="39" spans="1:8" x14ac:dyDescent="0.45">
      <c r="A39" s="43">
        <v>45298</v>
      </c>
      <c r="B39" s="40" t="s">
        <v>23</v>
      </c>
      <c r="C39" s="40" t="s">
        <v>60</v>
      </c>
      <c r="D39" s="40" t="s">
        <v>74</v>
      </c>
    </row>
    <row r="40" spans="1:8" x14ac:dyDescent="0.45">
      <c r="A40" s="43">
        <v>45298</v>
      </c>
      <c r="B40" s="40" t="s">
        <v>23</v>
      </c>
      <c r="C40" s="40" t="s">
        <v>74</v>
      </c>
      <c r="D40" s="40" t="s">
        <v>98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23" priority="2" operator="equal">
      <formula>"Returned"</formula>
    </cfRule>
    <cfRule type="cellIs" dxfId="22" priority="5" operator="equal">
      <formula>"Ready To Order"</formula>
    </cfRule>
    <cfRule type="cellIs" dxfId="21" priority="6" operator="equal">
      <formula>"UNP"</formula>
    </cfRule>
    <cfRule type="containsText" dxfId="20" priority="7" operator="containsText" text="Ordered">
      <formula>NOT(ISERROR(SEARCH("Ordered",G6)))</formula>
    </cfRule>
    <cfRule type="containsText" dxfId="19" priority="8" operator="containsText" text="Pick Up">
      <formula>NOT(ISERROR(SEARCH("Pick Up",G6)))</formula>
    </cfRule>
    <cfRule type="containsText" dxfId="18" priority="9" operator="containsText" text="Complete">
      <formula>NOT(ISERROR(SEARCH("Complete",G6)))</formula>
    </cfRule>
  </conditionalFormatting>
  <conditionalFormatting sqref="G30:G33">
    <cfRule type="containsText" dxfId="17" priority="4" operator="containsText" text="Given">
      <formula>NOT(ISERROR(SEARCH("Given",G30)))</formula>
    </cfRule>
  </conditionalFormatting>
  <conditionalFormatting sqref="G30:G34">
    <cfRule type="containsText" dxfId="16" priority="3" operator="containsText" text="Returned">
      <formula>NOT(ISERROR(SEARCH("Returned",G30)))</formula>
    </cfRule>
  </conditionalFormatting>
  <conditionalFormatting sqref="G6:G14 G21:G26 G16:G19">
    <cfRule type="cellIs" dxfId="15" priority="1" operator="equal">
      <formula>"In Stock"</formula>
    </cfRule>
  </conditionalFormatting>
  <dataValidations count="3">
    <dataValidation type="list" allowBlank="1" showInputMessage="1" showErrorMessage="1" sqref="G30:G34" xr:uid="{B4763D4B-CEAD-42F4-967C-0F9300C7C7F1}">
      <formula1>"--,Returned, Given"</formula1>
    </dataValidation>
    <dataValidation type="list" allowBlank="1" showInputMessage="1" showErrorMessage="1" sqref="G16:G19 G21:G24 G26 G6:G14" xr:uid="{6549C590-5E18-4661-8103-97BDB2D9E629}">
      <formula1>"UNP, Ready To Order, Ordered, In Stock, Pick Up, Complete, Returned"</formula1>
    </dataValidation>
    <dataValidation type="decimal" allowBlank="1" showInputMessage="1" showErrorMessage="1" sqref="L2" xr:uid="{3F4193CB-376E-4E88-86DC-CE63E720BB73}">
      <formula1>19</formula1>
      <formula2>26</formula2>
    </dataValidation>
  </dataValidations>
  <hyperlinks>
    <hyperlink ref="A1:A2" location="Menu!A1" display="Back to Menu" xr:uid="{A76CB1CA-4EB7-47EB-80DA-11A783501A4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74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75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76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77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8"/>
  <sheetViews>
    <sheetView zoomScaleNormal="100" workbookViewId="0">
      <selection sqref="A1:L38"/>
    </sheetView>
  </sheetViews>
  <sheetFormatPr defaultRowHeight="14.25" x14ac:dyDescent="0.45"/>
  <cols>
    <col min="1" max="1" width="18.53125" customWidth="1"/>
    <col min="3" max="3" width="9.46484375" customWidth="1"/>
    <col min="4" max="4" width="10.796875" customWidth="1"/>
    <col min="5" max="5" width="14.33203125" customWidth="1"/>
    <col min="7" max="7" width="16.53125" customWidth="1"/>
    <col min="8" max="9" width="10.46484375" customWidth="1"/>
    <col min="11" max="11" width="12.1328125" customWidth="1"/>
    <col min="12" max="12" width="13.1328125" customWidth="1"/>
  </cols>
  <sheetData>
    <row r="1" spans="1:12" ht="17.25" customHeight="1" x14ac:dyDescent="0.45">
      <c r="A1" s="65" t="s">
        <v>42</v>
      </c>
      <c r="B1" s="20" t="s">
        <v>3</v>
      </c>
      <c r="C1" s="67" t="s">
        <v>0</v>
      </c>
      <c r="D1" s="67"/>
      <c r="E1" s="67" t="s">
        <v>2</v>
      </c>
      <c r="F1" s="67"/>
      <c r="G1" s="20" t="s">
        <v>34</v>
      </c>
      <c r="K1" s="20" t="s">
        <v>38</v>
      </c>
      <c r="L1" s="20" t="s">
        <v>10</v>
      </c>
    </row>
    <row r="2" spans="1:12" ht="17.25" customHeight="1" x14ac:dyDescent="0.45">
      <c r="A2" s="66"/>
      <c r="B2" s="2"/>
      <c r="C2" s="68"/>
      <c r="D2" s="68"/>
      <c r="E2" s="68"/>
      <c r="F2" s="68"/>
      <c r="G2" s="1"/>
      <c r="K2" s="4" t="s">
        <v>9</v>
      </c>
      <c r="L2" s="4"/>
    </row>
    <row r="3" spans="1:12" ht="17.25" customHeight="1" x14ac:dyDescent="0.45">
      <c r="A3" s="20" t="s">
        <v>1</v>
      </c>
      <c r="B3" s="69" t="s">
        <v>4</v>
      </c>
      <c r="C3" s="70"/>
      <c r="D3" s="71"/>
      <c r="E3" s="69" t="s">
        <v>49</v>
      </c>
      <c r="F3" s="71"/>
      <c r="G3" s="20" t="s">
        <v>5</v>
      </c>
      <c r="K3" s="1" t="s">
        <v>11</v>
      </c>
      <c r="L3" s="1"/>
    </row>
    <row r="4" spans="1:12" ht="17.25" customHeight="1" x14ac:dyDescent="0.45">
      <c r="A4" s="1" t="s">
        <v>39</v>
      </c>
      <c r="B4" s="72"/>
      <c r="C4" s="72"/>
      <c r="D4" s="72"/>
      <c r="E4" s="68"/>
      <c r="F4" s="68"/>
      <c r="G4" s="1"/>
      <c r="K4" s="4" t="s">
        <v>12</v>
      </c>
      <c r="L4" s="4"/>
    </row>
    <row r="5" spans="1:12" ht="17.25" customHeight="1" x14ac:dyDescent="0.45">
      <c r="A5" s="20" t="s">
        <v>6</v>
      </c>
      <c r="B5" s="67" t="s">
        <v>7</v>
      </c>
      <c r="C5" s="67"/>
      <c r="D5" s="67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45">
      <c r="A6" s="3"/>
      <c r="B6" s="64" t="s">
        <v>18</v>
      </c>
      <c r="C6" s="64"/>
      <c r="D6" s="64"/>
      <c r="E6" s="4"/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45">
      <c r="A7" s="2"/>
      <c r="B7" s="68" t="s">
        <v>21</v>
      </c>
      <c r="C7" s="68"/>
      <c r="D7" s="68"/>
      <c r="E7" s="1"/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45">
      <c r="A8" s="3"/>
      <c r="B8" s="64" t="s">
        <v>19</v>
      </c>
      <c r="C8" s="64"/>
      <c r="D8" s="64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45">
      <c r="A9" s="2"/>
      <c r="B9" s="68" t="s">
        <v>20</v>
      </c>
      <c r="C9" s="68"/>
      <c r="D9" s="68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45">
      <c r="A10" s="3"/>
      <c r="B10" s="64" t="s">
        <v>24</v>
      </c>
      <c r="C10" s="64"/>
      <c r="D10" s="64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/>
    </row>
    <row r="11" spans="1:12" ht="17.25" customHeight="1" x14ac:dyDescent="0.45">
      <c r="A11" s="2"/>
      <c r="B11" s="68" t="s">
        <v>23</v>
      </c>
      <c r="C11" s="68"/>
      <c r="D11" s="68"/>
      <c r="E11" s="1"/>
      <c r="F11" s="16">
        <v>1</v>
      </c>
      <c r="G11" s="25" t="s">
        <v>45</v>
      </c>
      <c r="H11" s="28" t="str">
        <f>HYPERLINK("#G11",CHAR(128))</f>
        <v>€</v>
      </c>
    </row>
    <row r="12" spans="1:12" ht="17.25" customHeight="1" x14ac:dyDescent="0.45">
      <c r="A12" s="5"/>
      <c r="B12" s="64" t="s">
        <v>25</v>
      </c>
      <c r="C12" s="64"/>
      <c r="D12" s="64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ht="17.25" customHeight="1" x14ac:dyDescent="0.45">
      <c r="A13" s="2"/>
      <c r="B13" s="68" t="s">
        <v>26</v>
      </c>
      <c r="C13" s="68"/>
      <c r="D13" s="68"/>
      <c r="E13" s="1"/>
      <c r="F13" s="16">
        <v>1</v>
      </c>
      <c r="G13" s="25" t="s">
        <v>45</v>
      </c>
      <c r="H13" s="28" t="str">
        <f>HYPERLINK("#G13",CHAR(128))</f>
        <v>€</v>
      </c>
    </row>
    <row r="14" spans="1:12" ht="17.25" customHeight="1" x14ac:dyDescent="0.45">
      <c r="A14" s="5"/>
      <c r="B14" s="64" t="s">
        <v>27</v>
      </c>
      <c r="C14" s="64"/>
      <c r="D14" s="64"/>
      <c r="E14" s="4"/>
      <c r="F14" s="4">
        <v>1</v>
      </c>
      <c r="G14" s="25" t="s">
        <v>45</v>
      </c>
      <c r="H14" s="28" t="str">
        <f>HYPERLINK("#G14",CHAR(128))</f>
        <v>€</v>
      </c>
    </row>
    <row r="15" spans="1:12" ht="17.25" customHeight="1" x14ac:dyDescent="0.45">
      <c r="A15" s="2"/>
      <c r="B15" s="76"/>
      <c r="C15" s="76"/>
      <c r="D15" s="76"/>
      <c r="E15" s="1"/>
      <c r="F15" s="16"/>
      <c r="G15" s="16"/>
      <c r="H15" s="14"/>
    </row>
    <row r="16" spans="1:12" ht="17.25" customHeight="1" x14ac:dyDescent="0.45">
      <c r="A16" s="5"/>
      <c r="B16" s="64" t="s">
        <v>28</v>
      </c>
      <c r="C16" s="64"/>
      <c r="D16" s="64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4" ht="17.25" customHeight="1" x14ac:dyDescent="0.45">
      <c r="A17" s="2"/>
      <c r="B17" s="68" t="s">
        <v>22</v>
      </c>
      <c r="C17" s="68"/>
      <c r="D17" s="68"/>
      <c r="E17" s="1"/>
      <c r="F17" s="16">
        <v>1</v>
      </c>
      <c r="G17" s="25" t="s">
        <v>45</v>
      </c>
      <c r="H17" s="23" t="str">
        <f>HYPERLINK("#G17",CHAR(128))</f>
        <v>€</v>
      </c>
    </row>
    <row r="18" spans="1:14" ht="17.25" customHeight="1" x14ac:dyDescent="0.45">
      <c r="A18" s="5"/>
      <c r="B18" s="64" t="s">
        <v>29</v>
      </c>
      <c r="C18" s="64"/>
      <c r="D18" s="64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4" ht="17.25" customHeight="1" x14ac:dyDescent="0.45">
      <c r="A19" s="2"/>
      <c r="B19" s="68" t="s">
        <v>30</v>
      </c>
      <c r="C19" s="68"/>
      <c r="D19" s="68"/>
      <c r="E19" s="1"/>
      <c r="F19" s="16">
        <v>1</v>
      </c>
      <c r="G19" s="25" t="s">
        <v>45</v>
      </c>
      <c r="H19" s="23" t="str">
        <f>HYPERLINK("#G19",CHAR(128))</f>
        <v>€</v>
      </c>
    </row>
    <row r="20" spans="1:14" ht="17.25" customHeight="1" x14ac:dyDescent="0.45">
      <c r="A20" s="5"/>
      <c r="B20" s="73"/>
      <c r="C20" s="74"/>
      <c r="D20" s="75"/>
      <c r="E20" s="4"/>
      <c r="F20" s="4"/>
      <c r="G20" s="4"/>
      <c r="H20" s="14"/>
    </row>
    <row r="21" spans="1:14" x14ac:dyDescent="0.45">
      <c r="A21" s="2"/>
      <c r="B21" s="68" t="s">
        <v>33</v>
      </c>
      <c r="C21" s="68"/>
      <c r="D21" s="68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4" x14ac:dyDescent="0.45">
      <c r="A22" s="5"/>
      <c r="B22" s="64" t="s">
        <v>31</v>
      </c>
      <c r="C22" s="64"/>
      <c r="D22" s="64"/>
      <c r="E22" s="4"/>
      <c r="F22" s="4">
        <v>1</v>
      </c>
      <c r="G22" s="25" t="s">
        <v>45</v>
      </c>
      <c r="H22" s="23" t="str">
        <f>HYPERLINK("#G22",CHAR(128))</f>
        <v>€</v>
      </c>
      <c r="N22" s="2"/>
    </row>
    <row r="23" spans="1:14" x14ac:dyDescent="0.45">
      <c r="A23" s="2"/>
      <c r="B23" s="68" t="s">
        <v>48</v>
      </c>
      <c r="C23" s="68"/>
      <c r="D23" s="68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4" x14ac:dyDescent="0.45">
      <c r="A24" s="5"/>
      <c r="B24" s="64" t="s">
        <v>32</v>
      </c>
      <c r="C24" s="64"/>
      <c r="D24" s="64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4" x14ac:dyDescent="0.45">
      <c r="A25" s="2"/>
      <c r="B25" s="68"/>
      <c r="C25" s="68"/>
      <c r="D25" s="68"/>
      <c r="E25" s="1"/>
      <c r="F25" s="16"/>
      <c r="G25" s="16"/>
      <c r="H25" s="14"/>
      <c r="I25" s="12"/>
    </row>
    <row r="26" spans="1:14" x14ac:dyDescent="0.45">
      <c r="A26" s="5"/>
      <c r="B26" s="64" t="s">
        <v>37</v>
      </c>
      <c r="C26" s="64"/>
      <c r="D26" s="64"/>
      <c r="E26" s="4">
        <f>C2</f>
        <v>0</v>
      </c>
      <c r="F26" s="4">
        <v>1</v>
      </c>
      <c r="G26" s="25" t="s">
        <v>45</v>
      </c>
      <c r="H26" s="24" t="str">
        <f>HYPERLINK("#G26",CHAR(128))</f>
        <v>€</v>
      </c>
    </row>
    <row r="28" spans="1:14" x14ac:dyDescent="0.45">
      <c r="J28" s="18"/>
    </row>
    <row r="29" spans="1:14" x14ac:dyDescent="0.45">
      <c r="A29" s="20"/>
      <c r="B29" s="67" t="s">
        <v>50</v>
      </c>
      <c r="C29" s="67"/>
      <c r="D29" s="67"/>
      <c r="E29" s="20" t="s">
        <v>8</v>
      </c>
      <c r="F29" s="20" t="s">
        <v>35</v>
      </c>
      <c r="G29" s="21" t="s">
        <v>36</v>
      </c>
    </row>
    <row r="30" spans="1:14" x14ac:dyDescent="0.45">
      <c r="A30" s="3"/>
      <c r="B30" s="64"/>
      <c r="C30" s="64"/>
      <c r="D30" s="64"/>
      <c r="E30" s="4"/>
      <c r="F30" s="10">
        <v>1</v>
      </c>
      <c r="G30" s="17"/>
      <c r="H30" s="19" t="str">
        <f>HYPERLINK("#G30",CHAR(128))</f>
        <v>€</v>
      </c>
    </row>
    <row r="31" spans="1:14" x14ac:dyDescent="0.45">
      <c r="A31" s="2"/>
      <c r="B31" s="68"/>
      <c r="C31" s="68"/>
      <c r="D31" s="68"/>
      <c r="E31" s="1"/>
      <c r="F31" s="16">
        <v>1</v>
      </c>
      <c r="G31" s="26"/>
      <c r="H31" s="19" t="str">
        <f>HYPERLINK("#G31",CHAR(128))</f>
        <v>€</v>
      </c>
    </row>
    <row r="32" spans="1:14" x14ac:dyDescent="0.45">
      <c r="A32" s="3"/>
      <c r="B32" s="64"/>
      <c r="C32" s="64"/>
      <c r="D32" s="64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68"/>
      <c r="C33" s="68"/>
      <c r="D33" s="68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64"/>
      <c r="C34" s="64"/>
      <c r="D34" s="64"/>
      <c r="E34" s="4"/>
      <c r="F34" s="4">
        <v>1</v>
      </c>
      <c r="G34" s="27"/>
      <c r="H34" s="19" t="str">
        <f>HYPERLINK("#G34",CHAR(128))</f>
        <v>€</v>
      </c>
    </row>
    <row r="37" spans="1:8" x14ac:dyDescent="0.45">
      <c r="A37" s="40" t="s">
        <v>40</v>
      </c>
      <c r="B37" s="40" t="s">
        <v>7</v>
      </c>
      <c r="C37" s="40" t="s">
        <v>65</v>
      </c>
      <c r="D37" s="40" t="s">
        <v>66</v>
      </c>
    </row>
    <row r="38" spans="1:8" x14ac:dyDescent="0.45">
      <c r="A38" s="40"/>
      <c r="B38" s="40"/>
      <c r="C38" s="40"/>
      <c r="D38" s="40"/>
    </row>
  </sheetData>
  <mergeCells count="37">
    <mergeCell ref="B31:D31"/>
    <mergeCell ref="B32:D32"/>
    <mergeCell ref="B33:D33"/>
    <mergeCell ref="B34:D34"/>
    <mergeCell ref="B23:D23"/>
    <mergeCell ref="B24:D24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E1:F1"/>
    <mergeCell ref="C2:D2"/>
    <mergeCell ref="E2:F2"/>
    <mergeCell ref="B3:D3"/>
    <mergeCell ref="B4:D4"/>
    <mergeCell ref="E3:F3"/>
    <mergeCell ref="E4:F4"/>
  </mergeCells>
  <conditionalFormatting sqref="G6:G14 G21:G26 G16:G19">
    <cfRule type="cellIs" dxfId="8" priority="2" operator="equal">
      <formula>"Returned"</formula>
    </cfRule>
    <cfRule type="cellIs" dxfId="7" priority="12" operator="equal">
      <formula>"Ready To Order"</formula>
    </cfRule>
    <cfRule type="cellIs" dxfId="6" priority="13" operator="equal">
      <formula>"UNP"</formula>
    </cfRule>
    <cfRule type="containsText" dxfId="5" priority="14" operator="containsText" text="Ordered">
      <formula>NOT(ISERROR(SEARCH("Ordered",G6)))</formula>
    </cfRule>
    <cfRule type="containsText" dxfId="4" priority="15" operator="containsText" text="Pick Up">
      <formula>NOT(ISERROR(SEARCH("Pick Up",G6)))</formula>
    </cfRule>
    <cfRule type="containsText" dxfId="3" priority="16" operator="containsText" text="Complete">
      <formula>NOT(ISERROR(SEARCH("Complete",G6)))</formula>
    </cfRule>
  </conditionalFormatting>
  <conditionalFormatting sqref="G30:G33">
    <cfRule type="containsText" dxfId="2" priority="4" operator="containsText" text="Given">
      <formula>NOT(ISERROR(SEARCH("Given",G30)))</formula>
    </cfRule>
  </conditionalFormatting>
  <conditionalFormatting sqref="G30:G34">
    <cfRule type="containsText" dxfId="1" priority="3" operator="containsText" text="Returned">
      <formula>NOT(ISERROR(SEARCH("Returned",G30)))</formula>
    </cfRule>
  </conditionalFormatting>
  <conditionalFormatting sqref="G6:G14 G21:G26 G16:G19">
    <cfRule type="cellIs" dxfId="0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2" r:id="rId3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5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6" name="Button 12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7" name="Button 13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Menu</vt:lpstr>
      <vt:lpstr>Importing</vt:lpstr>
      <vt:lpstr>Pickup</vt:lpstr>
      <vt:lpstr>Master</vt:lpstr>
      <vt:lpstr>Charlie_Clark_74CD899D</vt:lpstr>
      <vt:lpstr>Isabella_Taylor_D098F288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luhan ma</cp:lastModifiedBy>
  <cp:lastPrinted>2023-12-28T05:00:54Z</cp:lastPrinted>
  <dcterms:created xsi:type="dcterms:W3CDTF">2023-08-20T19:28:09Z</dcterms:created>
  <dcterms:modified xsi:type="dcterms:W3CDTF">2024-01-09T00:44:55Z</dcterms:modified>
</cp:coreProperties>
</file>