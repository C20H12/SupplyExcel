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tables/table4.xml" ContentType="application/vnd.openxmlformats-officedocument.spreadsheetml.table+xml"/>
  <Override PartName="/xl/drawings/drawing7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tables/table5.xml" ContentType="application/vnd.openxmlformats-officedocument.spreadsheetml.table+xml"/>
  <Override PartName="/xl/drawings/drawing8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tables/table6.xml" ContentType="application/vnd.openxmlformats-officedocument.spreadsheetml.table+xml"/>
  <Override PartName="/xl/drawings/drawing9.xml" ContentType="application/vnd.openxmlformats-officedocument.drawing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tables/table7.xml" ContentType="application/vnd.openxmlformats-officedocument.spreadsheetml.table+xml"/>
  <Override PartName="/xl/drawings/drawing10.xml" ContentType="application/vnd.openxmlformats-officedocument.drawing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tables/table8.xml" ContentType="application/vnd.openxmlformats-officedocument.spreadsheetml.table+xml"/>
  <Override PartName="/xl/drawings/drawing11.xml" ContentType="application/vnd.openxmlformats-officedocument.drawing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126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a7a2fd30cf77674c/Desktop/Coding/Supply Excel Github/SupplyExcel/"/>
    </mc:Choice>
  </mc:AlternateContent>
  <xr:revisionPtr revIDLastSave="10748" documentId="13_ncr:1_{BD7FF360-0CFF-47F0-8534-9472465C0534}" xr6:coauthVersionLast="47" xr6:coauthVersionMax="47" xr10:uidLastSave="{72D68222-2C2B-4617-94D6-BBE41EB7C596}"/>
  <bookViews>
    <workbookView xWindow="28680" yWindow="-120" windowWidth="29040" windowHeight="15720" tabRatio="856" activeTab="3" xr2:uid="{01218C0E-FF84-42AC-8993-DD76AC11461D}"/>
  </bookViews>
  <sheets>
    <sheet name="Menu" sheetId="48" r:id="rId1"/>
    <sheet name="Importing" sheetId="124" r:id="rId2"/>
    <sheet name="Pickup" sheetId="181" r:id="rId3"/>
    <sheet name="Master" sheetId="227" r:id="rId4"/>
    <sheet name="Import Sheets" sheetId="248" r:id="rId5"/>
    <sheet name="Charlie_Clark_74CD899D" sheetId="246" r:id="rId6"/>
    <sheet name="Isabella_Taylor_D098F288" sheetId="247" r:id="rId7"/>
    <sheet name="Banks_Rob_B4DD32A8" sheetId="249" r:id="rId8"/>
    <sheet name="Rophone_Mike_747A9E83" sheetId="250" r:id="rId9"/>
    <sheet name="Christ_Jesus_87519091" sheetId="251" r:id="rId10"/>
    <sheet name="Rhea_Dia_A5D0E0B7" sheetId="252" r:id="rId11"/>
    <sheet name="Template" sheetId="1" r:id="rId1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4" i="252" l="1"/>
  <c r="H33" i="252"/>
  <c r="H32" i="252"/>
  <c r="H31" i="252"/>
  <c r="H30" i="252"/>
  <c r="H26" i="252"/>
  <c r="E26" i="252"/>
  <c r="H24" i="252"/>
  <c r="H23" i="252"/>
  <c r="H22" i="252"/>
  <c r="H21" i="252"/>
  <c r="H19" i="252"/>
  <c r="H18" i="252"/>
  <c r="H17" i="252"/>
  <c r="H16" i="252"/>
  <c r="H14" i="252"/>
  <c r="H13" i="252"/>
  <c r="H12" i="252"/>
  <c r="H11" i="252"/>
  <c r="H10" i="252"/>
  <c r="H9" i="252"/>
  <c r="H8" i="252"/>
  <c r="H7" i="252"/>
  <c r="H6" i="252"/>
  <c r="H34" i="251"/>
  <c r="H33" i="251"/>
  <c r="H32" i="251"/>
  <c r="H31" i="251"/>
  <c r="H30" i="251"/>
  <c r="H26" i="251"/>
  <c r="E26" i="251"/>
  <c r="H24" i="251"/>
  <c r="H23" i="251"/>
  <c r="H22" i="251"/>
  <c r="H21" i="251"/>
  <c r="H19" i="251"/>
  <c r="H18" i="251"/>
  <c r="H17" i="251"/>
  <c r="H16" i="251"/>
  <c r="H14" i="251"/>
  <c r="H13" i="251"/>
  <c r="H12" i="251"/>
  <c r="H11" i="251"/>
  <c r="H10" i="251"/>
  <c r="H9" i="251"/>
  <c r="H8" i="251"/>
  <c r="H7" i="251"/>
  <c r="H6" i="251"/>
  <c r="H34" i="250"/>
  <c r="H33" i="250"/>
  <c r="H32" i="250"/>
  <c r="H31" i="250"/>
  <c r="H30" i="250"/>
  <c r="H26" i="250"/>
  <c r="E26" i="250"/>
  <c r="H24" i="250"/>
  <c r="H23" i="250"/>
  <c r="H22" i="250"/>
  <c r="H21" i="250"/>
  <c r="H19" i="250"/>
  <c r="H18" i="250"/>
  <c r="H17" i="250"/>
  <c r="H16" i="250"/>
  <c r="H14" i="250"/>
  <c r="H13" i="250"/>
  <c r="H12" i="250"/>
  <c r="H11" i="250"/>
  <c r="H10" i="250"/>
  <c r="H9" i="250"/>
  <c r="H8" i="250"/>
  <c r="H7" i="250"/>
  <c r="H6" i="250"/>
  <c r="H34" i="249"/>
  <c r="H33" i="249"/>
  <c r="H32" i="249"/>
  <c r="H31" i="249"/>
  <c r="H30" i="249"/>
  <c r="H26" i="249"/>
  <c r="E26" i="249"/>
  <c r="H24" i="249"/>
  <c r="H23" i="249"/>
  <c r="H22" i="249"/>
  <c r="H21" i="249"/>
  <c r="H19" i="249"/>
  <c r="H18" i="249"/>
  <c r="H17" i="249"/>
  <c r="H16" i="249"/>
  <c r="H14" i="249"/>
  <c r="H13" i="249"/>
  <c r="H12" i="249"/>
  <c r="H11" i="249"/>
  <c r="H10" i="249"/>
  <c r="H9" i="249"/>
  <c r="H8" i="249"/>
  <c r="H7" i="249"/>
  <c r="H6" i="249"/>
  <c r="H34" i="247" l="1"/>
  <c r="H33" i="247"/>
  <c r="H32" i="247"/>
  <c r="H31" i="247"/>
  <c r="H30" i="247"/>
  <c r="H26" i="247"/>
  <c r="E26" i="247"/>
  <c r="H24" i="247"/>
  <c r="H23" i="247"/>
  <c r="H22" i="247"/>
  <c r="H21" i="247"/>
  <c r="H19" i="247"/>
  <c r="H18" i="247"/>
  <c r="H17" i="247"/>
  <c r="H16" i="247"/>
  <c r="H14" i="247"/>
  <c r="H13" i="247"/>
  <c r="H12" i="247"/>
  <c r="H11" i="247"/>
  <c r="H10" i="247"/>
  <c r="H9" i="247"/>
  <c r="H8" i="247"/>
  <c r="H7" i="247"/>
  <c r="H6" i="247"/>
  <c r="H34" i="246"/>
  <c r="H33" i="246"/>
  <c r="H32" i="246"/>
  <c r="H31" i="246"/>
  <c r="H30" i="246"/>
  <c r="H26" i="246"/>
  <c r="E26" i="246"/>
  <c r="H24" i="246"/>
  <c r="H23" i="246"/>
  <c r="H22" i="246"/>
  <c r="H21" i="246"/>
  <c r="H19" i="246"/>
  <c r="H18" i="246"/>
  <c r="H17" i="246"/>
  <c r="H16" i="246"/>
  <c r="H14" i="246"/>
  <c r="H13" i="246"/>
  <c r="H12" i="246"/>
  <c r="H11" i="246"/>
  <c r="H10" i="246"/>
  <c r="H9" i="246"/>
  <c r="H8" i="246"/>
  <c r="H7" i="246"/>
  <c r="H6" i="246"/>
  <c r="E26" i="1" l="1"/>
  <c r="H14" i="1"/>
  <c r="H13" i="1"/>
  <c r="H12" i="1"/>
  <c r="H11" i="1"/>
  <c r="H10" i="1"/>
  <c r="H9" i="1"/>
  <c r="H8" i="1"/>
  <c r="H7" i="1"/>
  <c r="H6" i="1"/>
  <c r="H34" i="1"/>
  <c r="H33" i="1"/>
  <c r="H32" i="1"/>
  <c r="H31" i="1"/>
  <c r="H30" i="1"/>
  <c r="H22" i="1"/>
  <c r="H21" i="1"/>
  <c r="H19" i="1"/>
  <c r="H18" i="1"/>
  <c r="H17" i="1"/>
  <c r="H16" i="1"/>
  <c r="H26" i="1"/>
  <c r="H24" i="1"/>
  <c r="H23" i="1"/>
</calcChain>
</file>

<file path=xl/sharedStrings.xml><?xml version="1.0" encoding="utf-8"?>
<sst xmlns="http://schemas.openxmlformats.org/spreadsheetml/2006/main" count="1006" uniqueCount="196">
  <si>
    <t>Surname</t>
  </si>
  <si>
    <t>Unit</t>
  </si>
  <si>
    <t>First Name</t>
  </si>
  <si>
    <t>Rank</t>
  </si>
  <si>
    <t>Telephone Number</t>
  </si>
  <si>
    <t>Gender</t>
  </si>
  <si>
    <t>Stock Number</t>
  </si>
  <si>
    <t>Item</t>
  </si>
  <si>
    <t>Size</t>
  </si>
  <si>
    <t>Head</t>
  </si>
  <si>
    <t>Size(inches)</t>
  </si>
  <si>
    <t>Neck</t>
  </si>
  <si>
    <t>Chest</t>
  </si>
  <si>
    <t>Waist</t>
  </si>
  <si>
    <t>Hips</t>
  </si>
  <si>
    <t>Height</t>
  </si>
  <si>
    <t>Foot Length</t>
  </si>
  <si>
    <t>Foot Width</t>
  </si>
  <si>
    <t>Tunic</t>
  </si>
  <si>
    <t>T-Shirt</t>
  </si>
  <si>
    <t>Dress Pants</t>
  </si>
  <si>
    <t>Collar Shirt</t>
  </si>
  <si>
    <t>Tilly</t>
  </si>
  <si>
    <t>Tie</t>
  </si>
  <si>
    <t>Wedge</t>
  </si>
  <si>
    <t>Belt</t>
  </si>
  <si>
    <t>Socks</t>
  </si>
  <si>
    <t>Leather Boots</t>
  </si>
  <si>
    <t>Toque</t>
  </si>
  <si>
    <t>Parka</t>
  </si>
  <si>
    <t>Gloves</t>
  </si>
  <si>
    <t>FTU Tunic</t>
  </si>
  <si>
    <t>FTU Boots</t>
  </si>
  <si>
    <t>Beret</t>
  </si>
  <si>
    <t>Code</t>
  </si>
  <si>
    <t>Quantity</t>
  </si>
  <si>
    <t>Status</t>
  </si>
  <si>
    <t>Nametag</t>
  </si>
  <si>
    <t>Type</t>
  </si>
  <si>
    <t>918 Griffons RCACS</t>
  </si>
  <si>
    <t>Date</t>
  </si>
  <si>
    <t>ID</t>
  </si>
  <si>
    <t>Back to Menu</t>
  </si>
  <si>
    <t>FSgt</t>
  </si>
  <si>
    <t>Male</t>
  </si>
  <si>
    <t>UNP</t>
  </si>
  <si>
    <t>8405-21-907-9466</t>
  </si>
  <si>
    <t>Hand Length</t>
  </si>
  <si>
    <t>FTU Pants</t>
  </si>
  <si>
    <t>Email</t>
  </si>
  <si>
    <t>Extra Items</t>
  </si>
  <si>
    <t>UNI</t>
  </si>
  <si>
    <t>Jesus@hotmail.com</t>
  </si>
  <si>
    <t>Last Name</t>
  </si>
  <si>
    <t>Is Male</t>
  </si>
  <si>
    <t>Hip</t>
  </si>
  <si>
    <t>Foot Len</t>
  </si>
  <si>
    <t>Foot Wid</t>
  </si>
  <si>
    <t>XXL</t>
  </si>
  <si>
    <t>Hand</t>
  </si>
  <si>
    <t>R (50 inch)</t>
  </si>
  <si>
    <t>8440-21-905-7384</t>
  </si>
  <si>
    <t>Name</t>
  </si>
  <si>
    <t>In Stock</t>
  </si>
  <si>
    <t xml:space="preserve"> </t>
  </si>
  <si>
    <t>Old Size</t>
  </si>
  <si>
    <t>New Size</t>
  </si>
  <si>
    <t>4XL</t>
  </si>
  <si>
    <t>1000-21-264-2550</t>
  </si>
  <si>
    <t>Pick Up</t>
  </si>
  <si>
    <t>XL/TG</t>
  </si>
  <si>
    <t>8440-20-006-6068</t>
  </si>
  <si>
    <t>(JR / JR)</t>
  </si>
  <si>
    <t>8415-20-006-8915</t>
  </si>
  <si>
    <t>XL (60 inch)</t>
  </si>
  <si>
    <t>8405-20-001-1049</t>
  </si>
  <si>
    <t>L</t>
  </si>
  <si>
    <t>8420-20-001-0734</t>
  </si>
  <si>
    <t>Female</t>
  </si>
  <si>
    <t>36 M</t>
  </si>
  <si>
    <t>1000-21-165-3600</t>
  </si>
  <si>
    <t>XS</t>
  </si>
  <si>
    <t>Complete</t>
  </si>
  <si>
    <t>Toggle Done</t>
  </si>
  <si>
    <t xml:space="preserve">In Stock </t>
  </si>
  <si>
    <t>Ready To Order</t>
  </si>
  <si>
    <t>Ordered</t>
  </si>
  <si>
    <t>Returned</t>
  </si>
  <si>
    <t>Leave Blank</t>
  </si>
  <si>
    <t>Leave Blank2</t>
  </si>
  <si>
    <t>Taylor</t>
  </si>
  <si>
    <t>8420-20-001-0731</t>
  </si>
  <si>
    <t>8405-20-003-5837</t>
  </si>
  <si>
    <t>320/126</t>
  </si>
  <si>
    <t>8430-20-006-2569</t>
  </si>
  <si>
    <t>8405-21-920-7275</t>
  </si>
  <si>
    <t>3XL</t>
  </si>
  <si>
    <t>1000-21-215-7662</t>
  </si>
  <si>
    <t>L (56 inch)</t>
  </si>
  <si>
    <t>8440-21-899-1182</t>
  </si>
  <si>
    <t>Column3</t>
  </si>
  <si>
    <t>NameTag</t>
  </si>
  <si>
    <t>8405-20-013-1465</t>
  </si>
  <si>
    <t>Charlie</t>
  </si>
  <si>
    <t>Not Done</t>
  </si>
  <si>
    <t>In Progress</t>
  </si>
  <si>
    <t>Done</t>
  </si>
  <si>
    <t>Name Colors:</t>
  </si>
  <si>
    <t>Clark</t>
  </si>
  <si>
    <t>74CD899D</t>
  </si>
  <si>
    <t>8405-21-910-8155</t>
  </si>
  <si>
    <t>16-1/2</t>
  </si>
  <si>
    <t>8405-20-001-4512</t>
  </si>
  <si>
    <t>1000-21-070-7058</t>
  </si>
  <si>
    <t>8405-20-004-7489</t>
  </si>
  <si>
    <t>Clark, Charlie</t>
  </si>
  <si>
    <t>Isabella</t>
  </si>
  <si>
    <t>D098F288</t>
  </si>
  <si>
    <t>1000-21-059-8040</t>
  </si>
  <si>
    <t>8405-21-920-7099</t>
  </si>
  <si>
    <t>8405-20-004-7500</t>
  </si>
  <si>
    <t>16D</t>
  </si>
  <si>
    <t>8430-20-A0X-9353</t>
  </si>
  <si>
    <t>Taylor, Isabella</t>
  </si>
  <si>
    <t>UNP, In Stock</t>
  </si>
  <si>
    <t>Cadet Last Name</t>
  </si>
  <si>
    <t>Cadet First Name</t>
  </si>
  <si>
    <t>Male/Female clothing type</t>
  </si>
  <si>
    <t>M Pants</t>
  </si>
  <si>
    <t>F Pants</t>
  </si>
  <si>
    <t>M Shirt</t>
  </si>
  <si>
    <t>F Shirt</t>
  </si>
  <si>
    <t>TShirt</t>
  </si>
  <si>
    <t>Pant Belt</t>
  </si>
  <si>
    <t>Boots</t>
  </si>
  <si>
    <t>FTU Shirt</t>
  </si>
  <si>
    <t>M</t>
  </si>
  <si>
    <t>Reg</t>
  </si>
  <si>
    <t>?</t>
  </si>
  <si>
    <t>Measure</t>
  </si>
  <si>
    <t>S/M</t>
  </si>
  <si>
    <t>XL</t>
  </si>
  <si>
    <t>X-Long</t>
  </si>
  <si>
    <t>L/XL</t>
  </si>
  <si>
    <t>S</t>
  </si>
  <si>
    <t>Short</t>
  </si>
  <si>
    <t>265/96</t>
  </si>
  <si>
    <t>Rob</t>
  </si>
  <si>
    <t>Banks</t>
  </si>
  <si>
    <t>Mike</t>
  </si>
  <si>
    <t>Rophone</t>
  </si>
  <si>
    <t>Jesus</t>
  </si>
  <si>
    <t>Christ</t>
  </si>
  <si>
    <t>Dia</t>
  </si>
  <si>
    <t>Rhea</t>
  </si>
  <si>
    <t>AC</t>
  </si>
  <si>
    <t>B4DD32A8</t>
  </si>
  <si>
    <t>8405-21-905-7822</t>
  </si>
  <si>
    <t>8405-20-001-4510</t>
  </si>
  <si>
    <t>8420-20-001-0730</t>
  </si>
  <si>
    <t>8405-21-909-2448</t>
  </si>
  <si>
    <t>8405-20-003-5842</t>
  </si>
  <si>
    <t>Invalid</t>
  </si>
  <si>
    <t>8405-21-920-7277</t>
  </si>
  <si>
    <t>8405-21-920-7094</t>
  </si>
  <si>
    <t>8405-20-013-1472</t>
  </si>
  <si>
    <t>8405-20-004-7486</t>
  </si>
  <si>
    <t>8405-20-004-7510</t>
  </si>
  <si>
    <t>747A9E83</t>
  </si>
  <si>
    <t>1000-21-059-8046</t>
  </si>
  <si>
    <t>8420-20-001-0732</t>
  </si>
  <si>
    <t>8405-21-909-2424</t>
  </si>
  <si>
    <t>8405-21-920-7280</t>
  </si>
  <si>
    <t>8405-21-920-7100</t>
  </si>
  <si>
    <t>8405-20-004-7502</t>
  </si>
  <si>
    <t>8405-20-004-7526</t>
  </si>
  <si>
    <t>8405-20-001-4538</t>
  </si>
  <si>
    <t>8405-21-909-2390</t>
  </si>
  <si>
    <t>8405-21-920-7092</t>
  </si>
  <si>
    <t>8405-20-004-7485</t>
  </si>
  <si>
    <t>8405-20-004-7507</t>
  </si>
  <si>
    <t>A5D0E0B7</t>
  </si>
  <si>
    <t>8405-21-905-7817</t>
  </si>
  <si>
    <t>8405-20-001-4501</t>
  </si>
  <si>
    <t>8420-20-001-0728</t>
  </si>
  <si>
    <t>8405-21-909-2441</t>
  </si>
  <si>
    <t>8440-20-006-6070</t>
  </si>
  <si>
    <t>8430-20-006-2534</t>
  </si>
  <si>
    <t>8405-21-920-7090</t>
  </si>
  <si>
    <t>8405-20-004-7483</t>
  </si>
  <si>
    <t>UNP, In Stock, Ordered</t>
  </si>
  <si>
    <t>UNP, In Stock, Pick Up, Ordered</t>
  </si>
  <si>
    <t>Dia, Rhea</t>
  </si>
  <si>
    <t>Rob, Banks</t>
  </si>
  <si>
    <t>Mike, Rophone</t>
  </si>
  <si>
    <t>Jesus, Christ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</si>
</sst>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###\-###\-####"/>
    <numFmt numFmtId="165" formatCode="yyyy/mm/d\ h:mm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 tint="4.9989318521683403E-2"/>
      <name val="Calibri"/>
      <family val="2"/>
      <scheme val="minor"/>
    </font>
    <font>
      <b/>
      <sz val="11"/>
      <color theme="1" tint="4.9989318521683403E-2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sz val="8"/>
      <color theme="1"/>
      <name val="Calibri"/>
      <family val="2"/>
      <scheme val="minor"/>
    </font>
    <font>
      <sz val="8"/>
      <color theme="2" tint="-0.499984740745262"/>
      <name val="Wingdings 3"/>
      <family val="1"/>
      <charset val="2"/>
    </font>
    <font>
      <sz val="10"/>
      <color theme="2" tint="-0.499984740745262"/>
      <name val="Wingdings 3"/>
      <family val="1"/>
      <charset val="2"/>
    </font>
    <font>
      <sz val="11"/>
      <color theme="2" tint="-0.499984740745262"/>
      <name val="Wingdings 3"/>
      <family val="1"/>
      <charset val="2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8"/>
      <color theme="1"/>
      <name val="Arial"/>
      <family val="2"/>
    </font>
    <font>
      <sz val="8"/>
      <color theme="1"/>
      <name val="Arial"/>
      <family val="2"/>
    </font>
  </fonts>
  <fills count="22">
    <fill>
      <patternFill patternType="none"/>
    </fill>
    <fill>
      <patternFill patternType="gray125"/>
    </fill>
    <fill>
      <patternFill patternType="solid">
        <fgColor theme="6" tint="0.79998168889431442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2"/>
        <bgColor indexed="64"/>
      </patternFill>
    </fill>
    <fill>
      <gradientFill degree="90">
        <stop position="0">
          <color theme="0"/>
        </stop>
        <stop position="1">
          <color rgb="FFCADDEC"/>
        </stop>
      </gradient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BA3FB"/>
        <bgColor indexed="64"/>
      </patternFill>
    </fill>
    <fill>
      <patternFill patternType="solid">
        <fgColor rgb="FFFF7575"/>
        <bgColor indexed="64"/>
      </patternFill>
    </fill>
    <fill>
      <patternFill patternType="solid">
        <fgColor rgb="FF9BC2E6"/>
        <bgColor indexed="64"/>
      </patternFill>
    </fill>
    <fill>
      <patternFill patternType="solid">
        <fgColor rgb="FFFC8888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8CFF8C"/>
        <bgColor indexed="64"/>
      </patternFill>
    </fill>
    <fill>
      <patternFill patternType="solid">
        <fgColor rgb="FFFDEA5D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B0FFB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theme="2" tint="-0.24994659260841701"/>
      </right>
      <top style="thin">
        <color theme="2" tint="-0.24994659260841701"/>
      </top>
      <bottom/>
      <diagonal/>
    </border>
    <border>
      <left/>
      <right style="thin">
        <color theme="2" tint="-0.24994659260841701"/>
      </right>
      <top/>
      <bottom/>
      <diagonal/>
    </border>
    <border>
      <left/>
      <right style="thin">
        <color theme="2" tint="-0.24994659260841701"/>
      </right>
      <top/>
      <bottom style="thin">
        <color theme="2" tint="-0.24994659260841701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2" fillId="0" borderId="0" applyNumberFormat="0" applyFill="0" applyBorder="0" applyAlignment="0" applyProtection="0"/>
  </cellStyleXfs>
  <cellXfs count="95">
    <xf numFmtId="0" fontId="0" fillId="0" borderId="0" xfId="0"/>
    <xf numFmtId="0" fontId="0" fillId="0" borderId="1" xfId="0" applyBorder="1" applyAlignment="1">
      <alignment horizontal="center"/>
    </xf>
    <xf numFmtId="0" fontId="0" fillId="0" borderId="1" xfId="0" applyBorder="1"/>
    <xf numFmtId="0" fontId="1" fillId="2" borderId="1" xfId="1" applyBorder="1" applyAlignment="1"/>
    <xf numFmtId="0" fontId="1" fillId="2" borderId="1" xfId="1" applyBorder="1" applyAlignment="1">
      <alignment horizontal="center"/>
    </xf>
    <xf numFmtId="0" fontId="1" fillId="2" borderId="1" xfId="1" applyBorder="1"/>
    <xf numFmtId="0" fontId="3" fillId="3" borderId="7" xfId="2" applyFont="1" applyBorder="1" applyAlignment="1">
      <alignment horizontal="center" vertical="center"/>
    </xf>
    <xf numFmtId="0" fontId="4" fillId="3" borderId="3" xfId="2" applyFont="1" applyBorder="1" applyAlignment="1">
      <alignment horizontal="center" vertical="center"/>
    </xf>
    <xf numFmtId="12" fontId="1" fillId="2" borderId="1" xfId="1" applyNumberFormat="1" applyBorder="1" applyAlignment="1">
      <alignment horizontal="center"/>
    </xf>
    <xf numFmtId="12" fontId="0" fillId="0" borderId="1" xfId="0" applyNumberFormat="1" applyBorder="1" applyAlignment="1">
      <alignment horizontal="center"/>
    </xf>
    <xf numFmtId="0" fontId="1" fillId="2" borderId="4" xfId="1" applyBorder="1" applyAlignment="1">
      <alignment horizontal="center"/>
    </xf>
    <xf numFmtId="0" fontId="7" fillId="0" borderId="0" xfId="0" applyFont="1"/>
    <xf numFmtId="0" fontId="10" fillId="0" borderId="0" xfId="0" applyFont="1"/>
    <xf numFmtId="0" fontId="3" fillId="3" borderId="1" xfId="2" applyFont="1" applyBorder="1" applyAlignment="1">
      <alignment horizontal="center" vertical="center"/>
    </xf>
    <xf numFmtId="0" fontId="8" fillId="0" borderId="0" xfId="3" applyFont="1" applyBorder="1" applyAlignment="1">
      <alignment horizontal="center" vertical="center"/>
    </xf>
    <xf numFmtId="0" fontId="0" fillId="4" borderId="1" xfId="0" applyFill="1" applyBorder="1" applyAlignment="1">
      <alignment horizontal="center"/>
    </xf>
    <xf numFmtId="0" fontId="1" fillId="7" borderId="1" xfId="1" applyFill="1" applyBorder="1" applyAlignment="1">
      <alignment horizontal="center"/>
    </xf>
    <xf numFmtId="0" fontId="1" fillId="4" borderId="1" xfId="1" applyFill="1" applyBorder="1" applyAlignment="1">
      <alignment horizontal="center"/>
    </xf>
    <xf numFmtId="0" fontId="11" fillId="0" borderId="0" xfId="0" applyFont="1"/>
    <xf numFmtId="0" fontId="10" fillId="5" borderId="0" xfId="3" applyFont="1" applyFill="1" applyBorder="1" applyAlignment="1">
      <alignment horizontal="center" vertical="center"/>
    </xf>
    <xf numFmtId="0" fontId="12" fillId="3" borderId="1" xfId="2" applyFont="1" applyBorder="1" applyAlignment="1">
      <alignment horizontal="center"/>
    </xf>
    <xf numFmtId="0" fontId="12" fillId="3" borderId="9" xfId="2" applyFont="1" applyBorder="1" applyAlignment="1">
      <alignment horizontal="center"/>
    </xf>
    <xf numFmtId="0" fontId="9" fillId="5" borderId="11" xfId="3" applyFont="1" applyFill="1" applyBorder="1" applyAlignment="1">
      <alignment horizontal="center" vertical="center"/>
    </xf>
    <xf numFmtId="0" fontId="10" fillId="5" borderId="11" xfId="3" applyFont="1" applyFill="1" applyBorder="1" applyAlignment="1">
      <alignment horizontal="center" vertical="center"/>
    </xf>
    <xf numFmtId="0" fontId="9" fillId="5" borderId="12" xfId="3" applyFont="1" applyFill="1" applyBorder="1" applyAlignment="1">
      <alignment horizontal="center" vertical="center"/>
    </xf>
    <xf numFmtId="0" fontId="1" fillId="6" borderId="1" xfId="1" applyFill="1" applyBorder="1" applyAlignment="1">
      <alignment horizontal="center"/>
    </xf>
    <xf numFmtId="0" fontId="3" fillId="7" borderId="1" xfId="1" applyFont="1" applyFill="1" applyBorder="1" applyAlignment="1">
      <alignment horizontal="center"/>
    </xf>
    <xf numFmtId="0" fontId="3" fillId="2" borderId="1" xfId="1" applyFont="1" applyBorder="1" applyAlignment="1">
      <alignment horizontal="center"/>
    </xf>
    <xf numFmtId="0" fontId="10" fillId="5" borderId="10" xfId="3" applyFont="1" applyFill="1" applyBorder="1" applyAlignment="1">
      <alignment horizontal="center" vertical="center"/>
    </xf>
    <xf numFmtId="0" fontId="3" fillId="3" borderId="1" xfId="2" applyFont="1" applyBorder="1" applyAlignment="1">
      <alignment horizontal="center" vertical="center" wrapText="1"/>
    </xf>
    <xf numFmtId="0" fontId="5" fillId="0" borderId="9" xfId="3" applyFont="1" applyBorder="1" applyAlignment="1">
      <alignment horizontal="center" vertical="center"/>
    </xf>
    <xf numFmtId="0" fontId="5" fillId="0" borderId="9" xfId="3" applyFont="1" applyBorder="1" applyAlignment="1">
      <alignment horizontal="center" vertical="center" wrapText="1"/>
    </xf>
    <xf numFmtId="0" fontId="0" fillId="9" borderId="0" xfId="0" applyFill="1"/>
    <xf numFmtId="0" fontId="12" fillId="8" borderId="0" xfId="0" applyFont="1" applyFill="1" applyAlignment="1">
      <alignment horizontal="center" vertical="center"/>
    </xf>
    <xf numFmtId="0" fontId="12" fillId="9" borderId="0" xfId="0" applyFont="1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2" fillId="0" borderId="0" xfId="3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1" borderId="0" xfId="0" applyFill="1"/>
    <xf numFmtId="0" fontId="0" fillId="16" borderId="0" xfId="0" applyFill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2" fillId="13" borderId="0" xfId="3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0" fillId="18" borderId="0" xfId="0" applyFill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5" fillId="0" borderId="1" xfId="3" applyFont="1" applyBorder="1" applyAlignment="1">
      <alignment horizontal="center" vertical="center"/>
    </xf>
    <xf numFmtId="0" fontId="5" fillId="0" borderId="7" xfId="3" applyFont="1" applyBorder="1" applyAlignment="1">
      <alignment horizontal="center" vertical="center"/>
    </xf>
    <xf numFmtId="0" fontId="5" fillId="0" borderId="13" xfId="3" applyFont="1" applyBorder="1" applyAlignment="1">
      <alignment horizontal="center" vertical="center" wrapText="1"/>
    </xf>
    <xf numFmtId="165" fontId="0" fillId="0" borderId="7" xfId="0" applyNumberForma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2" fillId="0" borderId="8" xfId="3" applyFill="1" applyBorder="1" applyAlignment="1">
      <alignment horizontal="center" vertical="center"/>
    </xf>
    <xf numFmtId="165" fontId="0" fillId="0" borderId="9" xfId="0" applyNumberForma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2" fillId="0" borderId="3" xfId="3" applyFill="1" applyBorder="1" applyAlignment="1">
      <alignment horizontal="center" vertical="center"/>
    </xf>
    <xf numFmtId="0" fontId="2" fillId="0" borderId="6" xfId="3" applyFill="1" applyBorder="1" applyAlignment="1">
      <alignment horizontal="center" vertical="center"/>
    </xf>
    <xf numFmtId="0" fontId="0" fillId="19" borderId="0" xfId="0" applyFill="1" applyAlignment="1">
      <alignment horizontal="center" vertical="center"/>
    </xf>
    <xf numFmtId="0" fontId="0" fillId="19" borderId="0" xfId="0" applyFill="1"/>
    <xf numFmtId="0" fontId="5" fillId="6" borderId="0" xfId="0" applyFont="1" applyFill="1" applyAlignment="1">
      <alignment horizontal="center" vertical="center"/>
    </xf>
    <xf numFmtId="0" fontId="1" fillId="2" borderId="1" xfId="1" applyBorder="1" applyAlignment="1">
      <alignment horizontal="center"/>
    </xf>
    <xf numFmtId="0" fontId="0" fillId="0" borderId="1" xfId="0" applyBorder="1" applyAlignment="1">
      <alignment horizontal="center"/>
    </xf>
    <xf numFmtId="0" fontId="12" fillId="3" borderId="1" xfId="2" applyFont="1" applyBorder="1" applyAlignment="1">
      <alignment horizontal="center"/>
    </xf>
    <xf numFmtId="0" fontId="1" fillId="2" borderId="4" xfId="1" applyBorder="1" applyAlignment="1">
      <alignment horizontal="center"/>
    </xf>
    <xf numFmtId="0" fontId="1" fillId="2" borderId="5" xfId="1" applyBorder="1" applyAlignment="1">
      <alignment horizontal="center"/>
    </xf>
    <xf numFmtId="0" fontId="1" fillId="2" borderId="6" xfId="1" applyBorder="1" applyAlignment="1">
      <alignment horizontal="center"/>
    </xf>
    <xf numFmtId="0" fontId="0" fillId="0" borderId="1" xfId="0" applyBorder="1"/>
    <xf numFmtId="0" fontId="2" fillId="0" borderId="2" xfId="3" applyBorder="1" applyAlignment="1">
      <alignment horizontal="center" vertical="center"/>
    </xf>
    <xf numFmtId="0" fontId="2" fillId="0" borderId="3" xfId="3" applyBorder="1" applyAlignment="1">
      <alignment horizontal="center" vertical="center"/>
    </xf>
    <xf numFmtId="0" fontId="12" fillId="3" borderId="4" xfId="2" applyFont="1" applyBorder="1" applyAlignment="1">
      <alignment horizontal="center"/>
    </xf>
    <xf numFmtId="0" fontId="12" fillId="3" borderId="5" xfId="2" applyFont="1" applyBorder="1" applyAlignment="1">
      <alignment horizontal="center"/>
    </xf>
    <xf numFmtId="0" fontId="12" fillId="3" borderId="6" xfId="2" applyFon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2" fillId="0" borderId="0" xfId="3"/>
    <xf numFmtId="0" fontId="0" fillId="0" borderId="0" xfId="0" applyFill="1" applyAlignment="1">
      <alignment horizontal="center" vertical="center"/>
    </xf>
    <xf numFmtId="165" fontId="0" fillId="0" borderId="1" xfId="0" applyNumberFormat="1" applyFont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165" fontId="0" fillId="0" borderId="9" xfId="0" applyNumberFormat="1" applyFont="1" applyBorder="1" applyAlignment="1">
      <alignment horizontal="center" vertical="center"/>
    </xf>
    <xf numFmtId="0" fontId="0" fillId="0" borderId="9" xfId="0" applyFont="1" applyBorder="1" applyAlignment="1">
      <alignment horizontal="center" vertical="center"/>
    </xf>
    <xf numFmtId="0" fontId="13" fillId="0" borderId="1" xfId="0" applyFont="1" applyFill="1" applyBorder="1" applyAlignment="1">
      <alignment horizontal="center" vertical="center" wrapText="1"/>
    </xf>
    <xf numFmtId="0" fontId="13" fillId="7" borderId="1" xfId="0" applyFont="1" applyFill="1" applyBorder="1" applyAlignment="1">
      <alignment horizontal="center" vertical="center" wrapText="1"/>
    </xf>
    <xf numFmtId="0" fontId="13" fillId="0" borderId="1" xfId="0" applyFont="1" applyBorder="1" applyAlignment="1">
      <alignment horizontal="center" vertical="center" wrapText="1"/>
    </xf>
    <xf numFmtId="0" fontId="14" fillId="7" borderId="1" xfId="0" applyFont="1" applyFill="1" applyBorder="1" applyAlignment="1">
      <alignment vertical="center" wrapText="1"/>
    </xf>
    <xf numFmtId="0" fontId="14" fillId="0" borderId="1" xfId="0" applyFont="1" applyBorder="1" applyAlignment="1">
      <alignment vertical="center" wrapText="1"/>
    </xf>
    <xf numFmtId="0" fontId="14" fillId="7" borderId="1" xfId="0" applyFont="1" applyFill="1" applyBorder="1" applyAlignment="1">
      <alignment horizontal="center" vertical="center" wrapText="1"/>
    </xf>
    <xf numFmtId="0" fontId="14" fillId="19" borderId="1" xfId="0" applyFont="1" applyFill="1" applyBorder="1" applyAlignment="1">
      <alignment horizontal="center" vertical="center" wrapText="1"/>
    </xf>
    <xf numFmtId="0" fontId="14" fillId="20" borderId="1" xfId="0" applyFont="1" applyFill="1" applyBorder="1" applyAlignment="1">
      <alignment horizontal="center" vertical="center" wrapText="1"/>
    </xf>
    <xf numFmtId="0" fontId="14" fillId="10" borderId="1" xfId="0" applyFont="1" applyFill="1" applyBorder="1" applyAlignment="1">
      <alignment horizontal="center" vertical="center" wrapText="1"/>
    </xf>
    <xf numFmtId="0" fontId="14" fillId="0" borderId="1" xfId="0" applyFont="1" applyBorder="1" applyAlignment="1">
      <alignment horizontal="center" vertical="center" wrapText="1"/>
    </xf>
    <xf numFmtId="12" fontId="14" fillId="10" borderId="1" xfId="0" applyNumberFormat="1" applyFont="1" applyFill="1" applyBorder="1" applyAlignment="1">
      <alignment horizontal="center" vertical="center" wrapText="1"/>
    </xf>
    <xf numFmtId="0" fontId="14" fillId="15" borderId="1" xfId="0" applyFont="1" applyFill="1" applyBorder="1" applyAlignment="1">
      <alignment horizontal="center" vertical="center" wrapText="1"/>
    </xf>
    <xf numFmtId="0" fontId="0" fillId="21" borderId="0" xfId="0" applyFill="1"/>
    <xf numFmtId="0" fontId="0" fillId="20" borderId="0" xfId="0" applyFill="1" applyAlignment="1">
      <alignment horizontal="center" vertical="center"/>
    </xf>
  </cellXfs>
  <cellStyles count="4">
    <cellStyle name="20% - Accent3" xfId="1" builtinId="38"/>
    <cellStyle name="60% - Accent5" xfId="2" builtinId="48"/>
    <cellStyle name="Hyperlink" xfId="3" builtinId="8"/>
    <cellStyle name="Normal" xfId="0" builtinId="0"/>
  </cellStyles>
  <dxfs count="146">
    <dxf>
      <fill>
        <patternFill patternType="solid">
          <fgColor indexed="64"/>
          <bgColor rgb="FFFC8888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A3FB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7575"/>
        </patternFill>
      </fill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7575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7575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A3FB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7575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A3FB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A3FB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A3FB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A3FB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A3FB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7575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A3FB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A3FB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7575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A3FB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A3FB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A3FB"/>
        </patternFill>
      </fill>
      <alignment horizontal="center" vertical="center" textRotation="0" wrapText="0" indent="0" justifyLastLine="0" shrinkToFit="0" readingOrder="0"/>
    </dxf>
    <dxf>
      <fill>
        <patternFill>
          <bgColor rgb="FFFBA3FB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ill>
        <patternFill>
          <bgColor rgb="FFFBA3FB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ill>
        <patternFill>
          <bgColor rgb="FFFBA3FB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ill>
        <patternFill>
          <bgColor rgb="FFFBA3FB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ill>
        <patternFill>
          <bgColor rgb="FFFBA3FB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ill>
        <patternFill>
          <bgColor rgb="FFFBA3FB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ill>
        <patternFill>
          <bgColor rgb="FFFBA3FB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8" tint="0.39994506668294322"/>
        </patternFill>
      </fill>
    </dxf>
    <dxf>
      <fill>
        <patternFill>
          <bgColor rgb="FFFB873F"/>
        </patternFill>
      </fill>
    </dxf>
    <dxf>
      <fill>
        <patternFill>
          <bgColor rgb="FFF6F66A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rgb="FFFBA3FB"/>
        </patternFill>
      </fill>
    </dxf>
    <dxf>
      <fill>
        <patternFill>
          <bgColor rgb="FFFF7575"/>
        </patternFill>
      </fill>
    </dxf>
    <dxf>
      <font>
        <color theme="0"/>
      </font>
      <fill>
        <patternFill>
          <bgColor theme="1"/>
        </patternFill>
      </fill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165" formatCode="yyyy/mm/d\ h:mm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color theme="1"/>
      </font>
      <fill>
        <patternFill>
          <bgColor theme="2"/>
        </patternFill>
      </fill>
    </dxf>
    <dxf>
      <font>
        <color auto="1"/>
      </font>
    </dxf>
    <dxf>
      <font>
        <b/>
        <i val="0"/>
        <color auto="1"/>
      </font>
      <fill>
        <patternFill>
          <bgColor theme="4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1" defaultTableStyle="TableStyleMedium2" defaultPivotStyle="PivotStyleLight16">
    <tableStyle name="ExchangeTableStyle" pivot="0" count="4" xr9:uid="{92D06C3C-9229-4B94-8318-E57B621B220B}">
      <tableStyleElement type="wholeTable" dxfId="145"/>
      <tableStyleElement type="headerRow" dxfId="144"/>
      <tableStyleElement type="firstRowStripe" dxfId="143"/>
      <tableStyleElement type="secondRowStripe" dxfId="142"/>
    </tableStyle>
  </tableStyles>
  <colors>
    <mruColors>
      <color rgb="FFFC8888"/>
      <color rgb="FFFF7575"/>
      <color rgb="FFFDEA5D"/>
      <color rgb="FF8CFF8C"/>
      <color rgb="FF674EA7"/>
      <color rgb="FF00FF00"/>
      <color rgb="FFFB873F"/>
      <color rgb="FF808080"/>
      <color rgb="FF9BC2E6"/>
      <color rgb="FFFBA3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287433</xdr:colOff>
      <xdr:row>0</xdr:row>
      <xdr:rowOff>247201</xdr:rowOff>
    </xdr:from>
    <xdr:to>
      <xdr:col>7</xdr:col>
      <xdr:colOff>421342</xdr:colOff>
      <xdr:row>1</xdr:row>
      <xdr:rowOff>135031</xdr:rowOff>
    </xdr:to>
    <xdr:sp macro="[0]!ScanAllSheetsAndPrioritizeLabel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189696" y="251011"/>
          <a:ext cx="1362634" cy="430307"/>
        </a:xfrm>
        <a:prstGeom prst="roundRect">
          <a:avLst/>
        </a:prstGeom>
        <a:solidFill>
          <a:schemeClr val="accent5">
            <a:lumMod val="60000"/>
            <a:lumOff val="40000"/>
          </a:schemeClr>
        </a:solidFill>
        <a:ln w="28575">
          <a:solidFill>
            <a:schemeClr val="accent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0">
              <a:solidFill>
                <a:schemeClr val="tx1"/>
              </a:solidFill>
              <a:latin typeface="+mn-lt"/>
              <a:cs typeface="Arial" panose="020B0604020202020204" pitchFamily="34" charset="0"/>
            </a:rPr>
            <a:t>Update Status</a:t>
          </a:r>
        </a:p>
      </xdr:txBody>
    </xdr:sp>
    <xdr:clientData/>
  </xdr:twoCellAnchor>
  <xdr:twoCellAnchor editAs="absolute">
    <xdr:from>
      <xdr:col>5</xdr:col>
      <xdr:colOff>247204</xdr:colOff>
      <xdr:row>2</xdr:row>
      <xdr:rowOff>182094</xdr:rowOff>
    </xdr:from>
    <xdr:to>
      <xdr:col>7</xdr:col>
      <xdr:colOff>435462</xdr:colOff>
      <xdr:row>4</xdr:row>
      <xdr:rowOff>17033</xdr:rowOff>
    </xdr:to>
    <xdr:sp macro="[0]!NCInput_Button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162802" y="1004046"/>
          <a:ext cx="1407458" cy="430307"/>
        </a:xfrm>
        <a:prstGeom prst="roundRect">
          <a:avLst/>
        </a:prstGeom>
        <a:solidFill>
          <a:schemeClr val="accent5">
            <a:lumMod val="60000"/>
            <a:lumOff val="40000"/>
          </a:schemeClr>
        </a:solidFill>
        <a:ln w="28575">
          <a:solidFill>
            <a:schemeClr val="accent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0">
              <a:solidFill>
                <a:schemeClr val="tx1"/>
              </a:solidFill>
              <a:latin typeface="+mn-lt"/>
              <a:cs typeface="Arial" panose="020B0604020202020204" pitchFamily="34" charset="0"/>
            </a:rPr>
            <a:t>New Cadet Form</a:t>
          </a:r>
        </a:p>
      </xdr:txBody>
    </xdr:sp>
    <xdr:clientData/>
  </xdr:twoCellAnchor>
  <xdr:twoCellAnchor editAs="absolute">
    <xdr:from>
      <xdr:col>5</xdr:col>
      <xdr:colOff>247202</xdr:colOff>
      <xdr:row>8</xdr:row>
      <xdr:rowOff>172118</xdr:rowOff>
    </xdr:from>
    <xdr:to>
      <xdr:col>7</xdr:col>
      <xdr:colOff>440615</xdr:colOff>
      <xdr:row>11</xdr:row>
      <xdr:rowOff>59839</xdr:rowOff>
    </xdr:to>
    <xdr:sp macro="[0]!ManualBackup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7162800" y="2474256"/>
          <a:ext cx="1416423" cy="430307"/>
        </a:xfrm>
        <a:prstGeom prst="roundRect">
          <a:avLst/>
        </a:prstGeom>
        <a:solidFill>
          <a:schemeClr val="accent5">
            <a:lumMod val="60000"/>
            <a:lumOff val="40000"/>
          </a:schemeClr>
        </a:solidFill>
        <a:ln w="28575">
          <a:solidFill>
            <a:schemeClr val="accent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0">
              <a:solidFill>
                <a:schemeClr val="tx1"/>
              </a:solidFill>
              <a:latin typeface="+mn-lt"/>
              <a:cs typeface="Arial" panose="020B0604020202020204" pitchFamily="34" charset="0"/>
            </a:rPr>
            <a:t>Manual</a:t>
          </a:r>
          <a:r>
            <a:rPr lang="en-CA" sz="1100" b="0" baseline="0">
              <a:solidFill>
                <a:schemeClr val="tx1"/>
              </a:solidFill>
              <a:latin typeface="+mn-lt"/>
              <a:cs typeface="Arial" panose="020B0604020202020204" pitchFamily="34" charset="0"/>
            </a:rPr>
            <a:t> Backup</a:t>
          </a:r>
          <a:endParaRPr lang="en-CA" sz="1100" b="0">
            <a:solidFill>
              <a:schemeClr val="tx1"/>
            </a:solidFill>
            <a:latin typeface="+mn-lt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5</xdr:col>
      <xdr:colOff>247203</xdr:colOff>
      <xdr:row>5</xdr:row>
      <xdr:rowOff>149037</xdr:rowOff>
    </xdr:from>
    <xdr:to>
      <xdr:col>7</xdr:col>
      <xdr:colOff>439831</xdr:colOff>
      <xdr:row>7</xdr:row>
      <xdr:rowOff>54234</xdr:rowOff>
    </xdr:to>
    <xdr:sp macro="[0]!OldCadetExchangeButton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7162801" y="1739151"/>
          <a:ext cx="1398493" cy="430307"/>
        </a:xfrm>
        <a:prstGeom prst="roundRect">
          <a:avLst/>
        </a:prstGeom>
        <a:solidFill>
          <a:schemeClr val="accent5">
            <a:lumMod val="60000"/>
            <a:lumOff val="40000"/>
          </a:schemeClr>
        </a:solidFill>
        <a:ln w="28575">
          <a:solidFill>
            <a:schemeClr val="accent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0">
              <a:solidFill>
                <a:schemeClr val="tx1"/>
              </a:solidFill>
              <a:latin typeface="+mn-lt"/>
              <a:cs typeface="Arial" panose="020B0604020202020204" pitchFamily="34" charset="0"/>
            </a:rPr>
            <a:t>Old Cadet</a:t>
          </a:r>
          <a:r>
            <a:rPr lang="en-CA" sz="1100" b="0" baseline="0">
              <a:solidFill>
                <a:schemeClr val="tx1"/>
              </a:solidFill>
              <a:latin typeface="+mn-lt"/>
              <a:cs typeface="Arial" panose="020B0604020202020204" pitchFamily="34" charset="0"/>
            </a:rPr>
            <a:t> Exchange</a:t>
          </a:r>
          <a:endParaRPr lang="en-CA" sz="1100" b="0">
            <a:solidFill>
              <a:schemeClr val="tx1"/>
            </a:solidFill>
            <a:latin typeface="+mn-lt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14</xdr:col>
      <xdr:colOff>168984</xdr:colOff>
      <xdr:row>0</xdr:row>
      <xdr:rowOff>93454</xdr:rowOff>
    </xdr:from>
    <xdr:to>
      <xdr:col>16</xdr:col>
      <xdr:colOff>169769</xdr:colOff>
      <xdr:row>0</xdr:row>
      <xdr:rowOff>516141</xdr:rowOff>
    </xdr:to>
    <xdr:sp macro="[0]!NC_Experiment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2559552" y="89644"/>
          <a:ext cx="1237130" cy="430307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 w="28575">
          <a:solidFill>
            <a:schemeClr val="accent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>
              <a:solidFill>
                <a:schemeClr val="tx1"/>
              </a:solidFill>
            </a:rPr>
            <a:t>Emergency</a:t>
          </a:r>
          <a:r>
            <a:rPr lang="en-CA" sz="1100" b="1" baseline="0">
              <a:solidFill>
                <a:schemeClr val="tx1"/>
              </a:solidFill>
            </a:rPr>
            <a:t> Test</a:t>
          </a:r>
          <a:endParaRPr lang="en-CA" sz="1100" b="1">
            <a:solidFill>
              <a:schemeClr val="tx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396240</xdr:colOff>
          <xdr:row>0</xdr:row>
          <xdr:rowOff>129540</xdr:rowOff>
        </xdr:from>
        <xdr:to>
          <xdr:col>16</xdr:col>
          <xdr:colOff>342900</xdr:colOff>
          <xdr:row>1</xdr:row>
          <xdr:rowOff>0</xdr:rowOff>
        </xdr:to>
        <xdr:sp macro="" textlink="">
          <xdr:nvSpPr>
            <xdr:cNvPr id="105473" name="Button 1" hidden="1">
              <a:extLst>
                <a:ext uri="{63B3BB69-23CF-44E3-9099-C40C66FF867C}">
                  <a14:compatExt spid="_x0000_s105473"/>
                </a:ext>
                <a:ext uri="{FF2B5EF4-FFF2-40B4-BE49-F238E27FC236}">
                  <a16:creationId xmlns:a16="http://schemas.microsoft.com/office/drawing/2014/main" id="{00000000-0008-0000-0100-000001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To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152400</xdr:colOff>
          <xdr:row>0</xdr:row>
          <xdr:rowOff>53340</xdr:rowOff>
        </xdr:from>
        <xdr:to>
          <xdr:col>24</xdr:col>
          <xdr:colOff>533400</xdr:colOff>
          <xdr:row>0</xdr:row>
          <xdr:rowOff>441960</xdr:rowOff>
        </xdr:to>
        <xdr:sp macro="" textlink="">
          <xdr:nvSpPr>
            <xdr:cNvPr id="164002" name="Button 162" hidden="1">
              <a:extLst>
                <a:ext uri="{63B3BB69-23CF-44E3-9099-C40C66FF867C}">
                  <a14:compatExt spid="_x0000_s164002"/>
                </a:ext>
                <a:ext uri="{FF2B5EF4-FFF2-40B4-BE49-F238E27FC236}">
                  <a16:creationId xmlns:a16="http://schemas.microsoft.com/office/drawing/2014/main" id="{00000000-0008-0000-0200-0000A28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7620</xdr:colOff>
          <xdr:row>1</xdr:row>
          <xdr:rowOff>0</xdr:rowOff>
        </xdr:from>
        <xdr:to>
          <xdr:col>24</xdr:col>
          <xdr:colOff>7620</xdr:colOff>
          <xdr:row>2</xdr:row>
          <xdr:rowOff>0</xdr:rowOff>
        </xdr:to>
        <xdr:sp macro="" textlink="">
          <xdr:nvSpPr>
            <xdr:cNvPr id="164003" name="Complete1" hidden="1">
              <a:extLst>
                <a:ext uri="{63B3BB69-23CF-44E3-9099-C40C66FF867C}">
                  <a14:compatExt spid="_x0000_s164003"/>
                </a:ext>
                <a:ext uri="{FF2B5EF4-FFF2-40B4-BE49-F238E27FC236}">
                  <a16:creationId xmlns:a16="http://schemas.microsoft.com/office/drawing/2014/main" id="{289B8237-D48E-A378-4F1A-87EE457633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Complete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21</xdr:col>
      <xdr:colOff>302559</xdr:colOff>
      <xdr:row>0</xdr:row>
      <xdr:rowOff>21739</xdr:rowOff>
    </xdr:from>
    <xdr:to>
      <xdr:col>22</xdr:col>
      <xdr:colOff>854112</xdr:colOff>
      <xdr:row>0</xdr:row>
      <xdr:rowOff>321385</xdr:rowOff>
    </xdr:to>
    <xdr:sp macro="[0]!maste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3534465" y="17929"/>
          <a:ext cx="1275229" cy="295836"/>
        </a:xfrm>
        <a:prstGeom prst="roundRect">
          <a:avLst/>
        </a:prstGeom>
        <a:solidFill>
          <a:schemeClr val="accent5">
            <a:lumMod val="60000"/>
            <a:lumOff val="40000"/>
          </a:schemeClr>
        </a:solidFill>
        <a:ln w="28575">
          <a:solidFill>
            <a:schemeClr val="accent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0">
              <a:solidFill>
                <a:schemeClr val="tx1"/>
              </a:solidFill>
              <a:latin typeface="+mn-lt"/>
              <a:cs typeface="Arial" panose="020B0604020202020204" pitchFamily="34" charset="0"/>
            </a:rPr>
            <a:t>Generate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678180</xdr:colOff>
          <xdr:row>1</xdr:row>
          <xdr:rowOff>464820</xdr:rowOff>
        </xdr:from>
        <xdr:to>
          <xdr:col>22</xdr:col>
          <xdr:colOff>876300</xdr:colOff>
          <xdr:row>2</xdr:row>
          <xdr:rowOff>175260</xdr:rowOff>
        </xdr:to>
        <xdr:sp macro="" textlink="">
          <xdr:nvSpPr>
            <xdr:cNvPr id="260110" name="Toggle2" hidden="1">
              <a:extLst>
                <a:ext uri="{63B3BB69-23CF-44E3-9099-C40C66FF867C}">
                  <a14:compatExt spid="_x0000_s260110"/>
                </a:ext>
                <a:ext uri="{FF2B5EF4-FFF2-40B4-BE49-F238E27FC236}">
                  <a16:creationId xmlns:a16="http://schemas.microsoft.com/office/drawing/2014/main" id="{49964C35-2483-96DC-741C-49AEEDFD77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Toggle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678180</xdr:colOff>
          <xdr:row>2</xdr:row>
          <xdr:rowOff>175260</xdr:rowOff>
        </xdr:from>
        <xdr:to>
          <xdr:col>22</xdr:col>
          <xdr:colOff>876300</xdr:colOff>
          <xdr:row>3</xdr:row>
          <xdr:rowOff>175260</xdr:rowOff>
        </xdr:to>
        <xdr:sp macro="" textlink="">
          <xdr:nvSpPr>
            <xdr:cNvPr id="260111" name="Toggle3" hidden="1">
              <a:extLst>
                <a:ext uri="{63B3BB69-23CF-44E3-9099-C40C66FF867C}">
                  <a14:compatExt spid="_x0000_s260111"/>
                </a:ext>
                <a:ext uri="{FF2B5EF4-FFF2-40B4-BE49-F238E27FC236}">
                  <a16:creationId xmlns:a16="http://schemas.microsoft.com/office/drawing/2014/main" id="{91647FEE-4849-C126-9DEC-F95B79BAAD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Toggle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678180</xdr:colOff>
          <xdr:row>3</xdr:row>
          <xdr:rowOff>175260</xdr:rowOff>
        </xdr:from>
        <xdr:to>
          <xdr:col>22</xdr:col>
          <xdr:colOff>876300</xdr:colOff>
          <xdr:row>5</xdr:row>
          <xdr:rowOff>0</xdr:rowOff>
        </xdr:to>
        <xdr:sp macro="" textlink="">
          <xdr:nvSpPr>
            <xdr:cNvPr id="260112" name="Toggle4" hidden="1">
              <a:extLst>
                <a:ext uri="{63B3BB69-23CF-44E3-9099-C40C66FF867C}">
                  <a14:compatExt spid="_x0000_s260112"/>
                </a:ext>
                <a:ext uri="{FF2B5EF4-FFF2-40B4-BE49-F238E27FC236}">
                  <a16:creationId xmlns:a16="http://schemas.microsoft.com/office/drawing/2014/main" id="{656B3727-33E3-2DBE-053A-DBA3E4F6E3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Toggle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678180</xdr:colOff>
          <xdr:row>5</xdr:row>
          <xdr:rowOff>0</xdr:rowOff>
        </xdr:from>
        <xdr:to>
          <xdr:col>22</xdr:col>
          <xdr:colOff>876300</xdr:colOff>
          <xdr:row>6</xdr:row>
          <xdr:rowOff>0</xdr:rowOff>
        </xdr:to>
        <xdr:sp macro="" textlink="">
          <xdr:nvSpPr>
            <xdr:cNvPr id="260113" name="Toggle5" hidden="1">
              <a:extLst>
                <a:ext uri="{63B3BB69-23CF-44E3-9099-C40C66FF867C}">
                  <a14:compatExt spid="_x0000_s260113"/>
                </a:ext>
                <a:ext uri="{FF2B5EF4-FFF2-40B4-BE49-F238E27FC236}">
                  <a16:creationId xmlns:a16="http://schemas.microsoft.com/office/drawing/2014/main" id="{83772DD3-7B05-B826-0C35-45415769B9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Toggle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678180</xdr:colOff>
          <xdr:row>6</xdr:row>
          <xdr:rowOff>0</xdr:rowOff>
        </xdr:from>
        <xdr:to>
          <xdr:col>22</xdr:col>
          <xdr:colOff>876300</xdr:colOff>
          <xdr:row>7</xdr:row>
          <xdr:rowOff>0</xdr:rowOff>
        </xdr:to>
        <xdr:sp macro="" textlink="">
          <xdr:nvSpPr>
            <xdr:cNvPr id="260114" name="Toggle6" hidden="1">
              <a:extLst>
                <a:ext uri="{63B3BB69-23CF-44E3-9099-C40C66FF867C}">
                  <a14:compatExt spid="_x0000_s260114"/>
                </a:ext>
                <a:ext uri="{FF2B5EF4-FFF2-40B4-BE49-F238E27FC236}">
                  <a16:creationId xmlns:a16="http://schemas.microsoft.com/office/drawing/2014/main" id="{2CF9FE7E-9DA5-303A-BAB3-87A076EA7C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Toggle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678180</xdr:colOff>
          <xdr:row>7</xdr:row>
          <xdr:rowOff>0</xdr:rowOff>
        </xdr:from>
        <xdr:to>
          <xdr:col>22</xdr:col>
          <xdr:colOff>876300</xdr:colOff>
          <xdr:row>8</xdr:row>
          <xdr:rowOff>0</xdr:rowOff>
        </xdr:to>
        <xdr:sp macro="" textlink="">
          <xdr:nvSpPr>
            <xdr:cNvPr id="260115" name="Toggle7" hidden="1">
              <a:extLst>
                <a:ext uri="{63B3BB69-23CF-44E3-9099-C40C66FF867C}">
                  <a14:compatExt spid="_x0000_s260115"/>
                </a:ext>
                <a:ext uri="{FF2B5EF4-FFF2-40B4-BE49-F238E27FC236}">
                  <a16:creationId xmlns:a16="http://schemas.microsoft.com/office/drawing/2014/main" id="{EE02F5E6-BEC1-54D5-3B11-DA6153A0433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Toggle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15240</xdr:colOff>
          <xdr:row>10</xdr:row>
          <xdr:rowOff>190500</xdr:rowOff>
        </xdr:from>
        <xdr:to>
          <xdr:col>12</xdr:col>
          <xdr:colOff>15240</xdr:colOff>
          <xdr:row>12</xdr:row>
          <xdr:rowOff>175260</xdr:rowOff>
        </xdr:to>
        <xdr:sp macro="" textlink="">
          <xdr:nvSpPr>
            <xdr:cNvPr id="258049" name="Button 1" hidden="1">
              <a:extLst>
                <a:ext uri="{63B3BB69-23CF-44E3-9099-C40C66FF867C}">
                  <a14:compatExt spid="_x0000_s258049"/>
                </a:ext>
                <a:ext uri="{FF2B5EF4-FFF2-40B4-BE49-F238E27FC236}">
                  <a16:creationId xmlns:a16="http://schemas.microsoft.com/office/drawing/2014/main" id="{00000000-0008-0000-0400-000001F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640080</xdr:colOff>
          <xdr:row>18</xdr:row>
          <xdr:rowOff>213360</xdr:rowOff>
        </xdr:from>
        <xdr:to>
          <xdr:col>12</xdr:col>
          <xdr:colOff>30480</xdr:colOff>
          <xdr:row>21</xdr:row>
          <xdr:rowOff>160020</xdr:rowOff>
        </xdr:to>
        <xdr:sp macro="" textlink="">
          <xdr:nvSpPr>
            <xdr:cNvPr id="258050" name="Button 2" hidden="1">
              <a:extLst>
                <a:ext uri="{63B3BB69-23CF-44E3-9099-C40C66FF867C}">
                  <a14:compatExt spid="_x0000_s258050"/>
                </a:ext>
                <a:ext uri="{FF2B5EF4-FFF2-40B4-BE49-F238E27FC236}">
                  <a16:creationId xmlns:a16="http://schemas.microsoft.com/office/drawing/2014/main" id="{00000000-0008-0000-0400-000002F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32</xdr:row>
          <xdr:rowOff>167640</xdr:rowOff>
        </xdr:from>
        <xdr:to>
          <xdr:col>12</xdr:col>
          <xdr:colOff>0</xdr:colOff>
          <xdr:row>33</xdr:row>
          <xdr:rowOff>175260</xdr:rowOff>
        </xdr:to>
        <xdr:sp macro="" textlink="">
          <xdr:nvSpPr>
            <xdr:cNvPr id="258051" name="Button 3" hidden="1">
              <a:extLst>
                <a:ext uri="{63B3BB69-23CF-44E3-9099-C40C66FF867C}">
                  <a14:compatExt spid="_x0000_s258051"/>
                </a:ext>
                <a:ext uri="{FF2B5EF4-FFF2-40B4-BE49-F238E27FC236}">
                  <a16:creationId xmlns:a16="http://schemas.microsoft.com/office/drawing/2014/main" id="{00000000-0008-0000-0400-000003F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30</xdr:row>
          <xdr:rowOff>175260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258052" name="Button 4" hidden="1">
              <a:extLst>
                <a:ext uri="{63B3BB69-23CF-44E3-9099-C40C66FF867C}">
                  <a14:compatExt spid="_x0000_s258052"/>
                </a:ext>
                <a:ext uri="{FF2B5EF4-FFF2-40B4-BE49-F238E27FC236}">
                  <a16:creationId xmlns:a16="http://schemas.microsoft.com/office/drawing/2014/main" id="{00000000-0008-0000-0400-000004F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Mark as 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23</xdr:row>
          <xdr:rowOff>175260</xdr:rowOff>
        </xdr:from>
        <xdr:to>
          <xdr:col>12</xdr:col>
          <xdr:colOff>7620</xdr:colOff>
          <xdr:row>26</xdr:row>
          <xdr:rowOff>106680</xdr:rowOff>
        </xdr:to>
        <xdr:sp macro="" textlink="">
          <xdr:nvSpPr>
            <xdr:cNvPr id="258053" name="Button 5" hidden="1">
              <a:extLst>
                <a:ext uri="{63B3BB69-23CF-44E3-9099-C40C66FF867C}">
                  <a14:compatExt spid="_x0000_s258053"/>
                </a:ext>
                <a:ext uri="{FF2B5EF4-FFF2-40B4-BE49-F238E27FC236}">
                  <a16:creationId xmlns:a16="http://schemas.microsoft.com/office/drawing/2014/main" id="{00000000-0008-0000-0400-000005F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In Stock Status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15240</xdr:colOff>
          <xdr:row>10</xdr:row>
          <xdr:rowOff>190500</xdr:rowOff>
        </xdr:from>
        <xdr:to>
          <xdr:col>12</xdr:col>
          <xdr:colOff>15240</xdr:colOff>
          <xdr:row>12</xdr:row>
          <xdr:rowOff>175260</xdr:rowOff>
        </xdr:to>
        <xdr:sp macro="" textlink="">
          <xdr:nvSpPr>
            <xdr:cNvPr id="259073" name="Button 1" hidden="1">
              <a:extLst>
                <a:ext uri="{63B3BB69-23CF-44E3-9099-C40C66FF867C}">
                  <a14:compatExt spid="_x0000_s259073"/>
                </a:ext>
                <a:ext uri="{FF2B5EF4-FFF2-40B4-BE49-F238E27FC236}">
                  <a16:creationId xmlns:a16="http://schemas.microsoft.com/office/drawing/2014/main" id="{00000000-0008-0000-0600-00000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640080</xdr:colOff>
          <xdr:row>18</xdr:row>
          <xdr:rowOff>213360</xdr:rowOff>
        </xdr:from>
        <xdr:to>
          <xdr:col>12</xdr:col>
          <xdr:colOff>30480</xdr:colOff>
          <xdr:row>21</xdr:row>
          <xdr:rowOff>160020</xdr:rowOff>
        </xdr:to>
        <xdr:sp macro="" textlink="">
          <xdr:nvSpPr>
            <xdr:cNvPr id="259074" name="Button 2" hidden="1">
              <a:extLst>
                <a:ext uri="{63B3BB69-23CF-44E3-9099-C40C66FF867C}">
                  <a14:compatExt spid="_x0000_s259074"/>
                </a:ext>
                <a:ext uri="{FF2B5EF4-FFF2-40B4-BE49-F238E27FC236}">
                  <a16:creationId xmlns:a16="http://schemas.microsoft.com/office/drawing/2014/main" id="{00000000-0008-0000-0600-00000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32</xdr:row>
          <xdr:rowOff>167640</xdr:rowOff>
        </xdr:from>
        <xdr:to>
          <xdr:col>12</xdr:col>
          <xdr:colOff>0</xdr:colOff>
          <xdr:row>33</xdr:row>
          <xdr:rowOff>175260</xdr:rowOff>
        </xdr:to>
        <xdr:sp macro="" textlink="">
          <xdr:nvSpPr>
            <xdr:cNvPr id="259075" name="Button 3" hidden="1">
              <a:extLst>
                <a:ext uri="{63B3BB69-23CF-44E3-9099-C40C66FF867C}">
                  <a14:compatExt spid="_x0000_s259075"/>
                </a:ext>
                <a:ext uri="{FF2B5EF4-FFF2-40B4-BE49-F238E27FC236}">
                  <a16:creationId xmlns:a16="http://schemas.microsoft.com/office/drawing/2014/main" id="{00000000-0008-0000-0600-000003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30</xdr:row>
          <xdr:rowOff>175260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259076" name="Button 4" hidden="1">
              <a:extLst>
                <a:ext uri="{63B3BB69-23CF-44E3-9099-C40C66FF867C}">
                  <a14:compatExt spid="_x0000_s259076"/>
                </a:ext>
                <a:ext uri="{FF2B5EF4-FFF2-40B4-BE49-F238E27FC236}">
                  <a16:creationId xmlns:a16="http://schemas.microsoft.com/office/drawing/2014/main" id="{00000000-0008-0000-0600-000004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Mark as 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23</xdr:row>
          <xdr:rowOff>175260</xdr:rowOff>
        </xdr:from>
        <xdr:to>
          <xdr:col>12</xdr:col>
          <xdr:colOff>7620</xdr:colOff>
          <xdr:row>26</xdr:row>
          <xdr:rowOff>106680</xdr:rowOff>
        </xdr:to>
        <xdr:sp macro="" textlink="">
          <xdr:nvSpPr>
            <xdr:cNvPr id="259077" name="Button 5" hidden="1">
              <a:extLst>
                <a:ext uri="{63B3BB69-23CF-44E3-9099-C40C66FF867C}">
                  <a14:compatExt spid="_x0000_s259077"/>
                </a:ext>
                <a:ext uri="{FF2B5EF4-FFF2-40B4-BE49-F238E27FC236}">
                  <a16:creationId xmlns:a16="http://schemas.microsoft.com/office/drawing/2014/main" id="{00000000-0008-0000-0600-000005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In Stock Status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15240</xdr:colOff>
          <xdr:row>10</xdr:row>
          <xdr:rowOff>190500</xdr:rowOff>
        </xdr:from>
        <xdr:to>
          <xdr:col>12</xdr:col>
          <xdr:colOff>15240</xdr:colOff>
          <xdr:row>12</xdr:row>
          <xdr:rowOff>175260</xdr:rowOff>
        </xdr:to>
        <xdr:sp macro="" textlink="">
          <xdr:nvSpPr>
            <xdr:cNvPr id="265217" name="Button 1" hidden="1">
              <a:extLst>
                <a:ext uri="{63B3BB69-23CF-44E3-9099-C40C66FF867C}">
                  <a14:compatExt spid="_x0000_s265217"/>
                </a:ext>
                <a:ext uri="{FF2B5EF4-FFF2-40B4-BE49-F238E27FC236}">
                  <a16:creationId xmlns:a16="http://schemas.microsoft.com/office/drawing/2014/main" id="{5AA77BA5-ECFA-4DCA-B633-15425AEA828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640080</xdr:colOff>
          <xdr:row>18</xdr:row>
          <xdr:rowOff>213360</xdr:rowOff>
        </xdr:from>
        <xdr:to>
          <xdr:col>12</xdr:col>
          <xdr:colOff>30480</xdr:colOff>
          <xdr:row>21</xdr:row>
          <xdr:rowOff>160020</xdr:rowOff>
        </xdr:to>
        <xdr:sp macro="" textlink="">
          <xdr:nvSpPr>
            <xdr:cNvPr id="265218" name="Button 2" hidden="1">
              <a:extLst>
                <a:ext uri="{63B3BB69-23CF-44E3-9099-C40C66FF867C}">
                  <a14:compatExt spid="_x0000_s265218"/>
                </a:ext>
                <a:ext uri="{FF2B5EF4-FFF2-40B4-BE49-F238E27FC236}">
                  <a16:creationId xmlns:a16="http://schemas.microsoft.com/office/drawing/2014/main" id="{8876230D-9E0C-4AF3-B9A2-C86BAB67BE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32</xdr:row>
          <xdr:rowOff>167640</xdr:rowOff>
        </xdr:from>
        <xdr:to>
          <xdr:col>12</xdr:col>
          <xdr:colOff>0</xdr:colOff>
          <xdr:row>33</xdr:row>
          <xdr:rowOff>175260</xdr:rowOff>
        </xdr:to>
        <xdr:sp macro="" textlink="">
          <xdr:nvSpPr>
            <xdr:cNvPr id="265219" name="Button 3" hidden="1">
              <a:extLst>
                <a:ext uri="{63B3BB69-23CF-44E3-9099-C40C66FF867C}">
                  <a14:compatExt spid="_x0000_s265219"/>
                </a:ext>
                <a:ext uri="{FF2B5EF4-FFF2-40B4-BE49-F238E27FC236}">
                  <a16:creationId xmlns:a16="http://schemas.microsoft.com/office/drawing/2014/main" id="{46216FA4-983E-4EFB-9955-9463E66ADB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30</xdr:row>
          <xdr:rowOff>175260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265220" name="Button 4" hidden="1">
              <a:extLst>
                <a:ext uri="{63B3BB69-23CF-44E3-9099-C40C66FF867C}">
                  <a14:compatExt spid="_x0000_s265220"/>
                </a:ext>
                <a:ext uri="{FF2B5EF4-FFF2-40B4-BE49-F238E27FC236}">
                  <a16:creationId xmlns:a16="http://schemas.microsoft.com/office/drawing/2014/main" id="{39EC885C-B2A1-4A27-9A3D-9A859E4CBD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Mark as 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23</xdr:row>
          <xdr:rowOff>175260</xdr:rowOff>
        </xdr:from>
        <xdr:to>
          <xdr:col>12</xdr:col>
          <xdr:colOff>7620</xdr:colOff>
          <xdr:row>26</xdr:row>
          <xdr:rowOff>106680</xdr:rowOff>
        </xdr:to>
        <xdr:sp macro="" textlink="">
          <xdr:nvSpPr>
            <xdr:cNvPr id="265221" name="Button 5" hidden="1">
              <a:extLst>
                <a:ext uri="{63B3BB69-23CF-44E3-9099-C40C66FF867C}">
                  <a14:compatExt spid="_x0000_s265221"/>
                </a:ext>
                <a:ext uri="{FF2B5EF4-FFF2-40B4-BE49-F238E27FC236}">
                  <a16:creationId xmlns:a16="http://schemas.microsoft.com/office/drawing/2014/main" id="{1186E97F-93C1-4427-A34F-611C72A913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In Stock Status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15240</xdr:colOff>
          <xdr:row>10</xdr:row>
          <xdr:rowOff>190500</xdr:rowOff>
        </xdr:from>
        <xdr:to>
          <xdr:col>12</xdr:col>
          <xdr:colOff>15240</xdr:colOff>
          <xdr:row>12</xdr:row>
          <xdr:rowOff>175260</xdr:rowOff>
        </xdr:to>
        <xdr:sp macro="" textlink="">
          <xdr:nvSpPr>
            <xdr:cNvPr id="266241" name="Button 1" hidden="1">
              <a:extLst>
                <a:ext uri="{63B3BB69-23CF-44E3-9099-C40C66FF867C}">
                  <a14:compatExt spid="_x0000_s266241"/>
                </a:ext>
                <a:ext uri="{FF2B5EF4-FFF2-40B4-BE49-F238E27FC236}">
                  <a16:creationId xmlns:a16="http://schemas.microsoft.com/office/drawing/2014/main" id="{C653BA68-CBD4-42BC-8ADA-880A4BC79E0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640080</xdr:colOff>
          <xdr:row>18</xdr:row>
          <xdr:rowOff>213360</xdr:rowOff>
        </xdr:from>
        <xdr:to>
          <xdr:col>12</xdr:col>
          <xdr:colOff>30480</xdr:colOff>
          <xdr:row>21</xdr:row>
          <xdr:rowOff>160020</xdr:rowOff>
        </xdr:to>
        <xdr:sp macro="" textlink="">
          <xdr:nvSpPr>
            <xdr:cNvPr id="266242" name="Button 2" hidden="1">
              <a:extLst>
                <a:ext uri="{63B3BB69-23CF-44E3-9099-C40C66FF867C}">
                  <a14:compatExt spid="_x0000_s266242"/>
                </a:ext>
                <a:ext uri="{FF2B5EF4-FFF2-40B4-BE49-F238E27FC236}">
                  <a16:creationId xmlns:a16="http://schemas.microsoft.com/office/drawing/2014/main" id="{724E2ACC-F241-4DF4-A3BD-B67E6BA784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32</xdr:row>
          <xdr:rowOff>167640</xdr:rowOff>
        </xdr:from>
        <xdr:to>
          <xdr:col>12</xdr:col>
          <xdr:colOff>0</xdr:colOff>
          <xdr:row>33</xdr:row>
          <xdr:rowOff>175260</xdr:rowOff>
        </xdr:to>
        <xdr:sp macro="" textlink="">
          <xdr:nvSpPr>
            <xdr:cNvPr id="266243" name="Button 3" hidden="1">
              <a:extLst>
                <a:ext uri="{63B3BB69-23CF-44E3-9099-C40C66FF867C}">
                  <a14:compatExt spid="_x0000_s266243"/>
                </a:ext>
                <a:ext uri="{FF2B5EF4-FFF2-40B4-BE49-F238E27FC236}">
                  <a16:creationId xmlns:a16="http://schemas.microsoft.com/office/drawing/2014/main" id="{4116BA58-5BFF-4A06-8170-66D0AF9DA06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30</xdr:row>
          <xdr:rowOff>175260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266244" name="Button 4" hidden="1">
              <a:extLst>
                <a:ext uri="{63B3BB69-23CF-44E3-9099-C40C66FF867C}">
                  <a14:compatExt spid="_x0000_s266244"/>
                </a:ext>
                <a:ext uri="{FF2B5EF4-FFF2-40B4-BE49-F238E27FC236}">
                  <a16:creationId xmlns:a16="http://schemas.microsoft.com/office/drawing/2014/main" id="{968A4D17-6022-49B7-8F05-D290490BC2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Mark as 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23</xdr:row>
          <xdr:rowOff>175260</xdr:rowOff>
        </xdr:from>
        <xdr:to>
          <xdr:col>12</xdr:col>
          <xdr:colOff>7620</xdr:colOff>
          <xdr:row>26</xdr:row>
          <xdr:rowOff>106680</xdr:rowOff>
        </xdr:to>
        <xdr:sp macro="" textlink="">
          <xdr:nvSpPr>
            <xdr:cNvPr id="266245" name="Button 5" hidden="1">
              <a:extLst>
                <a:ext uri="{63B3BB69-23CF-44E3-9099-C40C66FF867C}">
                  <a14:compatExt spid="_x0000_s266245"/>
                </a:ext>
                <a:ext uri="{FF2B5EF4-FFF2-40B4-BE49-F238E27FC236}">
                  <a16:creationId xmlns:a16="http://schemas.microsoft.com/office/drawing/2014/main" id="{359F0C1D-1335-4C6D-9575-FCC6F8B7C9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In Stock Status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15240</xdr:colOff>
          <xdr:row>10</xdr:row>
          <xdr:rowOff>190500</xdr:rowOff>
        </xdr:from>
        <xdr:to>
          <xdr:col>12</xdr:col>
          <xdr:colOff>15240</xdr:colOff>
          <xdr:row>12</xdr:row>
          <xdr:rowOff>175260</xdr:rowOff>
        </xdr:to>
        <xdr:sp macro="" textlink="">
          <xdr:nvSpPr>
            <xdr:cNvPr id="267265" name="Button 1" hidden="1">
              <a:extLst>
                <a:ext uri="{63B3BB69-23CF-44E3-9099-C40C66FF867C}">
                  <a14:compatExt spid="_x0000_s267265"/>
                </a:ext>
                <a:ext uri="{FF2B5EF4-FFF2-40B4-BE49-F238E27FC236}">
                  <a16:creationId xmlns:a16="http://schemas.microsoft.com/office/drawing/2014/main" id="{C7838A77-033F-4B90-BF41-6A3280EB88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640080</xdr:colOff>
          <xdr:row>18</xdr:row>
          <xdr:rowOff>213360</xdr:rowOff>
        </xdr:from>
        <xdr:to>
          <xdr:col>12</xdr:col>
          <xdr:colOff>30480</xdr:colOff>
          <xdr:row>21</xdr:row>
          <xdr:rowOff>160020</xdr:rowOff>
        </xdr:to>
        <xdr:sp macro="" textlink="">
          <xdr:nvSpPr>
            <xdr:cNvPr id="267266" name="Button 2" hidden="1">
              <a:extLst>
                <a:ext uri="{63B3BB69-23CF-44E3-9099-C40C66FF867C}">
                  <a14:compatExt spid="_x0000_s267266"/>
                </a:ext>
                <a:ext uri="{FF2B5EF4-FFF2-40B4-BE49-F238E27FC236}">
                  <a16:creationId xmlns:a16="http://schemas.microsoft.com/office/drawing/2014/main" id="{E34CFEFC-0B72-4B26-9623-1291D2188A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32</xdr:row>
          <xdr:rowOff>167640</xdr:rowOff>
        </xdr:from>
        <xdr:to>
          <xdr:col>12</xdr:col>
          <xdr:colOff>0</xdr:colOff>
          <xdr:row>33</xdr:row>
          <xdr:rowOff>175260</xdr:rowOff>
        </xdr:to>
        <xdr:sp macro="" textlink="">
          <xdr:nvSpPr>
            <xdr:cNvPr id="267267" name="Button 3" hidden="1">
              <a:extLst>
                <a:ext uri="{63B3BB69-23CF-44E3-9099-C40C66FF867C}">
                  <a14:compatExt spid="_x0000_s267267"/>
                </a:ext>
                <a:ext uri="{FF2B5EF4-FFF2-40B4-BE49-F238E27FC236}">
                  <a16:creationId xmlns:a16="http://schemas.microsoft.com/office/drawing/2014/main" id="{AEBB9E9A-3947-475F-AFAA-29B6D0C156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30</xdr:row>
          <xdr:rowOff>175260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267268" name="Button 4" hidden="1">
              <a:extLst>
                <a:ext uri="{63B3BB69-23CF-44E3-9099-C40C66FF867C}">
                  <a14:compatExt spid="_x0000_s267268"/>
                </a:ext>
                <a:ext uri="{FF2B5EF4-FFF2-40B4-BE49-F238E27FC236}">
                  <a16:creationId xmlns:a16="http://schemas.microsoft.com/office/drawing/2014/main" id="{7D8184ED-CAF4-4244-A8B1-75162CD446C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Mark as 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23</xdr:row>
          <xdr:rowOff>175260</xdr:rowOff>
        </xdr:from>
        <xdr:to>
          <xdr:col>12</xdr:col>
          <xdr:colOff>7620</xdr:colOff>
          <xdr:row>26</xdr:row>
          <xdr:rowOff>106680</xdr:rowOff>
        </xdr:to>
        <xdr:sp macro="" textlink="">
          <xdr:nvSpPr>
            <xdr:cNvPr id="267269" name="Button 5" hidden="1">
              <a:extLst>
                <a:ext uri="{63B3BB69-23CF-44E3-9099-C40C66FF867C}">
                  <a14:compatExt spid="_x0000_s267269"/>
                </a:ext>
                <a:ext uri="{FF2B5EF4-FFF2-40B4-BE49-F238E27FC236}">
                  <a16:creationId xmlns:a16="http://schemas.microsoft.com/office/drawing/2014/main" id="{3F4EF9E5-AF8D-4C48-B7E8-228E200582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In Stock Status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15240</xdr:colOff>
          <xdr:row>10</xdr:row>
          <xdr:rowOff>190500</xdr:rowOff>
        </xdr:from>
        <xdr:to>
          <xdr:col>12</xdr:col>
          <xdr:colOff>15240</xdr:colOff>
          <xdr:row>12</xdr:row>
          <xdr:rowOff>175260</xdr:rowOff>
        </xdr:to>
        <xdr:sp macro="" textlink="">
          <xdr:nvSpPr>
            <xdr:cNvPr id="268289" name="Button 1" hidden="1">
              <a:extLst>
                <a:ext uri="{63B3BB69-23CF-44E3-9099-C40C66FF867C}">
                  <a14:compatExt spid="_x0000_s268289"/>
                </a:ext>
                <a:ext uri="{FF2B5EF4-FFF2-40B4-BE49-F238E27FC236}">
                  <a16:creationId xmlns:a16="http://schemas.microsoft.com/office/drawing/2014/main" id="{AF79ED6C-07ED-4A8B-B037-E7848A375E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640080</xdr:colOff>
          <xdr:row>18</xdr:row>
          <xdr:rowOff>213360</xdr:rowOff>
        </xdr:from>
        <xdr:to>
          <xdr:col>12</xdr:col>
          <xdr:colOff>30480</xdr:colOff>
          <xdr:row>21</xdr:row>
          <xdr:rowOff>160020</xdr:rowOff>
        </xdr:to>
        <xdr:sp macro="" textlink="">
          <xdr:nvSpPr>
            <xdr:cNvPr id="268290" name="Button 2" hidden="1">
              <a:extLst>
                <a:ext uri="{63B3BB69-23CF-44E3-9099-C40C66FF867C}">
                  <a14:compatExt spid="_x0000_s268290"/>
                </a:ext>
                <a:ext uri="{FF2B5EF4-FFF2-40B4-BE49-F238E27FC236}">
                  <a16:creationId xmlns:a16="http://schemas.microsoft.com/office/drawing/2014/main" id="{9D98ED8D-16DB-4D78-8F7D-FD72122651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32</xdr:row>
          <xdr:rowOff>167640</xdr:rowOff>
        </xdr:from>
        <xdr:to>
          <xdr:col>12</xdr:col>
          <xdr:colOff>0</xdr:colOff>
          <xdr:row>33</xdr:row>
          <xdr:rowOff>175260</xdr:rowOff>
        </xdr:to>
        <xdr:sp macro="" textlink="">
          <xdr:nvSpPr>
            <xdr:cNvPr id="268291" name="Button 3" hidden="1">
              <a:extLst>
                <a:ext uri="{63B3BB69-23CF-44E3-9099-C40C66FF867C}">
                  <a14:compatExt spid="_x0000_s268291"/>
                </a:ext>
                <a:ext uri="{FF2B5EF4-FFF2-40B4-BE49-F238E27FC236}">
                  <a16:creationId xmlns:a16="http://schemas.microsoft.com/office/drawing/2014/main" id="{EBAA6C5F-F075-4085-B540-B8B58DA3A2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30</xdr:row>
          <xdr:rowOff>175260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268292" name="Button 4" hidden="1">
              <a:extLst>
                <a:ext uri="{63B3BB69-23CF-44E3-9099-C40C66FF867C}">
                  <a14:compatExt spid="_x0000_s268292"/>
                </a:ext>
                <a:ext uri="{FF2B5EF4-FFF2-40B4-BE49-F238E27FC236}">
                  <a16:creationId xmlns:a16="http://schemas.microsoft.com/office/drawing/2014/main" id="{811D5614-22C2-4924-AB4A-9AD761B0D23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Mark as 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23</xdr:row>
          <xdr:rowOff>175260</xdr:rowOff>
        </xdr:from>
        <xdr:to>
          <xdr:col>12</xdr:col>
          <xdr:colOff>7620</xdr:colOff>
          <xdr:row>26</xdr:row>
          <xdr:rowOff>106680</xdr:rowOff>
        </xdr:to>
        <xdr:sp macro="" textlink="">
          <xdr:nvSpPr>
            <xdr:cNvPr id="268293" name="Button 5" hidden="1">
              <a:extLst>
                <a:ext uri="{63B3BB69-23CF-44E3-9099-C40C66FF867C}">
                  <a14:compatExt spid="_x0000_s268293"/>
                </a:ext>
                <a:ext uri="{FF2B5EF4-FFF2-40B4-BE49-F238E27FC236}">
                  <a16:creationId xmlns:a16="http://schemas.microsoft.com/office/drawing/2014/main" id="{16275A5B-CEB5-474A-A3CC-1FE453167A5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In Stock Status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15240</xdr:colOff>
          <xdr:row>10</xdr:row>
          <xdr:rowOff>190500</xdr:rowOff>
        </xdr:from>
        <xdr:to>
          <xdr:col>12</xdr:col>
          <xdr:colOff>15240</xdr:colOff>
          <xdr:row>12</xdr:row>
          <xdr:rowOff>175260</xdr:rowOff>
        </xdr:to>
        <xdr:sp macro="" textlink="">
          <xdr:nvSpPr>
            <xdr:cNvPr id="60422" name="Button 6" hidden="1">
              <a:extLst>
                <a:ext uri="{63B3BB69-23CF-44E3-9099-C40C66FF867C}">
                  <a14:compatExt spid="_x0000_s60422"/>
                </a:ext>
                <a:ext uri="{FF2B5EF4-FFF2-40B4-BE49-F238E27FC236}">
                  <a16:creationId xmlns:a16="http://schemas.microsoft.com/office/drawing/2014/main" id="{00000000-0008-0000-0700-00000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640080</xdr:colOff>
          <xdr:row>18</xdr:row>
          <xdr:rowOff>213360</xdr:rowOff>
        </xdr:from>
        <xdr:to>
          <xdr:col>12</xdr:col>
          <xdr:colOff>30480</xdr:colOff>
          <xdr:row>21</xdr:row>
          <xdr:rowOff>160020</xdr:rowOff>
        </xdr:to>
        <xdr:sp macro="" textlink="">
          <xdr:nvSpPr>
            <xdr:cNvPr id="60424" name="Button 8" hidden="1">
              <a:extLst>
                <a:ext uri="{63B3BB69-23CF-44E3-9099-C40C66FF867C}">
                  <a14:compatExt spid="_x0000_s60424"/>
                </a:ext>
                <a:ext uri="{FF2B5EF4-FFF2-40B4-BE49-F238E27FC236}">
                  <a16:creationId xmlns:a16="http://schemas.microsoft.com/office/drawing/2014/main" id="{00000000-0008-0000-0700-00000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32</xdr:row>
          <xdr:rowOff>167640</xdr:rowOff>
        </xdr:from>
        <xdr:to>
          <xdr:col>12</xdr:col>
          <xdr:colOff>0</xdr:colOff>
          <xdr:row>33</xdr:row>
          <xdr:rowOff>175260</xdr:rowOff>
        </xdr:to>
        <xdr:sp macro="" textlink="">
          <xdr:nvSpPr>
            <xdr:cNvPr id="60427" name="Button 11" hidden="1">
              <a:extLst>
                <a:ext uri="{63B3BB69-23CF-44E3-9099-C40C66FF867C}">
                  <a14:compatExt spid="_x0000_s60427"/>
                </a:ext>
                <a:ext uri="{FF2B5EF4-FFF2-40B4-BE49-F238E27FC236}">
                  <a16:creationId xmlns:a16="http://schemas.microsoft.com/office/drawing/2014/main" id="{00000000-0008-0000-0700-00000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30</xdr:row>
          <xdr:rowOff>175260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60428" name="Button 12" hidden="1">
              <a:extLst>
                <a:ext uri="{63B3BB69-23CF-44E3-9099-C40C66FF867C}">
                  <a14:compatExt spid="_x0000_s60428"/>
                </a:ext>
                <a:ext uri="{FF2B5EF4-FFF2-40B4-BE49-F238E27FC236}">
                  <a16:creationId xmlns:a16="http://schemas.microsoft.com/office/drawing/2014/main" id="{00000000-0008-0000-0700-00000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Mark as 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23</xdr:row>
          <xdr:rowOff>175260</xdr:rowOff>
        </xdr:from>
        <xdr:to>
          <xdr:col>12</xdr:col>
          <xdr:colOff>7620</xdr:colOff>
          <xdr:row>26</xdr:row>
          <xdr:rowOff>106680</xdr:rowOff>
        </xdr:to>
        <xdr:sp macro="" textlink="">
          <xdr:nvSpPr>
            <xdr:cNvPr id="60429" name="Button 13" hidden="1">
              <a:extLst>
                <a:ext uri="{63B3BB69-23CF-44E3-9099-C40C66FF867C}">
                  <a14:compatExt spid="_x0000_s60429"/>
                </a:ext>
                <a:ext uri="{FF2B5EF4-FFF2-40B4-BE49-F238E27FC236}">
                  <a16:creationId xmlns:a16="http://schemas.microsoft.com/office/drawing/2014/main" id="{00000000-0008-0000-0700-00000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In Stock Status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E3155DF-3CB2-4063-8346-D3006162EB2E}" name="MenuTable" displayName="MenuTable" ref="A1:E10" totalsRowShown="0" headerRowDxfId="141" dataDxfId="139" headerRowBorderDxfId="140" tableBorderDxfId="138" totalsRowBorderDxfId="137" headerRowCellStyle="60% - Accent5">
  <autoFilter ref="A1:E10" xr:uid="{7E3155DF-3CB2-4063-8346-D3006162EB2E}"/>
  <sortState xmlns:xlrd2="http://schemas.microsoft.com/office/spreadsheetml/2017/richdata2" ref="A2:E10">
    <sortCondition ref="A1:A10"/>
  </sortState>
  <tableColumns count="5">
    <tableColumn id="1" xr3:uid="{4A3C96D4-74F9-46DA-B54B-0CD347E35136}" name="Surname" dataDxfId="136" dataCellStyle="Hyperlink"/>
    <tableColumn id="2" xr3:uid="{2B90B92F-5F96-4EDA-9BBB-0E797162ECC4}" name="First Name" dataDxfId="135" dataCellStyle="Hyperlink"/>
    <tableColumn id="8" xr3:uid="{CFE0A41F-FE26-4CF3-BAA8-F6CEC7B006D4}" name="Status" dataDxfId="134" dataCellStyle="Hyperlink"/>
    <tableColumn id="3" xr3:uid="{EBBDE5FC-4AD9-4996-A6CE-25D9B52D4D03}" name="Date" dataDxfId="133"/>
    <tableColumn id="4" xr3:uid="{854BBB0E-E50E-4F6C-90CC-6180E0CE5D32}" name="ID" dataDxfId="132"/>
  </tableColumns>
  <tableStyleInfo name="TableStyleMedium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BE43AA0-FEFE-4953-BA96-A0217731DC97}" name="StatusTable" displayName="StatusTable" ref="A2:W8" totalsRowShown="0" headerRowDxfId="131" dataDxfId="130">
  <autoFilter ref="A2:W8" xr:uid="{BBE43AA0-FEFE-4953-BA96-A0217731DC97}"/>
  <sortState xmlns:xlrd2="http://schemas.microsoft.com/office/spreadsheetml/2017/richdata2" ref="A2:W2">
    <sortCondition ref="A2"/>
  </sortState>
  <tableColumns count="23">
    <tableColumn id="1" xr3:uid="{77C7B428-E99D-49B8-8796-47FEBA3B8CD2}" name="Name" dataDxfId="0" dataCellStyle="Hyperlink"/>
    <tableColumn id="2" xr3:uid="{36FC8A03-C285-4FA4-AEC4-647B7067D01E}" name="Tunic" dataDxfId="1"/>
    <tableColumn id="3" xr3:uid="{E2B75A82-055F-492D-97B2-03C8E9C74CBF}" name="Collar Shirt" dataDxfId="22"/>
    <tableColumn id="4" xr3:uid="{89128C49-0667-4328-9CC8-935C76EB5CFF}" name="T-Shirt" dataDxfId="21"/>
    <tableColumn id="5" xr3:uid="{58E02DDF-FF68-4A85-A160-1478AFFC5301}" name="Dress Pants" dataDxfId="20"/>
    <tableColumn id="6" xr3:uid="{3C885A6D-7C6D-47FE-9D20-7FB555626C24}" name="Wedge" dataDxfId="19"/>
    <tableColumn id="7" xr3:uid="{650E09C5-6A05-4527-A321-E6D98102B309}" name="Tie" dataDxfId="18"/>
    <tableColumn id="8" xr3:uid="{B5F54AB4-5997-4EA8-AF06-4966A756DE93}" name="Belt" dataDxfId="17"/>
    <tableColumn id="9" xr3:uid="{8136261F-5775-4352-A73E-8E659AD02B53}" name="Socks" dataDxfId="16"/>
    <tableColumn id="10" xr3:uid="{9DEA83F4-EB2F-4D7E-9C9C-751F43044531}" name="Leather Boots" dataDxfId="15"/>
    <tableColumn id="11" xr3:uid="{1CEE23EA-B0BC-483E-BE3B-570F93C07C1A}" name="Leave Blank" dataDxfId="14"/>
    <tableColumn id="12" xr3:uid="{1D45495D-88A2-4A94-96C4-B047B6ED62D3}" name="Toque" dataDxfId="13"/>
    <tableColumn id="13" xr3:uid="{5954CB37-ED15-4CF3-A1FD-DCA35E0B036C}" name="Tilly" dataDxfId="12"/>
    <tableColumn id="14" xr3:uid="{4EB0159F-D44E-4237-807C-59C05B43CC3A}" name="Parka" dataDxfId="11"/>
    <tableColumn id="15" xr3:uid="{2D7F5042-3E7C-429C-8AFF-8601B19B8A0F}" name="Gloves" dataDxfId="10"/>
    <tableColumn id="16" xr3:uid="{D45A8E58-834C-42E4-980C-B85C418519A9}" name="Leave Blank2" dataDxfId="9"/>
    <tableColumn id="17" xr3:uid="{433672DD-A406-4334-A746-FB02B994A2E4}" name="Beret" dataDxfId="8"/>
    <tableColumn id="18" xr3:uid="{EE18EFD7-E877-490B-B14E-3FC28D0B1264}" name="FTU Tunic" dataDxfId="7"/>
    <tableColumn id="19" xr3:uid="{29AC551F-F02C-4401-9F86-D5A21F3B8962}" name="FTU Pants" dataDxfId="6"/>
    <tableColumn id="20" xr3:uid="{6DB4DDF9-B627-4BC2-B983-0DA0719B49B1}" name="FTU Boots" dataDxfId="5"/>
    <tableColumn id="27" xr3:uid="{84909A50-96B7-4616-B421-ACD5823BBA6B}" name="Column3" dataDxfId="4"/>
    <tableColumn id="26" xr3:uid="{0EFD58A3-59A1-406F-A3FD-C3E38DB387F2}" name="NameTag" dataDxfId="2"/>
    <tableColumn id="21" xr3:uid="{AEFDE823-D276-4BBA-8AAC-39096CA09601}" name="Toggle Done" dataDxfId="3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C4CBEA0-3C35-47C4-899C-54642FCCEC00}" name="Charlie_Clark_74CD899DExchangeTable" displayName="Charlie_Clark_74CD899DExchangeTable" ref="A37:D38" insertRow="1" totalsRowShown="0" headerRowDxfId="129" dataDxfId="128">
  <autoFilter ref="A37:D38" xr:uid="{FC4CBEA0-3C35-47C4-899C-54642FCCEC00}"/>
  <tableColumns count="4">
    <tableColumn id="1" xr3:uid="{0E3A8317-16C1-4737-8188-209F4B309D95}" name="Date" dataDxfId="127"/>
    <tableColumn id="2" xr3:uid="{C8021A62-52E6-4853-A215-FDEB914C3124}" name="Item" dataDxfId="126"/>
    <tableColumn id="3" xr3:uid="{7A861241-55A5-4209-A3EA-33C239D3194B}" name="Old Size" dataDxfId="125"/>
    <tableColumn id="4" xr3:uid="{0047CD2F-9019-4A9C-99E6-E38CA8B64E87}" name="New Size" dataDxfId="124"/>
  </tableColumns>
  <tableStyleInfo name="ExchangeTableSty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2529D9B-1E6F-4486-963A-E46D759286CD}" name="Isabella_Taylor_D098F288ExchangeTable" displayName="Isabella_Taylor_D098F288ExchangeTable" ref="A37:D40" totalsRowShown="0" headerRowDxfId="123" dataDxfId="122">
  <autoFilter ref="A37:D40" xr:uid="{52529D9B-1E6F-4486-963A-E46D759286CD}"/>
  <tableColumns count="4">
    <tableColumn id="1" xr3:uid="{2335A062-9327-4783-BBF4-BD2519F075DE}" name="Date" dataDxfId="121"/>
    <tableColumn id="2" xr3:uid="{CA4B2DC8-BFE2-4284-B564-9E2D82BC149A}" name="Item" dataDxfId="120"/>
    <tableColumn id="3" xr3:uid="{B31EA789-3577-4A66-B7FD-4661B6C501DC}" name="Old Size" dataDxfId="119"/>
    <tableColumn id="4" xr3:uid="{DB5C0015-EC71-4A94-A3A5-CCD59FF712A8}" name="New Size" dataDxfId="118"/>
  </tableColumns>
  <tableStyleInfo name="ExchangeTableSty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C07D0A3-C65C-461A-A192-8EFBDD7638B6}" name="Banks_Rob_B4DD32A8ExchangeTable" displayName="Banks_Rob_B4DD32A8ExchangeTable" ref="A37:D38" insertRow="1" totalsRowShown="0" headerRowDxfId="112" dataDxfId="113">
  <autoFilter ref="A37:D38" xr:uid="{EC07D0A3-C65C-461A-A192-8EFBDD7638B6}"/>
  <tableColumns count="4">
    <tableColumn id="1" xr3:uid="{1EE65310-CB3C-4D17-84A2-0D08426386EE}" name="Date" dataDxfId="117"/>
    <tableColumn id="2" xr3:uid="{276C0FD6-F280-44E3-B7A4-E393B1E41E71}" name="Item" dataDxfId="116"/>
    <tableColumn id="3" xr3:uid="{207C018B-279B-4E8A-ADA2-94D9E9D353B2}" name="Old Size" dataDxfId="115"/>
    <tableColumn id="4" xr3:uid="{423617A1-98F1-46A9-ACF4-464DA33BE38F}" name="New Size" dataDxfId="114"/>
  </tableColumns>
  <tableStyleInfo name="ExchangeTableSty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9B090D4-9D4B-4EB5-9BD0-8CE3579B7944}" name="Rophone_Mike_747A9E83ExchangeTable" displayName="Rophone_Mike_747A9E83ExchangeTable" ref="A37:D38" insertRow="1" totalsRowShown="0" headerRowDxfId="106" dataDxfId="107">
  <autoFilter ref="A37:D38" xr:uid="{09B090D4-9D4B-4EB5-9BD0-8CE3579B7944}"/>
  <tableColumns count="4">
    <tableColumn id="1" xr3:uid="{25747F88-E177-4AEE-8DA9-C36D688EC712}" name="Date" dataDxfId="111"/>
    <tableColumn id="2" xr3:uid="{8C3F9440-040C-480D-81E5-8F309CC183BD}" name="Item" dataDxfId="110"/>
    <tableColumn id="3" xr3:uid="{A0409410-15EA-487E-8776-AB80227CC9A6}" name="Old Size" dataDxfId="109"/>
    <tableColumn id="4" xr3:uid="{983E046A-39C6-4EC7-A709-ABCE06C24055}" name="New Size" dataDxfId="108"/>
  </tableColumns>
  <tableStyleInfo name="ExchangeTableSty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B7E6F4F-7D1B-47DD-A551-D311D42AA882}" name="Christ_Jesus_87519091ExchangeTable" displayName="Christ_Jesus_87519091ExchangeTable" ref="A37:D38" insertRow="1" totalsRowShown="0" headerRowDxfId="100" dataDxfId="101">
  <autoFilter ref="A37:D38" xr:uid="{7B7E6F4F-7D1B-47DD-A551-D311D42AA882}"/>
  <tableColumns count="4">
    <tableColumn id="1" xr3:uid="{AB23AA7C-877F-4AF0-B831-A82359F1A305}" name="Date" dataDxfId="105"/>
    <tableColumn id="2" xr3:uid="{CA4758F6-B983-40AB-89FE-75A30BDFB3CD}" name="Item" dataDxfId="104"/>
    <tableColumn id="3" xr3:uid="{1A5C2A24-C764-4CB6-BA10-0BD3B683FAE9}" name="Old Size" dataDxfId="103"/>
    <tableColumn id="4" xr3:uid="{2318EA29-8C34-4021-A79A-80D2057374AB}" name="New Size" dataDxfId="102"/>
  </tableColumns>
  <tableStyleInfo name="ExchangeTableStyle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1A0C7C4-598B-441A-B47E-F5D337CF5693}" name="Rhea_Dia_A5D0E0B7ExchangeTable" displayName="Rhea_Dia_A5D0E0B7ExchangeTable" ref="A37:D38" insertRow="1" totalsRowShown="0" headerRowDxfId="94" dataDxfId="95">
  <autoFilter ref="A37:D38" xr:uid="{01A0C7C4-598B-441A-B47E-F5D337CF5693}"/>
  <tableColumns count="4">
    <tableColumn id="1" xr3:uid="{9D9A553D-C14F-4C35-A6A8-42547FA1FCFD}" name="Date" dataDxfId="99"/>
    <tableColumn id="2" xr3:uid="{F962C494-B001-4276-9039-50BD7598904D}" name="Item" dataDxfId="98"/>
    <tableColumn id="3" xr3:uid="{6885CB22-4678-4170-BB0B-FD8B77ACA675}" name="Old Size" dataDxfId="97"/>
    <tableColumn id="4" xr3:uid="{7DB1F6E6-D6BB-4CE2-8B96-3C23FCCC1F41}" name="New Size" dataDxfId="96"/>
  </tableColumns>
  <tableStyleInfo name="ExchangeTableSty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ctrlProp" Target="../ctrlProps/ctrlProp4.xml"/><Relationship Id="rId7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Relationship Id="rId9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ctrlProp" Target="../ctrlProps/ctrlProp10.xml"/><Relationship Id="rId7" Type="http://schemas.openxmlformats.org/officeDocument/2006/relationships/ctrlProp" Target="../ctrlProps/ctrlProp1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.xml"/><Relationship Id="rId3" Type="http://schemas.openxmlformats.org/officeDocument/2006/relationships/ctrlProp" Target="../ctrlProps/ctrlProp15.xml"/><Relationship Id="rId7" Type="http://schemas.openxmlformats.org/officeDocument/2006/relationships/ctrlProp" Target="../ctrlProps/ctrlProp1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ctrlProp" Target="../ctrlProps/ctrlProp20.xml"/><Relationship Id="rId7" Type="http://schemas.openxmlformats.org/officeDocument/2006/relationships/ctrlProp" Target="../ctrlProps/ctrlProp24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Relationship Id="rId6" Type="http://schemas.openxmlformats.org/officeDocument/2006/relationships/ctrlProp" Target="../ctrlProps/ctrlProp23.xml"/><Relationship Id="rId5" Type="http://schemas.openxmlformats.org/officeDocument/2006/relationships/ctrlProp" Target="../ctrlProps/ctrlProp22.xml"/><Relationship Id="rId4" Type="http://schemas.openxmlformats.org/officeDocument/2006/relationships/ctrlProp" Target="../ctrlProps/ctrlProp21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ctrlProp" Target="../ctrlProps/ctrlProp25.xml"/><Relationship Id="rId7" Type="http://schemas.openxmlformats.org/officeDocument/2006/relationships/ctrlProp" Target="../ctrlProps/ctrlProp29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28.xml"/><Relationship Id="rId5" Type="http://schemas.openxmlformats.org/officeDocument/2006/relationships/ctrlProp" Target="../ctrlProps/ctrlProp27.xml"/><Relationship Id="rId4" Type="http://schemas.openxmlformats.org/officeDocument/2006/relationships/ctrlProp" Target="../ctrlProps/ctrlProp26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ctrlProp" Target="../ctrlProps/ctrlProp30.xml"/><Relationship Id="rId7" Type="http://schemas.openxmlformats.org/officeDocument/2006/relationships/ctrlProp" Target="../ctrlProps/ctrlProp34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9.xml"/><Relationship Id="rId6" Type="http://schemas.openxmlformats.org/officeDocument/2006/relationships/ctrlProp" Target="../ctrlProps/ctrlProp33.xml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ctrlProp" Target="../ctrlProps/ctrlProp35.xml"/><Relationship Id="rId7" Type="http://schemas.openxmlformats.org/officeDocument/2006/relationships/ctrlProp" Target="../ctrlProps/ctrlProp3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38.xml"/><Relationship Id="rId5" Type="http://schemas.openxmlformats.org/officeDocument/2006/relationships/ctrlProp" Target="../ctrlProps/ctrlProp37.xml"/><Relationship Id="rId4" Type="http://schemas.openxmlformats.org/officeDocument/2006/relationships/ctrlProp" Target="../ctrlProps/ctrlProp36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0.xml"/><Relationship Id="rId7" Type="http://schemas.openxmlformats.org/officeDocument/2006/relationships/ctrlProp" Target="../ctrlProps/ctrlProp44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Relationship Id="rId6" Type="http://schemas.openxmlformats.org/officeDocument/2006/relationships/ctrlProp" Target="../ctrlProps/ctrlProp43.xml"/><Relationship Id="rId5" Type="http://schemas.openxmlformats.org/officeDocument/2006/relationships/ctrlProp" Target="../ctrlProps/ctrlProp42.xml"/><Relationship Id="rId4" Type="http://schemas.openxmlformats.org/officeDocument/2006/relationships/ctrlProp" Target="../ctrlProps/ctrlProp4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F3530-B4A1-476B-B008-9B7C4EB64E1C}">
  <sheetPr codeName="Sheet2"/>
  <dimension ref="A1:O10"/>
  <sheetViews>
    <sheetView zoomScale="85" zoomScaleNormal="85" workbookViewId="0"/>
  </sheetViews>
  <sheetFormatPr defaultRowHeight="14.4" x14ac:dyDescent="0.3"/>
  <cols>
    <col min="1" max="1" width="16.88671875" customWidth="1"/>
    <col min="2" max="2" width="21.33203125" customWidth="1"/>
    <col min="3" max="3" width="20.21875" customWidth="1"/>
    <col min="4" max="4" width="25.6640625" customWidth="1"/>
    <col min="5" max="5" width="16.6640625" customWidth="1"/>
  </cols>
  <sheetData>
    <row r="1" spans="1:15" ht="43.8" customHeight="1" x14ac:dyDescent="0.3">
      <c r="A1" s="7" t="s">
        <v>0</v>
      </c>
      <c r="B1" s="6" t="s">
        <v>2</v>
      </c>
      <c r="C1" s="29" t="s">
        <v>36</v>
      </c>
      <c r="D1" s="6" t="s">
        <v>40</v>
      </c>
      <c r="E1" s="13" t="s">
        <v>41</v>
      </c>
      <c r="O1" t="s">
        <v>64</v>
      </c>
    </row>
    <row r="2" spans="1:15" x14ac:dyDescent="0.3">
      <c r="A2" s="57" t="s">
        <v>108</v>
      </c>
      <c r="B2" s="50" t="s">
        <v>103</v>
      </c>
      <c r="C2" s="51" t="s">
        <v>124</v>
      </c>
      <c r="D2" s="52">
        <v>45298.602870370371</v>
      </c>
      <c r="E2" s="53" t="s">
        <v>109</v>
      </c>
    </row>
    <row r="3" spans="1:15" ht="28.8" x14ac:dyDescent="0.3">
      <c r="A3" s="58" t="s">
        <v>153</v>
      </c>
      <c r="B3" s="49" t="s">
        <v>154</v>
      </c>
      <c r="C3" s="31" t="s">
        <v>191</v>
      </c>
      <c r="D3" s="77">
        <v>45302.653449074074</v>
      </c>
      <c r="E3" s="78" t="s">
        <v>181</v>
      </c>
    </row>
    <row r="4" spans="1:15" x14ac:dyDescent="0.3">
      <c r="A4" s="54" t="s">
        <v>151</v>
      </c>
      <c r="B4" s="30" t="s">
        <v>152</v>
      </c>
      <c r="C4" s="31" t="s">
        <v>190</v>
      </c>
      <c r="D4" s="79">
        <v>45302.653449074074</v>
      </c>
      <c r="E4" s="80">
        <v>87519091</v>
      </c>
    </row>
    <row r="5" spans="1:15" x14ac:dyDescent="0.3">
      <c r="A5" s="54" t="s">
        <v>149</v>
      </c>
      <c r="B5" s="30" t="s">
        <v>150</v>
      </c>
      <c r="C5" s="31" t="s">
        <v>190</v>
      </c>
      <c r="D5" s="79">
        <v>45302.653449074074</v>
      </c>
      <c r="E5" s="80" t="s">
        <v>168</v>
      </c>
    </row>
    <row r="6" spans="1:15" x14ac:dyDescent="0.3">
      <c r="A6" s="54" t="s">
        <v>147</v>
      </c>
      <c r="B6" s="30" t="s">
        <v>148</v>
      </c>
      <c r="C6" s="31" t="s">
        <v>190</v>
      </c>
      <c r="D6" s="79">
        <v>45302.653449074074</v>
      </c>
      <c r="E6" s="80" t="s">
        <v>156</v>
      </c>
    </row>
    <row r="7" spans="1:15" x14ac:dyDescent="0.3">
      <c r="A7" s="54" t="s">
        <v>90</v>
      </c>
      <c r="B7" s="30" t="s">
        <v>116</v>
      </c>
      <c r="C7" s="31" t="s">
        <v>124</v>
      </c>
      <c r="D7" s="55">
        <v>45298.604872685188</v>
      </c>
      <c r="E7" s="56" t="s">
        <v>117</v>
      </c>
    </row>
    <row r="8" spans="1:15" x14ac:dyDescent="0.3">
      <c r="A8" s="54"/>
      <c r="B8" s="30"/>
      <c r="C8" s="31"/>
      <c r="D8" s="55"/>
      <c r="E8" s="56"/>
    </row>
    <row r="9" spans="1:15" x14ac:dyDescent="0.3">
      <c r="A9" s="54"/>
      <c r="B9" s="30"/>
      <c r="C9" s="31"/>
      <c r="D9" s="55"/>
      <c r="E9" s="56"/>
    </row>
    <row r="10" spans="1:15" x14ac:dyDescent="0.3">
      <c r="A10" s="54"/>
      <c r="B10" s="30"/>
      <c r="C10" s="31"/>
      <c r="D10" s="55"/>
      <c r="E10" s="56"/>
    </row>
  </sheetData>
  <conditionalFormatting sqref="C2:C10">
    <cfRule type="cellIs" dxfId="93" priority="1" operator="equal">
      <formula>"S.O.S"</formula>
    </cfRule>
    <cfRule type="containsText" dxfId="92" priority="2" operator="containsText" text="UNP">
      <formula>NOT(ISERROR(SEARCH("UNP",C2)))</formula>
    </cfRule>
    <cfRule type="cellIs" dxfId="91" priority="3" operator="equal">
      <formula>"In Stock"</formula>
    </cfRule>
    <cfRule type="containsText" dxfId="90" priority="4" operator="containsText" text="Pick Up">
      <formula>NOT(ISERROR(SEARCH("Pick Up",C2)))</formula>
    </cfRule>
    <cfRule type="cellIs" dxfId="89" priority="9" operator="equal">
      <formula>"Ready To Order"</formula>
    </cfRule>
    <cfRule type="containsText" dxfId="88" priority="10" operator="containsText" text="Ordered">
      <formula>NOT(ISERROR(SEARCH("Ordered",C2)))</formula>
    </cfRule>
    <cfRule type="containsText" dxfId="87" priority="11" operator="containsText" text="Complete">
      <formula>NOT(ISERROR(SEARCH("Complete",C2)))</formula>
    </cfRule>
    <cfRule type="cellIs" dxfId="86" priority="12" operator="equal">
      <formula>"Returned"</formula>
    </cfRule>
  </conditionalFormatting>
  <hyperlinks>
    <hyperlink ref="A2" location="'Charlie_Clark_74CD899D'!A1" display="Clark" xr:uid="{08DF2DD6-F01B-425A-A1D5-7F06665BCADF}"/>
    <hyperlink ref="A7" location="'Isabella_Taylor_D098F288'!A1" display="Taylor" xr:uid="{23EA7479-556C-40B6-881F-8910CF0758F7}"/>
    <hyperlink ref="A6" location="'Banks_Rob_B4DD32A8'!A1" display="Rob" xr:uid="{6C8567B3-9E3A-4F1F-B2CB-5E693DA84E4E}"/>
    <hyperlink ref="A5" location="'Rophone_Mike_747A9E83'!A1" display="Mike" xr:uid="{5F426441-7875-4D79-9B86-FF36AC0F9820}"/>
    <hyperlink ref="A4" location="'Christ_Jesus_87519091'!A1" display="Jesus" xr:uid="{82BFAB69-DEEA-49FB-BABA-33AA4D6931D1}"/>
    <hyperlink ref="A3" location="'Rhea_Dia_A5D0E0B7'!A1" display="Dia" xr:uid="{C362154D-3F29-458A-AF27-0322B1FF4E79}"/>
  </hyperlinks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60BFF2-89D4-4B39-8B77-7D0F1E2AF126}">
  <sheetPr codeName="Sheet3"/>
  <dimension ref="A1:M1"/>
  <sheetViews>
    <sheetView workbookViewId="0">
      <selection activeCell="M24" sqref="M24"/>
    </sheetView>
  </sheetViews>
  <sheetFormatPr defaultRowHeight="14.4" x14ac:dyDescent="0.3"/>
  <cols>
    <col min="2" max="2" width="10.5546875" customWidth="1"/>
    <col min="3" max="3" width="10.6640625" customWidth="1"/>
    <col min="12" max="12" width="12.109375" customWidth="1"/>
  </cols>
  <sheetData>
    <row r="1" spans="1:13" ht="37.950000000000003" customHeight="1" x14ac:dyDescent="0.3">
      <c r="A1" s="33" t="s">
        <v>49</v>
      </c>
      <c r="B1" s="33" t="s">
        <v>53</v>
      </c>
      <c r="C1" s="33" t="s">
        <v>2</v>
      </c>
      <c r="D1" s="33" t="s">
        <v>54</v>
      </c>
      <c r="E1" s="33" t="s">
        <v>9</v>
      </c>
      <c r="F1" s="33" t="s">
        <v>11</v>
      </c>
      <c r="G1" s="33" t="s">
        <v>12</v>
      </c>
      <c r="H1" s="33" t="s">
        <v>13</v>
      </c>
      <c r="I1" s="33" t="s">
        <v>55</v>
      </c>
      <c r="J1" s="33" t="s">
        <v>15</v>
      </c>
      <c r="K1" s="33" t="s">
        <v>56</v>
      </c>
      <c r="L1" s="33" t="s">
        <v>57</v>
      </c>
      <c r="M1" s="33" t="s">
        <v>59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473" r:id="rId3" name="Button 1">
              <controlPr defaultSize="0" print="0" autoFill="0" autoPict="0" macro="[0]!Importing.Importing">
                <anchor moveWithCells="1" sizeWithCells="1">
                  <from>
                    <xdr:col>13</xdr:col>
                    <xdr:colOff>396240</xdr:colOff>
                    <xdr:row>0</xdr:row>
                    <xdr:rowOff>129540</xdr:rowOff>
                  </from>
                  <to>
                    <xdr:col>16</xdr:col>
                    <xdr:colOff>342900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90140C-40F8-4668-B479-DCBAA4954D0E}">
  <sheetPr codeName="Sheet12"/>
  <dimension ref="A1:Y2"/>
  <sheetViews>
    <sheetView workbookViewId="0">
      <selection activeCell="E35" sqref="E35"/>
    </sheetView>
  </sheetViews>
  <sheetFormatPr defaultRowHeight="14.4" x14ac:dyDescent="0.3"/>
  <cols>
    <col min="1" max="1" width="13.109375" customWidth="1"/>
    <col min="3" max="3" width="10.88671875" customWidth="1"/>
    <col min="4" max="4" width="7.5546875" customWidth="1"/>
    <col min="5" max="5" width="10.5546875" customWidth="1"/>
    <col min="6" max="6" width="7" customWidth="1"/>
    <col min="7" max="7" width="4.77734375" customWidth="1"/>
    <col min="8" max="8" width="6.109375" customWidth="1"/>
    <col min="9" max="9" width="6.5546875" customWidth="1"/>
    <col min="10" max="10" width="11.88671875" customWidth="1"/>
    <col min="11" max="11" width="2.5546875" hidden="1" customWidth="1"/>
    <col min="12" max="12" width="7.44140625" customWidth="1"/>
    <col min="13" max="13" width="5.44140625" customWidth="1"/>
    <col min="14" max="14" width="7.21875" customWidth="1"/>
    <col min="15" max="15" width="11.109375" customWidth="1"/>
    <col min="16" max="16" width="7.6640625" hidden="1" customWidth="1"/>
    <col min="17" max="17" width="6.109375" customWidth="1"/>
    <col min="21" max="21" width="0" hidden="1" customWidth="1"/>
    <col min="24" max="24" width="11.109375" customWidth="1"/>
    <col min="25" max="25" width="10.21875" customWidth="1"/>
  </cols>
  <sheetData>
    <row r="1" spans="1:25" ht="41.7" customHeight="1" x14ac:dyDescent="0.3">
      <c r="A1" s="34" t="s">
        <v>62</v>
      </c>
      <c r="B1" s="34" t="s">
        <v>18</v>
      </c>
      <c r="C1" s="34" t="s">
        <v>21</v>
      </c>
      <c r="D1" s="34" t="s">
        <v>19</v>
      </c>
      <c r="E1" s="34" t="s">
        <v>20</v>
      </c>
      <c r="F1" s="34" t="s">
        <v>24</v>
      </c>
      <c r="G1" s="34" t="s">
        <v>23</v>
      </c>
      <c r="H1" s="34" t="s">
        <v>25</v>
      </c>
      <c r="I1" s="34" t="s">
        <v>26</v>
      </c>
      <c r="J1" s="34" t="s">
        <v>27</v>
      </c>
      <c r="K1" s="34"/>
      <c r="L1" s="34" t="s">
        <v>28</v>
      </c>
      <c r="M1" s="34" t="s">
        <v>22</v>
      </c>
      <c r="N1" s="34" t="s">
        <v>29</v>
      </c>
      <c r="O1" s="34" t="s">
        <v>30</v>
      </c>
      <c r="P1" s="34"/>
      <c r="Q1" s="34" t="s">
        <v>33</v>
      </c>
      <c r="R1" s="34" t="s">
        <v>31</v>
      </c>
      <c r="S1" s="34" t="s">
        <v>48</v>
      </c>
      <c r="T1" s="34" t="s">
        <v>32</v>
      </c>
      <c r="U1" s="34"/>
      <c r="V1" s="34" t="s">
        <v>101</v>
      </c>
      <c r="W1" s="32"/>
      <c r="X1" s="32"/>
      <c r="Y1" s="32"/>
    </row>
    <row r="2" spans="1:25" x14ac:dyDescent="0.3">
      <c r="A2" s="75" t="s">
        <v>192</v>
      </c>
      <c r="C2" s="93">
        <v>13</v>
      </c>
      <c r="D2" s="93" t="s">
        <v>144</v>
      </c>
      <c r="F2" s="93">
        <v>7</v>
      </c>
      <c r="G2" s="93" t="s">
        <v>137</v>
      </c>
      <c r="H2" s="93" t="s">
        <v>145</v>
      </c>
      <c r="I2" s="93" t="s">
        <v>136</v>
      </c>
      <c r="M2" s="93" t="s">
        <v>136</v>
      </c>
      <c r="O2" s="93" t="s">
        <v>140</v>
      </c>
      <c r="Q2" s="93">
        <v>7</v>
      </c>
      <c r="R2" s="93">
        <v>6432</v>
      </c>
    </row>
  </sheetData>
  <hyperlinks>
    <hyperlink ref="A2" location="Rhea_Dia_A5D0E0B7!A1" display="Dia, Rhea" xr:uid="{D3C65AA9-B690-4349-BD0D-A8E8492035F2}"/>
  </hyperlinks>
  <pageMargins left="0.7" right="0.7" top="0.75" bottom="0.75" header="0.3" footer="0.3"/>
  <pageSetup orientation="landscape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4002" r:id="rId4" name="Button 162">
              <controlPr defaultSize="0" print="0" autoFill="0" autoPict="0" macro="[0]!pickup">
                <anchor moveWithCells="1" sizeWithCells="1">
                  <from>
                    <xdr:col>22</xdr:col>
                    <xdr:colOff>152400</xdr:colOff>
                    <xdr:row>0</xdr:row>
                    <xdr:rowOff>53340</xdr:rowOff>
                  </from>
                  <to>
                    <xdr:col>24</xdr:col>
                    <xdr:colOff>533400</xdr:colOff>
                    <xdr:row>0</xdr:row>
                    <xdr:rowOff>441960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03" r:id="rId5" name="Complete1">
              <controlPr defaultSize="0" print="0" autoFill="0" autoPict="0" macro="[0]!'markPickUpAsComplete &quot;Rhea_Dia_A5D0E0B7&quot;, 1'">
                <anchor moveWithCells="1" sizeWithCells="1">
                  <from>
                    <xdr:col>23</xdr:col>
                    <xdr:colOff>7620</xdr:colOff>
                    <xdr:row>1</xdr:row>
                    <xdr:rowOff>0</xdr:rowOff>
                  </from>
                  <to>
                    <xdr:col>24</xdr:col>
                    <xdr:colOff>7620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54ADA2-84C8-4239-9B0B-2EC01C320ED7}">
  <sheetPr codeName="Sheet11"/>
  <dimension ref="A1:W8"/>
  <sheetViews>
    <sheetView tabSelected="1" zoomScale="85" zoomScaleNormal="85" workbookViewId="0">
      <selection activeCell="C13" sqref="C13"/>
    </sheetView>
  </sheetViews>
  <sheetFormatPr defaultRowHeight="14.4" x14ac:dyDescent="0.3"/>
  <cols>
    <col min="1" max="1" width="16.21875" customWidth="1"/>
    <col min="2" max="9" width="9.6640625" customWidth="1"/>
    <col min="10" max="10" width="13.5546875" customWidth="1"/>
    <col min="11" max="11" width="1.44140625" hidden="1" customWidth="1"/>
    <col min="12" max="15" width="10.6640625" customWidth="1"/>
    <col min="16" max="16" width="1.77734375" hidden="1" customWidth="1"/>
    <col min="17" max="20" width="10.6640625" customWidth="1"/>
    <col min="21" max="21" width="10.6640625" hidden="1" customWidth="1"/>
    <col min="22" max="22" width="10.6640625" customWidth="1"/>
    <col min="23" max="23" width="13.6640625" customWidth="1"/>
  </cols>
  <sheetData>
    <row r="1" spans="1:23" ht="27.6" customHeight="1" x14ac:dyDescent="0.3">
      <c r="A1" s="39" t="s">
        <v>42</v>
      </c>
      <c r="B1" s="35" t="s">
        <v>45</v>
      </c>
      <c r="C1" s="36" t="s">
        <v>84</v>
      </c>
      <c r="D1" s="61" t="s">
        <v>85</v>
      </c>
      <c r="E1" s="61"/>
      <c r="F1" s="42" t="s">
        <v>86</v>
      </c>
      <c r="G1" s="45" t="s">
        <v>69</v>
      </c>
      <c r="H1" s="37" t="s">
        <v>82</v>
      </c>
      <c r="I1" s="38" t="s">
        <v>87</v>
      </c>
      <c r="L1" s="40" t="s">
        <v>107</v>
      </c>
      <c r="M1" s="48" t="s">
        <v>104</v>
      </c>
      <c r="N1" s="47" t="s">
        <v>105</v>
      </c>
      <c r="O1" s="46" t="s">
        <v>106</v>
      </c>
    </row>
    <row r="2" spans="1:23" ht="37.35" customHeight="1" x14ac:dyDescent="0.3">
      <c r="A2" s="34" t="s">
        <v>62</v>
      </c>
      <c r="B2" s="34" t="s">
        <v>18</v>
      </c>
      <c r="C2" s="34" t="s">
        <v>21</v>
      </c>
      <c r="D2" s="34" t="s">
        <v>19</v>
      </c>
      <c r="E2" s="34" t="s">
        <v>20</v>
      </c>
      <c r="F2" s="34" t="s">
        <v>24</v>
      </c>
      <c r="G2" s="34" t="s">
        <v>23</v>
      </c>
      <c r="H2" s="34" t="s">
        <v>25</v>
      </c>
      <c r="I2" s="34" t="s">
        <v>26</v>
      </c>
      <c r="J2" s="34" t="s">
        <v>27</v>
      </c>
      <c r="K2" s="34" t="s">
        <v>88</v>
      </c>
      <c r="L2" s="34" t="s">
        <v>28</v>
      </c>
      <c r="M2" s="34" t="s">
        <v>22</v>
      </c>
      <c r="N2" s="34" t="s">
        <v>29</v>
      </c>
      <c r="O2" s="34" t="s">
        <v>30</v>
      </c>
      <c r="P2" s="34" t="s">
        <v>89</v>
      </c>
      <c r="Q2" s="34" t="s">
        <v>33</v>
      </c>
      <c r="R2" s="34" t="s">
        <v>31</v>
      </c>
      <c r="S2" s="34" t="s">
        <v>48</v>
      </c>
      <c r="T2" s="34" t="s">
        <v>32</v>
      </c>
      <c r="U2" s="34" t="s">
        <v>100</v>
      </c>
      <c r="V2" s="34" t="s">
        <v>101</v>
      </c>
      <c r="W2" s="34" t="s">
        <v>83</v>
      </c>
    </row>
    <row r="3" spans="1:23" x14ac:dyDescent="0.3">
      <c r="A3" s="44" t="s">
        <v>115</v>
      </c>
      <c r="B3" s="36">
        <v>7046</v>
      </c>
      <c r="C3" s="36" t="s">
        <v>111</v>
      </c>
      <c r="D3" s="36" t="s">
        <v>58</v>
      </c>
      <c r="E3" s="36">
        <v>7058</v>
      </c>
      <c r="F3" s="35"/>
      <c r="G3" s="36" t="s">
        <v>60</v>
      </c>
      <c r="H3" s="36" t="s">
        <v>96</v>
      </c>
      <c r="I3" s="35" t="s">
        <v>70</v>
      </c>
      <c r="J3" s="36" t="s">
        <v>93</v>
      </c>
      <c r="K3" s="59"/>
      <c r="L3" s="36" t="s">
        <v>51</v>
      </c>
      <c r="M3" s="36" t="s">
        <v>67</v>
      </c>
      <c r="N3" s="36">
        <v>7656</v>
      </c>
      <c r="O3" s="36" t="s">
        <v>72</v>
      </c>
      <c r="P3" s="59"/>
      <c r="Q3" s="35"/>
      <c r="R3" s="36">
        <v>6748</v>
      </c>
      <c r="S3" s="35"/>
      <c r="T3" s="35"/>
      <c r="U3" s="59"/>
      <c r="V3" s="35" t="s">
        <v>108</v>
      </c>
      <c r="W3" s="40"/>
    </row>
    <row r="4" spans="1:23" x14ac:dyDescent="0.3">
      <c r="A4" s="44" t="s">
        <v>123</v>
      </c>
      <c r="B4" s="36">
        <v>8040</v>
      </c>
      <c r="C4" s="36" t="s">
        <v>79</v>
      </c>
      <c r="D4" s="36" t="s">
        <v>76</v>
      </c>
      <c r="E4" s="35"/>
      <c r="F4" s="36">
        <v>6.375</v>
      </c>
      <c r="G4" s="35" t="s">
        <v>98</v>
      </c>
      <c r="H4" s="35"/>
      <c r="I4" s="35" t="s">
        <v>70</v>
      </c>
      <c r="J4" s="36" t="s">
        <v>93</v>
      </c>
      <c r="K4" s="59"/>
      <c r="L4" s="36" t="s">
        <v>51</v>
      </c>
      <c r="M4" s="36" t="s">
        <v>81</v>
      </c>
      <c r="N4" s="36">
        <v>7644</v>
      </c>
      <c r="O4" s="36" t="s">
        <v>72</v>
      </c>
      <c r="P4" s="59"/>
      <c r="Q4" s="36">
        <v>6.125</v>
      </c>
      <c r="R4" s="36">
        <v>7640</v>
      </c>
      <c r="S4" s="35"/>
      <c r="T4" s="36" t="s">
        <v>121</v>
      </c>
      <c r="U4" s="60"/>
      <c r="V4" s="41" t="s">
        <v>90</v>
      </c>
      <c r="W4" s="76"/>
    </row>
    <row r="5" spans="1:23" x14ac:dyDescent="0.3">
      <c r="A5" s="44" t="s">
        <v>193</v>
      </c>
      <c r="B5" s="94">
        <v>6736</v>
      </c>
      <c r="C5" s="36">
        <v>16</v>
      </c>
      <c r="D5" s="36" t="s">
        <v>136</v>
      </c>
      <c r="E5" s="36">
        <v>6731</v>
      </c>
      <c r="F5" s="36">
        <v>7</v>
      </c>
      <c r="G5" s="94" t="s">
        <v>137</v>
      </c>
      <c r="H5" s="94" t="s">
        <v>137</v>
      </c>
      <c r="I5" s="35" t="s">
        <v>138</v>
      </c>
      <c r="J5" s="35" t="s">
        <v>139</v>
      </c>
      <c r="K5" s="59"/>
      <c r="L5" s="35"/>
      <c r="M5" s="94" t="s">
        <v>136</v>
      </c>
      <c r="N5" s="36">
        <v>7040</v>
      </c>
      <c r="O5" s="94" t="s">
        <v>140</v>
      </c>
      <c r="P5" s="59"/>
      <c r="Q5" s="94">
        <v>7</v>
      </c>
      <c r="R5" s="94">
        <v>6736</v>
      </c>
      <c r="S5" s="94">
        <v>6734</v>
      </c>
      <c r="T5" s="35"/>
      <c r="U5" s="60"/>
      <c r="V5" s="41" t="s">
        <v>147</v>
      </c>
      <c r="W5" s="76"/>
    </row>
    <row r="6" spans="1:23" x14ac:dyDescent="0.3">
      <c r="A6" s="44" t="s">
        <v>194</v>
      </c>
      <c r="B6" s="94">
        <v>8046</v>
      </c>
      <c r="C6" s="36">
        <v>17.5</v>
      </c>
      <c r="D6" s="36" t="s">
        <v>141</v>
      </c>
      <c r="E6" s="36">
        <v>7644</v>
      </c>
      <c r="F6" s="36">
        <v>7.5</v>
      </c>
      <c r="G6" s="36" t="s">
        <v>142</v>
      </c>
      <c r="H6" s="36" t="s">
        <v>142</v>
      </c>
      <c r="I6" s="94" t="s">
        <v>76</v>
      </c>
      <c r="J6" s="35" t="s">
        <v>139</v>
      </c>
      <c r="K6" s="59"/>
      <c r="L6" s="35"/>
      <c r="M6" s="36" t="s">
        <v>141</v>
      </c>
      <c r="N6" s="36">
        <v>7648</v>
      </c>
      <c r="O6" s="94" t="s">
        <v>143</v>
      </c>
      <c r="P6" s="59"/>
      <c r="Q6" s="36">
        <v>7.5</v>
      </c>
      <c r="R6" s="36">
        <v>7648</v>
      </c>
      <c r="S6" s="36">
        <v>7646</v>
      </c>
      <c r="T6" s="35"/>
      <c r="U6" s="60"/>
      <c r="V6" s="41" t="s">
        <v>149</v>
      </c>
      <c r="W6" s="76"/>
    </row>
    <row r="7" spans="1:23" x14ac:dyDescent="0.3">
      <c r="A7" s="44" t="s">
        <v>195</v>
      </c>
      <c r="B7" s="94">
        <v>6440</v>
      </c>
      <c r="C7" s="36">
        <v>16.5</v>
      </c>
      <c r="D7" s="36" t="s">
        <v>76</v>
      </c>
      <c r="E7" s="36">
        <v>6430</v>
      </c>
      <c r="F7" s="94">
        <v>7</v>
      </c>
      <c r="G7" s="94" t="s">
        <v>137</v>
      </c>
      <c r="H7" s="94" t="s">
        <v>137</v>
      </c>
      <c r="I7" s="94" t="s">
        <v>144</v>
      </c>
      <c r="J7" s="35" t="s">
        <v>139</v>
      </c>
      <c r="K7" s="59"/>
      <c r="L7" s="35"/>
      <c r="M7" s="94" t="s">
        <v>136</v>
      </c>
      <c r="N7" s="94">
        <v>6444</v>
      </c>
      <c r="O7" s="94" t="s">
        <v>140</v>
      </c>
      <c r="P7" s="59"/>
      <c r="Q7" s="94">
        <v>7</v>
      </c>
      <c r="R7" s="36">
        <v>6440</v>
      </c>
      <c r="S7" s="94">
        <v>6430</v>
      </c>
      <c r="T7" s="35"/>
      <c r="U7" s="60"/>
      <c r="V7" s="41" t="s">
        <v>151</v>
      </c>
      <c r="W7" s="76"/>
    </row>
    <row r="8" spans="1:23" x14ac:dyDescent="0.3">
      <c r="A8" s="44" t="s">
        <v>192</v>
      </c>
      <c r="B8" s="94">
        <v>6432</v>
      </c>
      <c r="C8" s="45">
        <v>13</v>
      </c>
      <c r="D8" s="45" t="s">
        <v>144</v>
      </c>
      <c r="E8" s="36">
        <v>6427</v>
      </c>
      <c r="F8" s="45">
        <v>7</v>
      </c>
      <c r="G8" s="45" t="s">
        <v>137</v>
      </c>
      <c r="H8" s="45" t="s">
        <v>145</v>
      </c>
      <c r="I8" s="45" t="s">
        <v>136</v>
      </c>
      <c r="J8" s="94" t="s">
        <v>146</v>
      </c>
      <c r="K8" s="59"/>
      <c r="L8" s="35"/>
      <c r="M8" s="45" t="s">
        <v>136</v>
      </c>
      <c r="N8" s="94">
        <v>6436</v>
      </c>
      <c r="O8" s="45" t="s">
        <v>140</v>
      </c>
      <c r="P8" s="59"/>
      <c r="Q8" s="45">
        <v>7</v>
      </c>
      <c r="R8" s="45">
        <v>6432</v>
      </c>
      <c r="S8" s="94">
        <v>6430</v>
      </c>
      <c r="T8" s="35"/>
      <c r="U8" s="60"/>
      <c r="V8" s="41" t="s">
        <v>153</v>
      </c>
      <c r="W8" s="76"/>
    </row>
  </sheetData>
  <mergeCells count="1">
    <mergeCell ref="D1:E1"/>
  </mergeCells>
  <hyperlinks>
    <hyperlink ref="A1" location="Menu!A1" display="Back to Menu" xr:uid="{2F36453C-1B65-4911-A569-6D05EA005156}"/>
    <hyperlink ref="A3" location="Charlie_Clark_74CD899D!A1" display="Clark, Charlie" xr:uid="{7067CCD1-1795-41F9-AA1F-C31F1B4D20B6}"/>
    <hyperlink ref="A4" location="Isabella_Taylor_D098F288!A1" display="Taylor, Isabella" xr:uid="{3B02F853-9C45-4C56-BE35-57A6050F033A}"/>
    <hyperlink ref="A5" location="Banks_Rob_B4DD32A8!A1" display="Rob, Banks" xr:uid="{85477FFB-380C-4FAC-ACE2-FBE1F600EBD6}"/>
    <hyperlink ref="A6" location="Rophone_Mike_747A9E83!A1" display="Mike, Rophone" xr:uid="{FA1ED62E-B114-45D8-8220-0A2034E934C5}"/>
    <hyperlink ref="A7" location="Christ_Jesus_87519091!A1" display="Jesus, Christ" xr:uid="{23CF4C0D-A736-4839-91E2-30561899769A}"/>
    <hyperlink ref="A8" location="Rhea_Dia_A5D0E0B7!A1" display="Dia, Rhea" xr:uid="{81CED146-5307-4710-B3BA-565A91610769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0110" r:id="rId3" name="Toggle2">
              <controlPr defaultSize="0" print="0" autoFill="0" autoPict="0" macro="[0]!'togglePersonAsComplete 3'">
                <anchor moveWithCells="1" sizeWithCells="1">
                  <from>
                    <xdr:col>21</xdr:col>
                    <xdr:colOff>678180</xdr:colOff>
                    <xdr:row>1</xdr:row>
                    <xdr:rowOff>464820</xdr:rowOff>
                  </from>
                  <to>
                    <xdr:col>22</xdr:col>
                    <xdr:colOff>876300</xdr:colOff>
                    <xdr:row>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0111" r:id="rId4" name="Toggle3">
              <controlPr defaultSize="0" print="0" autoFill="0" autoPict="0" macro="[0]!'togglePersonAsComplete 4'">
                <anchor moveWithCells="1" sizeWithCells="1">
                  <from>
                    <xdr:col>21</xdr:col>
                    <xdr:colOff>678180</xdr:colOff>
                    <xdr:row>2</xdr:row>
                    <xdr:rowOff>175260</xdr:rowOff>
                  </from>
                  <to>
                    <xdr:col>22</xdr:col>
                    <xdr:colOff>876300</xdr:colOff>
                    <xdr:row>3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0112" r:id="rId5" name="Toggle4">
              <controlPr defaultSize="0" print="0" autoFill="0" autoPict="0" macro="[0]!'togglePersonAsComplete 5'">
                <anchor moveWithCells="1" sizeWithCells="1">
                  <from>
                    <xdr:col>21</xdr:col>
                    <xdr:colOff>678180</xdr:colOff>
                    <xdr:row>3</xdr:row>
                    <xdr:rowOff>175260</xdr:rowOff>
                  </from>
                  <to>
                    <xdr:col>22</xdr:col>
                    <xdr:colOff>876300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0113" r:id="rId6" name="Toggle5">
              <controlPr defaultSize="0" print="0" autoFill="0" autoPict="0" macro="[0]!'togglePersonAsComplete 6'">
                <anchor moveWithCells="1" sizeWithCells="1">
                  <from>
                    <xdr:col>21</xdr:col>
                    <xdr:colOff>678180</xdr:colOff>
                    <xdr:row>5</xdr:row>
                    <xdr:rowOff>0</xdr:rowOff>
                  </from>
                  <to>
                    <xdr:col>22</xdr:col>
                    <xdr:colOff>876300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0114" r:id="rId7" name="Toggle6">
              <controlPr defaultSize="0" print="0" autoFill="0" autoPict="0" macro="[0]!'togglePersonAsComplete 7'">
                <anchor moveWithCells="1" sizeWithCells="1">
                  <from>
                    <xdr:col>21</xdr:col>
                    <xdr:colOff>678180</xdr:colOff>
                    <xdr:row>6</xdr:row>
                    <xdr:rowOff>0</xdr:rowOff>
                  </from>
                  <to>
                    <xdr:col>22</xdr:col>
                    <xdr:colOff>876300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0115" r:id="rId8" name="Toggle7">
              <controlPr defaultSize="0" print="0" autoFill="0" autoPict="0" macro="[0]!'togglePersonAsComplete 8'">
                <anchor moveWithCells="1" sizeWithCells="1">
                  <from>
                    <xdr:col>21</xdr:col>
                    <xdr:colOff>678180</xdr:colOff>
                    <xdr:row>7</xdr:row>
                    <xdr:rowOff>0</xdr:rowOff>
                  </from>
                  <to>
                    <xdr:col>22</xdr:col>
                    <xdr:colOff>876300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AC79FB-8A53-460F-A024-C367DB913058}">
  <sheetPr codeName="Sheet6"/>
  <dimension ref="A1:AG8"/>
  <sheetViews>
    <sheetView topLeftCell="G1" workbookViewId="0">
      <selection activeCell="O37" sqref="O37"/>
    </sheetView>
  </sheetViews>
  <sheetFormatPr defaultRowHeight="14.4" x14ac:dyDescent="0.3"/>
  <cols>
    <col min="1" max="30" width="8.88671875" style="40"/>
    <col min="31" max="31" width="10.109375" style="40" customWidth="1"/>
    <col min="32" max="16384" width="8.88671875" style="40"/>
  </cols>
  <sheetData>
    <row r="1" spans="1:33" ht="20.399999999999999" x14ac:dyDescent="0.3">
      <c r="A1" s="82" t="s">
        <v>125</v>
      </c>
      <c r="B1" s="82" t="s">
        <v>126</v>
      </c>
      <c r="C1" s="83" t="s">
        <v>124</v>
      </c>
      <c r="D1" s="82" t="s">
        <v>9</v>
      </c>
      <c r="E1" s="83" t="s">
        <v>11</v>
      </c>
      <c r="F1" s="83" t="s">
        <v>12</v>
      </c>
      <c r="G1" s="83" t="s">
        <v>13</v>
      </c>
      <c r="H1" s="83" t="s">
        <v>55</v>
      </c>
      <c r="I1" s="83" t="s">
        <v>15</v>
      </c>
      <c r="J1" s="83" t="s">
        <v>16</v>
      </c>
      <c r="K1" s="83" t="s">
        <v>17</v>
      </c>
      <c r="L1" s="83" t="s">
        <v>18</v>
      </c>
      <c r="M1" s="83" t="s">
        <v>128</v>
      </c>
      <c r="N1" s="83" t="s">
        <v>129</v>
      </c>
      <c r="O1" s="83" t="s">
        <v>130</v>
      </c>
      <c r="P1" s="83" t="s">
        <v>131</v>
      </c>
      <c r="Q1" s="83" t="s">
        <v>132</v>
      </c>
      <c r="R1" s="83" t="s">
        <v>24</v>
      </c>
      <c r="S1" s="83" t="s">
        <v>23</v>
      </c>
      <c r="T1" s="83" t="s">
        <v>133</v>
      </c>
      <c r="U1" s="83" t="s">
        <v>26</v>
      </c>
      <c r="V1" s="83" t="s">
        <v>134</v>
      </c>
      <c r="W1" s="83" t="s">
        <v>135</v>
      </c>
      <c r="X1" s="83" t="s">
        <v>48</v>
      </c>
      <c r="Y1" s="83" t="s">
        <v>32</v>
      </c>
      <c r="Z1" s="83" t="s">
        <v>33</v>
      </c>
      <c r="AA1" s="83" t="s">
        <v>29</v>
      </c>
      <c r="AB1" s="83" t="s">
        <v>30</v>
      </c>
      <c r="AC1" s="83" t="s">
        <v>28</v>
      </c>
      <c r="AD1" s="83" t="s">
        <v>22</v>
      </c>
      <c r="AE1" s="81" t="s">
        <v>41</v>
      </c>
      <c r="AF1" s="81" t="s">
        <v>3</v>
      </c>
      <c r="AG1" s="81" t="s">
        <v>59</v>
      </c>
    </row>
    <row r="2" spans="1:33" x14ac:dyDescent="0.3">
      <c r="A2" s="40" t="s">
        <v>153</v>
      </c>
      <c r="B2" s="40" t="s">
        <v>154</v>
      </c>
      <c r="C2" s="40" t="s">
        <v>78</v>
      </c>
      <c r="D2" s="40">
        <v>22</v>
      </c>
      <c r="E2" s="40">
        <v>13.5</v>
      </c>
      <c r="F2" s="40">
        <v>32</v>
      </c>
      <c r="G2" s="40">
        <v>26.5</v>
      </c>
      <c r="H2" s="40">
        <v>31</v>
      </c>
      <c r="I2" s="40">
        <v>63</v>
      </c>
      <c r="J2" s="40">
        <v>265</v>
      </c>
      <c r="K2" s="40">
        <v>95</v>
      </c>
      <c r="L2" s="94">
        <v>6432</v>
      </c>
      <c r="N2" s="36">
        <v>6427</v>
      </c>
      <c r="P2" s="45">
        <v>13</v>
      </c>
      <c r="Q2" s="45" t="s">
        <v>144</v>
      </c>
      <c r="R2" s="45">
        <v>7</v>
      </c>
      <c r="S2" s="45" t="s">
        <v>137</v>
      </c>
      <c r="T2" s="45" t="s">
        <v>145</v>
      </c>
      <c r="U2" s="45" t="s">
        <v>136</v>
      </c>
      <c r="V2" s="94" t="s">
        <v>146</v>
      </c>
      <c r="W2" s="45">
        <v>6432</v>
      </c>
      <c r="X2" s="94">
        <v>6430</v>
      </c>
      <c r="Y2" s="35"/>
      <c r="Z2" s="35" t="s">
        <v>153</v>
      </c>
      <c r="AA2" s="45" t="s">
        <v>136</v>
      </c>
      <c r="AB2" s="94">
        <v>6436</v>
      </c>
      <c r="AC2" s="35"/>
      <c r="AD2" s="45" t="s">
        <v>136</v>
      </c>
      <c r="AE2" s="59" t="s">
        <v>181</v>
      </c>
      <c r="AF2" s="59" t="s">
        <v>155</v>
      </c>
    </row>
    <row r="3" spans="1:33" x14ac:dyDescent="0.3">
      <c r="A3" s="40" t="s">
        <v>108</v>
      </c>
      <c r="B3" s="40" t="s">
        <v>103</v>
      </c>
      <c r="C3" s="40" t="s">
        <v>44</v>
      </c>
      <c r="D3" s="40">
        <v>25.4</v>
      </c>
      <c r="E3" s="40">
        <v>13.3</v>
      </c>
      <c r="F3" s="40">
        <v>46</v>
      </c>
      <c r="G3" s="40">
        <v>56.7</v>
      </c>
      <c r="H3" s="40">
        <v>56.8</v>
      </c>
      <c r="I3" s="40">
        <v>66.8</v>
      </c>
      <c r="J3" s="40">
        <v>293.89999999999998</v>
      </c>
      <c r="K3" s="40">
        <v>126</v>
      </c>
      <c r="L3" s="36">
        <v>7046</v>
      </c>
      <c r="M3" s="36">
        <v>7058</v>
      </c>
      <c r="O3" s="36" t="s">
        <v>111</v>
      </c>
      <c r="Q3" s="36" t="s">
        <v>58</v>
      </c>
      <c r="R3" s="35"/>
      <c r="S3" s="36" t="s">
        <v>60</v>
      </c>
      <c r="T3" s="36" t="s">
        <v>96</v>
      </c>
      <c r="U3" s="35" t="s">
        <v>70</v>
      </c>
      <c r="V3" s="36" t="s">
        <v>93</v>
      </c>
      <c r="W3" s="36">
        <v>6748</v>
      </c>
      <c r="X3" s="35"/>
      <c r="Y3" s="35"/>
      <c r="Z3" s="35" t="s">
        <v>108</v>
      </c>
      <c r="AA3" s="36" t="s">
        <v>67</v>
      </c>
      <c r="AB3" s="36">
        <v>7656</v>
      </c>
      <c r="AC3" s="36" t="s">
        <v>51</v>
      </c>
      <c r="AD3" s="36" t="s">
        <v>67</v>
      </c>
      <c r="AE3" s="59" t="s">
        <v>109</v>
      </c>
      <c r="AF3" s="59" t="s">
        <v>43</v>
      </c>
      <c r="AG3" s="40">
        <v>7.8</v>
      </c>
    </row>
    <row r="4" spans="1:33" x14ac:dyDescent="0.3">
      <c r="A4" s="40" t="s">
        <v>90</v>
      </c>
      <c r="B4" s="40" t="s">
        <v>116</v>
      </c>
      <c r="C4" s="40" t="s">
        <v>78</v>
      </c>
      <c r="D4" s="40">
        <v>19</v>
      </c>
      <c r="E4" s="40">
        <v>13</v>
      </c>
      <c r="F4" s="40">
        <v>38.1</v>
      </c>
      <c r="G4" s="40">
        <v>61.3</v>
      </c>
      <c r="H4" s="40">
        <v>44.2</v>
      </c>
      <c r="I4" s="40">
        <v>70</v>
      </c>
      <c r="J4" s="40">
        <v>317.10000000000002</v>
      </c>
      <c r="K4" s="40">
        <v>100.2</v>
      </c>
      <c r="L4" s="36">
        <v>8040</v>
      </c>
      <c r="N4" s="35"/>
      <c r="P4" s="36" t="s">
        <v>79</v>
      </c>
      <c r="Q4" s="36" t="s">
        <v>76</v>
      </c>
      <c r="R4" s="36">
        <v>6.375</v>
      </c>
      <c r="S4" s="35" t="s">
        <v>98</v>
      </c>
      <c r="T4" s="35"/>
      <c r="U4" s="35" t="s">
        <v>70</v>
      </c>
      <c r="V4" s="36" t="s">
        <v>93</v>
      </c>
      <c r="W4" s="36">
        <v>7640</v>
      </c>
      <c r="X4" s="35"/>
      <c r="Y4" s="36" t="s">
        <v>121</v>
      </c>
      <c r="Z4" s="35" t="s">
        <v>90</v>
      </c>
      <c r="AA4" s="36" t="s">
        <v>81</v>
      </c>
      <c r="AB4" s="36">
        <v>7644</v>
      </c>
      <c r="AC4" s="36" t="s">
        <v>51</v>
      </c>
      <c r="AD4" s="36" t="s">
        <v>81</v>
      </c>
      <c r="AE4" s="59" t="s">
        <v>117</v>
      </c>
      <c r="AF4" s="59" t="s">
        <v>43</v>
      </c>
      <c r="AG4" s="40">
        <v>7.4</v>
      </c>
    </row>
    <row r="5" spans="1:33" x14ac:dyDescent="0.3">
      <c r="A5" s="40" t="s">
        <v>147</v>
      </c>
      <c r="B5" s="40" t="s">
        <v>148</v>
      </c>
      <c r="C5" s="40" t="s">
        <v>78</v>
      </c>
      <c r="D5" s="40">
        <v>22</v>
      </c>
      <c r="E5" s="40">
        <v>16</v>
      </c>
      <c r="F5" s="40">
        <v>35</v>
      </c>
      <c r="G5" s="40">
        <v>31</v>
      </c>
      <c r="H5" s="40">
        <v>37</v>
      </c>
      <c r="I5" s="40">
        <v>66</v>
      </c>
      <c r="J5" s="40">
        <v>39</v>
      </c>
      <c r="K5" s="40">
        <v>13</v>
      </c>
      <c r="L5" s="94">
        <v>6736</v>
      </c>
      <c r="N5" s="36">
        <v>6731</v>
      </c>
      <c r="P5" s="36">
        <v>16</v>
      </c>
      <c r="Q5" s="36" t="s">
        <v>136</v>
      </c>
      <c r="R5" s="36">
        <v>7</v>
      </c>
      <c r="S5" s="94" t="s">
        <v>137</v>
      </c>
      <c r="T5" s="94" t="s">
        <v>137</v>
      </c>
      <c r="U5" s="35" t="s">
        <v>138</v>
      </c>
      <c r="V5" s="35" t="s">
        <v>139</v>
      </c>
      <c r="W5" s="94">
        <v>6736</v>
      </c>
      <c r="X5" s="94">
        <v>6734</v>
      </c>
      <c r="Y5" s="35"/>
      <c r="Z5" s="35" t="s">
        <v>147</v>
      </c>
      <c r="AA5" s="94" t="s">
        <v>136</v>
      </c>
      <c r="AB5" s="36">
        <v>7040</v>
      </c>
      <c r="AC5" s="35"/>
      <c r="AD5" s="94" t="s">
        <v>136</v>
      </c>
      <c r="AE5" s="59" t="s">
        <v>156</v>
      </c>
      <c r="AF5" s="59" t="s">
        <v>155</v>
      </c>
    </row>
    <row r="6" spans="1:33" x14ac:dyDescent="0.3">
      <c r="A6" s="40" t="s">
        <v>149</v>
      </c>
      <c r="B6" s="40" t="s">
        <v>150</v>
      </c>
      <c r="C6" s="40" t="s">
        <v>78</v>
      </c>
      <c r="D6" s="40">
        <v>23.5</v>
      </c>
      <c r="E6" s="40">
        <v>17</v>
      </c>
      <c r="F6" s="40">
        <v>45</v>
      </c>
      <c r="G6" s="40">
        <v>43</v>
      </c>
      <c r="H6" s="40">
        <v>43</v>
      </c>
      <c r="I6" s="40">
        <v>75</v>
      </c>
      <c r="J6" s="40">
        <v>304.8</v>
      </c>
      <c r="K6" s="40">
        <v>101.6</v>
      </c>
      <c r="L6" s="94">
        <v>8046</v>
      </c>
      <c r="N6" s="36">
        <v>7644</v>
      </c>
      <c r="P6" s="36">
        <v>17.5</v>
      </c>
      <c r="Q6" s="36" t="s">
        <v>141</v>
      </c>
      <c r="R6" s="36">
        <v>7.5</v>
      </c>
      <c r="S6" s="36" t="s">
        <v>142</v>
      </c>
      <c r="T6" s="36" t="s">
        <v>142</v>
      </c>
      <c r="U6" s="94" t="s">
        <v>76</v>
      </c>
      <c r="V6" s="35" t="s">
        <v>139</v>
      </c>
      <c r="W6" s="36">
        <v>7648</v>
      </c>
      <c r="X6" s="36">
        <v>7646</v>
      </c>
      <c r="Y6" s="35"/>
      <c r="Z6" s="35" t="s">
        <v>149</v>
      </c>
      <c r="AA6" s="36" t="s">
        <v>141</v>
      </c>
      <c r="AB6" s="36">
        <v>7648</v>
      </c>
      <c r="AC6" s="35"/>
      <c r="AD6" s="36" t="s">
        <v>141</v>
      </c>
      <c r="AE6" s="59" t="s">
        <v>168</v>
      </c>
      <c r="AF6" s="59" t="s">
        <v>155</v>
      </c>
    </row>
    <row r="7" spans="1:33" x14ac:dyDescent="0.3">
      <c r="A7" s="40" t="s">
        <v>151</v>
      </c>
      <c r="B7" s="40" t="s">
        <v>152</v>
      </c>
      <c r="C7" s="40" t="s">
        <v>78</v>
      </c>
      <c r="D7" s="40">
        <v>22</v>
      </c>
      <c r="E7" s="40">
        <v>16.5</v>
      </c>
      <c r="F7" s="40">
        <v>40</v>
      </c>
      <c r="G7" s="40">
        <v>30</v>
      </c>
      <c r="H7" s="40">
        <v>38</v>
      </c>
      <c r="I7" s="40">
        <v>62</v>
      </c>
      <c r="J7" s="40">
        <v>240</v>
      </c>
      <c r="K7" s="40">
        <v>130</v>
      </c>
      <c r="L7" s="94">
        <v>6440</v>
      </c>
      <c r="N7" s="36">
        <v>6430</v>
      </c>
      <c r="P7" s="36">
        <v>16.5</v>
      </c>
      <c r="Q7" s="36" t="s">
        <v>76</v>
      </c>
      <c r="R7" s="94">
        <v>7</v>
      </c>
      <c r="S7" s="94" t="s">
        <v>137</v>
      </c>
      <c r="T7" s="94" t="s">
        <v>137</v>
      </c>
      <c r="U7" s="94" t="s">
        <v>144</v>
      </c>
      <c r="V7" s="35" t="s">
        <v>139</v>
      </c>
      <c r="W7" s="36">
        <v>6440</v>
      </c>
      <c r="X7" s="94">
        <v>6430</v>
      </c>
      <c r="Y7" s="35"/>
      <c r="Z7" s="35" t="s">
        <v>151</v>
      </c>
      <c r="AA7" s="94" t="s">
        <v>136</v>
      </c>
      <c r="AB7" s="94">
        <v>6444</v>
      </c>
      <c r="AC7" s="35"/>
      <c r="AD7" s="94" t="s">
        <v>136</v>
      </c>
      <c r="AE7" s="59">
        <v>87519091</v>
      </c>
      <c r="AF7" s="59" t="s">
        <v>155</v>
      </c>
    </row>
    <row r="8" spans="1:33" x14ac:dyDescent="0.3">
      <c r="A8" s="40" t="s">
        <v>153</v>
      </c>
      <c r="B8" s="40" t="s">
        <v>154</v>
      </c>
      <c r="C8" s="40" t="s">
        <v>78</v>
      </c>
      <c r="D8" s="40">
        <v>22</v>
      </c>
      <c r="E8" s="40">
        <v>13.5</v>
      </c>
      <c r="F8" s="40">
        <v>32</v>
      </c>
      <c r="G8" s="40">
        <v>26.5</v>
      </c>
      <c r="H8" s="40">
        <v>31</v>
      </c>
      <c r="I8" s="40">
        <v>63</v>
      </c>
      <c r="J8" s="40">
        <v>265</v>
      </c>
      <c r="K8" s="40">
        <v>95</v>
      </c>
      <c r="L8" s="94">
        <v>6432</v>
      </c>
      <c r="N8" s="36">
        <v>6427</v>
      </c>
      <c r="P8" s="45">
        <v>13</v>
      </c>
      <c r="Q8" s="45" t="s">
        <v>144</v>
      </c>
      <c r="R8" s="45">
        <v>7</v>
      </c>
      <c r="S8" s="45" t="s">
        <v>137</v>
      </c>
      <c r="T8" s="45" t="s">
        <v>145</v>
      </c>
      <c r="U8" s="45" t="s">
        <v>136</v>
      </c>
      <c r="V8" s="94" t="s">
        <v>146</v>
      </c>
      <c r="W8" s="45">
        <v>6432</v>
      </c>
      <c r="X8" s="94">
        <v>6430</v>
      </c>
      <c r="Y8" s="35"/>
      <c r="Z8" s="35" t="s">
        <v>153</v>
      </c>
      <c r="AA8" s="45" t="s">
        <v>136</v>
      </c>
      <c r="AB8" s="94">
        <v>6436</v>
      </c>
      <c r="AC8" s="35"/>
      <c r="AD8" s="45" t="s">
        <v>136</v>
      </c>
      <c r="AE8" s="59" t="s">
        <v>181</v>
      </c>
      <c r="AF8" s="59" t="s">
        <v>155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AF096B-FDF1-49A8-849D-5C3CF01B0CBA}">
  <sheetPr codeName="Sheet4"/>
  <dimension ref="A1:AG44"/>
  <sheetViews>
    <sheetView workbookViewId="0">
      <selection sqref="A1:A2"/>
    </sheetView>
  </sheetViews>
  <sheetFormatPr defaultRowHeight="14.4" x14ac:dyDescent="0.3"/>
  <cols>
    <col min="1" max="1" width="18.44140625" customWidth="1"/>
    <col min="3" max="3" width="9.109375" customWidth="1"/>
    <col min="4" max="4" width="10" customWidth="1"/>
    <col min="5" max="5" width="15.5546875" customWidth="1"/>
    <col min="7" max="7" width="16.5546875" customWidth="1"/>
    <col min="8" max="8" width="2.44140625" customWidth="1"/>
    <col min="11" max="11" width="12" customWidth="1"/>
    <col min="12" max="12" width="13" customWidth="1"/>
  </cols>
  <sheetData>
    <row r="1" spans="1:12" x14ac:dyDescent="0.3">
      <c r="A1" s="69" t="s">
        <v>42</v>
      </c>
      <c r="B1" s="20" t="s">
        <v>3</v>
      </c>
      <c r="C1" s="64" t="s">
        <v>0</v>
      </c>
      <c r="D1" s="64"/>
      <c r="E1" s="64" t="s">
        <v>2</v>
      </c>
      <c r="F1" s="64"/>
      <c r="G1" s="20" t="s">
        <v>34</v>
      </c>
      <c r="K1" s="20" t="s">
        <v>38</v>
      </c>
      <c r="L1" s="20" t="s">
        <v>10</v>
      </c>
    </row>
    <row r="2" spans="1:12" x14ac:dyDescent="0.3">
      <c r="A2" s="70"/>
      <c r="B2" s="2" t="s">
        <v>43</v>
      </c>
      <c r="C2" s="63" t="s">
        <v>108</v>
      </c>
      <c r="D2" s="63"/>
      <c r="E2" s="63" t="s">
        <v>103</v>
      </c>
      <c r="F2" s="63"/>
      <c r="G2" s="1" t="s">
        <v>109</v>
      </c>
      <c r="K2" s="4" t="s">
        <v>9</v>
      </c>
      <c r="L2" s="4">
        <v>25.4</v>
      </c>
    </row>
    <row r="3" spans="1:12" x14ac:dyDescent="0.3">
      <c r="A3" s="20" t="s">
        <v>1</v>
      </c>
      <c r="B3" s="71" t="s">
        <v>4</v>
      </c>
      <c r="C3" s="72"/>
      <c r="D3" s="73"/>
      <c r="E3" s="71" t="s">
        <v>49</v>
      </c>
      <c r="F3" s="73"/>
      <c r="G3" s="20" t="s">
        <v>5</v>
      </c>
      <c r="K3" s="1" t="s">
        <v>11</v>
      </c>
      <c r="L3" s="1">
        <v>13.3</v>
      </c>
    </row>
    <row r="4" spans="1:12" x14ac:dyDescent="0.3">
      <c r="A4" s="1" t="s">
        <v>39</v>
      </c>
      <c r="B4" s="74">
        <v>2468446139</v>
      </c>
      <c r="C4" s="74"/>
      <c r="D4" s="74"/>
      <c r="E4" s="63" t="s">
        <v>52</v>
      </c>
      <c r="F4" s="63"/>
      <c r="G4" s="1" t="s">
        <v>44</v>
      </c>
      <c r="K4" s="4" t="s">
        <v>12</v>
      </c>
      <c r="L4" s="4">
        <v>46</v>
      </c>
    </row>
    <row r="5" spans="1:12" x14ac:dyDescent="0.3">
      <c r="A5" s="20" t="s">
        <v>6</v>
      </c>
      <c r="B5" s="64" t="s">
        <v>7</v>
      </c>
      <c r="C5" s="64"/>
      <c r="D5" s="64"/>
      <c r="E5" s="20" t="s">
        <v>8</v>
      </c>
      <c r="F5" s="20" t="s">
        <v>35</v>
      </c>
      <c r="G5" s="20" t="s">
        <v>36</v>
      </c>
      <c r="K5" s="1" t="s">
        <v>13</v>
      </c>
      <c r="L5" s="1">
        <v>56.7</v>
      </c>
    </row>
    <row r="6" spans="1:12" x14ac:dyDescent="0.3">
      <c r="A6" s="3" t="s">
        <v>110</v>
      </c>
      <c r="B6" s="62" t="s">
        <v>18</v>
      </c>
      <c r="C6" s="62"/>
      <c r="D6" s="62"/>
      <c r="E6" s="4">
        <v>7046</v>
      </c>
      <c r="F6" s="4">
        <v>1</v>
      </c>
      <c r="G6" s="25" t="s">
        <v>63</v>
      </c>
      <c r="H6" s="28" t="str">
        <f>HYPERLINK("#G6",CHAR(128))</f>
        <v>€</v>
      </c>
      <c r="K6" s="4" t="s">
        <v>14</v>
      </c>
      <c r="L6" s="4">
        <v>56.8</v>
      </c>
    </row>
    <row r="7" spans="1:12" x14ac:dyDescent="0.3">
      <c r="A7" s="2" t="s">
        <v>112</v>
      </c>
      <c r="B7" s="63" t="s">
        <v>21</v>
      </c>
      <c r="C7" s="63"/>
      <c r="D7" s="63"/>
      <c r="E7" s="1" t="s">
        <v>111</v>
      </c>
      <c r="F7" s="16">
        <v>1</v>
      </c>
      <c r="G7" s="25" t="s">
        <v>63</v>
      </c>
      <c r="H7" s="28" t="str">
        <f>HYPERLINK("#G7",CHAR(128))</f>
        <v>€</v>
      </c>
      <c r="K7" s="1" t="s">
        <v>15</v>
      </c>
      <c r="L7" s="1">
        <v>66.8</v>
      </c>
    </row>
    <row r="8" spans="1:12" x14ac:dyDescent="0.3">
      <c r="A8" s="3" t="s">
        <v>77</v>
      </c>
      <c r="B8" s="62" t="s">
        <v>19</v>
      </c>
      <c r="C8" s="62"/>
      <c r="D8" s="62"/>
      <c r="E8" s="4" t="s">
        <v>58</v>
      </c>
      <c r="F8" s="4">
        <v>1</v>
      </c>
      <c r="G8" s="25" t="s">
        <v>63</v>
      </c>
      <c r="H8" s="28" t="str">
        <f>HYPERLINK("#G8",CHAR(128))</f>
        <v>€</v>
      </c>
      <c r="K8" s="4" t="s">
        <v>16</v>
      </c>
      <c r="L8" s="4">
        <v>293.89999999999998</v>
      </c>
    </row>
    <row r="9" spans="1:12" x14ac:dyDescent="0.3">
      <c r="A9" s="2" t="s">
        <v>113</v>
      </c>
      <c r="B9" s="63" t="s">
        <v>20</v>
      </c>
      <c r="C9" s="63"/>
      <c r="D9" s="63"/>
      <c r="E9" s="1">
        <v>7058</v>
      </c>
      <c r="F9" s="16">
        <v>1</v>
      </c>
      <c r="G9" s="25" t="s">
        <v>63</v>
      </c>
      <c r="H9" s="28" t="str">
        <f>HYPERLINK("#G9",CHAR(128))</f>
        <v>€</v>
      </c>
      <c r="I9" s="11"/>
      <c r="K9" s="1" t="s">
        <v>17</v>
      </c>
      <c r="L9" s="1">
        <v>126</v>
      </c>
    </row>
    <row r="10" spans="1:12" x14ac:dyDescent="0.3">
      <c r="A10" s="3"/>
      <c r="B10" s="62" t="s">
        <v>24</v>
      </c>
      <c r="C10" s="62"/>
      <c r="D10" s="62"/>
      <c r="E10" s="8"/>
      <c r="F10" s="4">
        <v>1</v>
      </c>
      <c r="G10" s="25" t="s">
        <v>45</v>
      </c>
      <c r="H10" s="28" t="str">
        <f>HYPERLINK("#G10",CHAR(128))</f>
        <v>€</v>
      </c>
      <c r="K10" s="15" t="s">
        <v>47</v>
      </c>
      <c r="L10" s="15">
        <v>7.8</v>
      </c>
    </row>
    <row r="11" spans="1:12" x14ac:dyDescent="0.3">
      <c r="A11" s="2" t="s">
        <v>61</v>
      </c>
      <c r="B11" s="63" t="s">
        <v>23</v>
      </c>
      <c r="C11" s="63"/>
      <c r="D11" s="63"/>
      <c r="E11" s="1" t="s">
        <v>60</v>
      </c>
      <c r="F11" s="16">
        <v>1</v>
      </c>
      <c r="G11" s="25" t="s">
        <v>63</v>
      </c>
      <c r="H11" s="28" t="str">
        <f>HYPERLINK("#G11",CHAR(128))</f>
        <v>€</v>
      </c>
    </row>
    <row r="12" spans="1:12" x14ac:dyDescent="0.3">
      <c r="A12" s="5" t="s">
        <v>97</v>
      </c>
      <c r="B12" s="62" t="s">
        <v>25</v>
      </c>
      <c r="C12" s="62"/>
      <c r="D12" s="62"/>
      <c r="E12" s="4" t="s">
        <v>96</v>
      </c>
      <c r="F12" s="4">
        <v>1</v>
      </c>
      <c r="G12" s="25" t="s">
        <v>63</v>
      </c>
      <c r="H12" s="28" t="str">
        <f>HYPERLINK("#G12",CHAR(128))</f>
        <v>€</v>
      </c>
    </row>
    <row r="13" spans="1:12" x14ac:dyDescent="0.3">
      <c r="A13" s="2" t="s">
        <v>71</v>
      </c>
      <c r="B13" s="63" t="s">
        <v>26</v>
      </c>
      <c r="C13" s="63"/>
      <c r="D13" s="63"/>
      <c r="E13" s="1" t="s">
        <v>70</v>
      </c>
      <c r="F13" s="16">
        <v>1</v>
      </c>
      <c r="G13" s="25" t="s">
        <v>45</v>
      </c>
      <c r="H13" s="28" t="str">
        <f>HYPERLINK("#G13",CHAR(128))</f>
        <v>€</v>
      </c>
    </row>
    <row r="14" spans="1:12" x14ac:dyDescent="0.3">
      <c r="A14" s="5" t="s">
        <v>94</v>
      </c>
      <c r="B14" s="62" t="s">
        <v>27</v>
      </c>
      <c r="C14" s="62"/>
      <c r="D14" s="62"/>
      <c r="E14" s="4" t="s">
        <v>93</v>
      </c>
      <c r="F14" s="4">
        <v>1</v>
      </c>
      <c r="G14" s="25" t="s">
        <v>63</v>
      </c>
      <c r="H14" s="28" t="str">
        <f>HYPERLINK("#G14",CHAR(128))</f>
        <v>€</v>
      </c>
    </row>
    <row r="15" spans="1:12" x14ac:dyDescent="0.3">
      <c r="A15" s="2"/>
      <c r="B15" s="68"/>
      <c r="C15" s="68"/>
      <c r="D15" s="68"/>
      <c r="E15" s="1"/>
      <c r="F15" s="16"/>
      <c r="G15" s="16"/>
      <c r="H15" s="14"/>
    </row>
    <row r="16" spans="1:12" x14ac:dyDescent="0.3">
      <c r="A16" s="5" t="s">
        <v>46</v>
      </c>
      <c r="B16" s="62" t="s">
        <v>28</v>
      </c>
      <c r="C16" s="62"/>
      <c r="D16" s="62"/>
      <c r="E16" s="4" t="s">
        <v>51</v>
      </c>
      <c r="F16" s="4">
        <v>1</v>
      </c>
      <c r="G16" s="25" t="s">
        <v>63</v>
      </c>
      <c r="H16" s="23" t="str">
        <f>HYPERLINK("#G16",CHAR(128))</f>
        <v>€</v>
      </c>
    </row>
    <row r="17" spans="1:10" x14ac:dyDescent="0.3">
      <c r="A17" s="2" t="s">
        <v>68</v>
      </c>
      <c r="B17" s="63" t="s">
        <v>22</v>
      </c>
      <c r="C17" s="63"/>
      <c r="D17" s="63"/>
      <c r="E17" s="1" t="s">
        <v>67</v>
      </c>
      <c r="F17" s="16">
        <v>1</v>
      </c>
      <c r="G17" s="25" t="s">
        <v>63</v>
      </c>
      <c r="H17" s="23" t="str">
        <f>HYPERLINK("#G17",CHAR(128))</f>
        <v>€</v>
      </c>
    </row>
    <row r="18" spans="1:10" x14ac:dyDescent="0.3">
      <c r="A18" s="5" t="s">
        <v>75</v>
      </c>
      <c r="B18" s="62" t="s">
        <v>29</v>
      </c>
      <c r="C18" s="62"/>
      <c r="D18" s="62"/>
      <c r="E18" s="4">
        <v>7656</v>
      </c>
      <c r="F18" s="4">
        <v>1</v>
      </c>
      <c r="G18" s="25" t="s">
        <v>63</v>
      </c>
      <c r="H18" s="23" t="str">
        <f>HYPERLINK("#G18",CHAR(128))</f>
        <v>€</v>
      </c>
    </row>
    <row r="19" spans="1:10" x14ac:dyDescent="0.3">
      <c r="A19" s="2" t="s">
        <v>73</v>
      </c>
      <c r="B19" s="63" t="s">
        <v>30</v>
      </c>
      <c r="C19" s="63"/>
      <c r="D19" s="63"/>
      <c r="E19" s="1" t="s">
        <v>72</v>
      </c>
      <c r="F19" s="16">
        <v>1</v>
      </c>
      <c r="G19" s="25" t="s">
        <v>63</v>
      </c>
      <c r="H19" s="23" t="str">
        <f>HYPERLINK("#G19",CHAR(128))</f>
        <v>€</v>
      </c>
    </row>
    <row r="20" spans="1:10" x14ac:dyDescent="0.3">
      <c r="A20" s="5"/>
      <c r="B20" s="65"/>
      <c r="C20" s="66"/>
      <c r="D20" s="67"/>
      <c r="E20" s="4"/>
      <c r="F20" s="4"/>
      <c r="G20" s="4"/>
      <c r="H20" s="14"/>
    </row>
    <row r="21" spans="1:10" x14ac:dyDescent="0.3">
      <c r="A21" s="2"/>
      <c r="B21" s="63" t="s">
        <v>33</v>
      </c>
      <c r="C21" s="63"/>
      <c r="D21" s="63"/>
      <c r="E21" s="9"/>
      <c r="F21" s="16">
        <v>1</v>
      </c>
      <c r="G21" s="25" t="s">
        <v>45</v>
      </c>
      <c r="H21" s="23" t="str">
        <f>HYPERLINK("#G21",CHAR(128))</f>
        <v>€</v>
      </c>
    </row>
    <row r="22" spans="1:10" x14ac:dyDescent="0.3">
      <c r="A22" s="5" t="s">
        <v>114</v>
      </c>
      <c r="B22" s="62" t="s">
        <v>31</v>
      </c>
      <c r="C22" s="62"/>
      <c r="D22" s="62"/>
      <c r="E22" s="4">
        <v>6748</v>
      </c>
      <c r="F22" s="4">
        <v>1</v>
      </c>
      <c r="G22" s="25" t="s">
        <v>63</v>
      </c>
      <c r="H22" s="23" t="str">
        <f>HYPERLINK("#G22",CHAR(128))</f>
        <v>€</v>
      </c>
    </row>
    <row r="23" spans="1:10" x14ac:dyDescent="0.3">
      <c r="A23" s="2"/>
      <c r="B23" s="63" t="s">
        <v>48</v>
      </c>
      <c r="C23" s="63"/>
      <c r="D23" s="63"/>
      <c r="E23" s="1"/>
      <c r="F23" s="16">
        <v>1</v>
      </c>
      <c r="G23" s="25" t="s">
        <v>45</v>
      </c>
      <c r="H23" s="22" t="str">
        <f>HYPERLINK("#G23",CHAR(128))</f>
        <v>€</v>
      </c>
    </row>
    <row r="24" spans="1:10" x14ac:dyDescent="0.3">
      <c r="A24" s="5"/>
      <c r="B24" s="62" t="s">
        <v>32</v>
      </c>
      <c r="C24" s="62"/>
      <c r="D24" s="62"/>
      <c r="E24" s="4"/>
      <c r="F24" s="4">
        <v>1</v>
      </c>
      <c r="G24" s="25" t="s">
        <v>45</v>
      </c>
      <c r="H24" s="22" t="str">
        <f>HYPERLINK("#G24",CHAR(128))</f>
        <v>€</v>
      </c>
    </row>
    <row r="25" spans="1:10" x14ac:dyDescent="0.3">
      <c r="A25" s="2"/>
      <c r="B25" s="63"/>
      <c r="C25" s="63"/>
      <c r="D25" s="63"/>
      <c r="E25" s="1"/>
      <c r="F25" s="16"/>
      <c r="G25" s="16"/>
      <c r="H25" s="14"/>
      <c r="I25" s="12"/>
    </row>
    <row r="26" spans="1:10" x14ac:dyDescent="0.3">
      <c r="A26" s="5"/>
      <c r="B26" s="62" t="s">
        <v>37</v>
      </c>
      <c r="C26" s="62"/>
      <c r="D26" s="62"/>
      <c r="E26" s="4" t="str">
        <f>C2</f>
        <v>Clark</v>
      </c>
      <c r="F26" s="4">
        <v>1</v>
      </c>
      <c r="G26" s="25" t="s">
        <v>45</v>
      </c>
      <c r="H26" s="24" t="str">
        <f>HYPERLINK("#G26",CHAR(128))</f>
        <v>€</v>
      </c>
    </row>
    <row r="28" spans="1:10" x14ac:dyDescent="0.3">
      <c r="J28" s="18"/>
    </row>
    <row r="29" spans="1:10" x14ac:dyDescent="0.3">
      <c r="A29" s="20"/>
      <c r="B29" s="64" t="s">
        <v>50</v>
      </c>
      <c r="C29" s="64"/>
      <c r="D29" s="64"/>
      <c r="E29" s="20" t="s">
        <v>8</v>
      </c>
      <c r="F29" s="20" t="s">
        <v>35</v>
      </c>
      <c r="G29" s="21" t="s">
        <v>36</v>
      </c>
    </row>
    <row r="30" spans="1:10" x14ac:dyDescent="0.3">
      <c r="A30" s="3"/>
      <c r="B30" s="62"/>
      <c r="C30" s="62"/>
      <c r="D30" s="62"/>
      <c r="E30" s="4"/>
      <c r="F30" s="10">
        <v>1</v>
      </c>
      <c r="G30" s="17"/>
      <c r="H30" s="19" t="str">
        <f>HYPERLINK("#G30",CHAR(128))</f>
        <v>€</v>
      </c>
    </row>
    <row r="31" spans="1:10" x14ac:dyDescent="0.3">
      <c r="A31" s="2"/>
      <c r="B31" s="63"/>
      <c r="C31" s="63"/>
      <c r="D31" s="63"/>
      <c r="E31" s="1"/>
      <c r="F31" s="16">
        <v>1</v>
      </c>
      <c r="G31" s="26"/>
      <c r="H31" s="19" t="str">
        <f>HYPERLINK("#G31",CHAR(128))</f>
        <v>€</v>
      </c>
    </row>
    <row r="32" spans="1:10" x14ac:dyDescent="0.3">
      <c r="A32" s="3"/>
      <c r="B32" s="62"/>
      <c r="C32" s="62"/>
      <c r="D32" s="62"/>
      <c r="E32" s="4"/>
      <c r="F32" s="4">
        <v>1</v>
      </c>
      <c r="G32" s="27"/>
      <c r="H32" s="19" t="str">
        <f>HYPERLINK("#G32",CHAR(128))</f>
        <v>€</v>
      </c>
    </row>
    <row r="33" spans="1:33" x14ac:dyDescent="0.3">
      <c r="A33" s="2"/>
      <c r="B33" s="63"/>
      <c r="C33" s="63"/>
      <c r="D33" s="63"/>
      <c r="E33" s="1"/>
      <c r="F33" s="16">
        <v>1</v>
      </c>
      <c r="G33" s="26"/>
      <c r="H33" s="19" t="str">
        <f>HYPERLINK("#G33",CHAR(128))</f>
        <v>€</v>
      </c>
    </row>
    <row r="34" spans="1:33" x14ac:dyDescent="0.3">
      <c r="A34" s="3"/>
      <c r="B34" s="62"/>
      <c r="C34" s="62"/>
      <c r="D34" s="62"/>
      <c r="E34" s="4"/>
      <c r="F34" s="4">
        <v>1</v>
      </c>
      <c r="G34" s="27"/>
      <c r="H34" s="19" t="str">
        <f>HYPERLINK("#G34",CHAR(128))</f>
        <v>€</v>
      </c>
    </row>
    <row r="37" spans="1:33" x14ac:dyDescent="0.3">
      <c r="A37" s="40" t="s">
        <v>40</v>
      </c>
      <c r="B37" s="40" t="s">
        <v>7</v>
      </c>
      <c r="C37" s="40" t="s">
        <v>65</v>
      </c>
      <c r="D37" s="40" t="s">
        <v>66</v>
      </c>
    </row>
    <row r="38" spans="1:33" x14ac:dyDescent="0.3">
      <c r="A38" s="40"/>
      <c r="B38" s="40"/>
      <c r="C38" s="40"/>
      <c r="D38" s="40"/>
    </row>
    <row r="40" spans="1:33" ht="30.6" x14ac:dyDescent="0.3">
      <c r="A40" s="82" t="s">
        <v>125</v>
      </c>
      <c r="B40" s="82" t="s">
        <v>126</v>
      </c>
      <c r="C40" s="83" t="s">
        <v>127</v>
      </c>
      <c r="D40" s="82" t="s">
        <v>9</v>
      </c>
      <c r="E40" s="83" t="s">
        <v>11</v>
      </c>
      <c r="F40" s="83" t="s">
        <v>12</v>
      </c>
      <c r="G40" s="83" t="s">
        <v>13</v>
      </c>
      <c r="H40" s="83" t="s">
        <v>55</v>
      </c>
      <c r="I40" s="83" t="s">
        <v>15</v>
      </c>
      <c r="J40" s="83" t="s">
        <v>16</v>
      </c>
      <c r="K40" s="83" t="s">
        <v>17</v>
      </c>
      <c r="L40" s="83" t="s">
        <v>18</v>
      </c>
      <c r="M40" s="83" t="s">
        <v>128</v>
      </c>
      <c r="N40" s="83" t="s">
        <v>129</v>
      </c>
      <c r="O40" s="83" t="s">
        <v>130</v>
      </c>
      <c r="P40" s="83" t="s">
        <v>131</v>
      </c>
      <c r="Q40" s="83" t="s">
        <v>132</v>
      </c>
      <c r="R40" s="83" t="s">
        <v>24</v>
      </c>
      <c r="S40" s="83" t="s">
        <v>23</v>
      </c>
      <c r="T40" s="83" t="s">
        <v>133</v>
      </c>
      <c r="U40" s="83" t="s">
        <v>26</v>
      </c>
      <c r="V40" s="83" t="s">
        <v>134</v>
      </c>
      <c r="W40" s="83" t="s">
        <v>135</v>
      </c>
      <c r="X40" s="83" t="s">
        <v>48</v>
      </c>
      <c r="Y40" s="83" t="s">
        <v>32</v>
      </c>
      <c r="Z40" s="83" t="s">
        <v>33</v>
      </c>
      <c r="AA40" s="83" t="s">
        <v>29</v>
      </c>
      <c r="AB40" s="83" t="s">
        <v>30</v>
      </c>
      <c r="AC40" s="83" t="s">
        <v>28</v>
      </c>
      <c r="AD40" s="83" t="s">
        <v>22</v>
      </c>
      <c r="AE40" s="81" t="s">
        <v>41</v>
      </c>
      <c r="AF40" s="81" t="s">
        <v>3</v>
      </c>
      <c r="AG40" s="81" t="s">
        <v>59</v>
      </c>
    </row>
    <row r="41" spans="1:33" x14ac:dyDescent="0.3">
      <c r="A41" s="84" t="s">
        <v>147</v>
      </c>
      <c r="B41" s="85" t="s">
        <v>148</v>
      </c>
      <c r="C41" s="85" t="s">
        <v>44</v>
      </c>
      <c r="D41" s="86">
        <v>22</v>
      </c>
      <c r="E41" s="87">
        <v>16</v>
      </c>
      <c r="F41" s="87">
        <v>35</v>
      </c>
      <c r="G41" s="87">
        <v>31</v>
      </c>
      <c r="H41" s="87">
        <v>37</v>
      </c>
      <c r="I41" s="87">
        <v>66</v>
      </c>
      <c r="J41" s="87">
        <v>39</v>
      </c>
      <c r="K41" s="87">
        <v>13</v>
      </c>
      <c r="L41" s="88">
        <v>6736</v>
      </c>
      <c r="M41" s="89">
        <v>6731</v>
      </c>
      <c r="N41" s="85"/>
      <c r="O41" s="89">
        <v>16</v>
      </c>
      <c r="P41" s="85"/>
      <c r="Q41" s="89" t="s">
        <v>136</v>
      </c>
      <c r="R41" s="89">
        <v>7</v>
      </c>
      <c r="S41" s="88" t="s">
        <v>137</v>
      </c>
      <c r="T41" s="88" t="s">
        <v>137</v>
      </c>
      <c r="U41" s="90" t="s">
        <v>138</v>
      </c>
      <c r="V41" s="87" t="s">
        <v>139</v>
      </c>
      <c r="W41" s="88">
        <v>6736</v>
      </c>
      <c r="X41" s="88">
        <v>6734</v>
      </c>
      <c r="Y41" s="85"/>
      <c r="Z41" s="88">
        <v>7</v>
      </c>
      <c r="AA41" s="89">
        <v>7040</v>
      </c>
      <c r="AB41" s="88" t="s">
        <v>140</v>
      </c>
      <c r="AC41" s="85"/>
      <c r="AD41" s="88" t="s">
        <v>136</v>
      </c>
      <c r="AE41" s="2"/>
      <c r="AF41" s="2"/>
      <c r="AG41" s="2"/>
    </row>
    <row r="42" spans="1:33" x14ac:dyDescent="0.3">
      <c r="A42" s="84" t="s">
        <v>149</v>
      </c>
      <c r="B42" s="85" t="s">
        <v>150</v>
      </c>
      <c r="C42" s="85" t="s">
        <v>44</v>
      </c>
      <c r="D42" s="86">
        <v>23.5</v>
      </c>
      <c r="E42" s="87">
        <v>17</v>
      </c>
      <c r="F42" s="87">
        <v>45</v>
      </c>
      <c r="G42" s="87">
        <v>43</v>
      </c>
      <c r="H42" s="87">
        <v>43</v>
      </c>
      <c r="I42" s="87">
        <v>75</v>
      </c>
      <c r="J42" s="87">
        <v>304.8</v>
      </c>
      <c r="K42" s="87">
        <v>101.6</v>
      </c>
      <c r="L42" s="88">
        <v>8046</v>
      </c>
      <c r="M42" s="89">
        <v>7644</v>
      </c>
      <c r="N42" s="85"/>
      <c r="O42" s="89">
        <v>17.5</v>
      </c>
      <c r="P42" s="85"/>
      <c r="Q42" s="89" t="s">
        <v>141</v>
      </c>
      <c r="R42" s="91">
        <v>7.5</v>
      </c>
      <c r="S42" s="89" t="s">
        <v>142</v>
      </c>
      <c r="T42" s="89" t="s">
        <v>142</v>
      </c>
      <c r="U42" s="88" t="s">
        <v>76</v>
      </c>
      <c r="V42" s="87" t="s">
        <v>139</v>
      </c>
      <c r="W42" s="89">
        <v>7648</v>
      </c>
      <c r="X42" s="89">
        <v>7646</v>
      </c>
      <c r="Y42" s="85"/>
      <c r="Z42" s="91">
        <v>7.5</v>
      </c>
      <c r="AA42" s="89">
        <v>7648</v>
      </c>
      <c r="AB42" s="88" t="s">
        <v>143</v>
      </c>
      <c r="AC42" s="85"/>
      <c r="AD42" s="89" t="s">
        <v>141</v>
      </c>
      <c r="AE42" s="2"/>
      <c r="AF42" s="2"/>
      <c r="AG42" s="2"/>
    </row>
    <row r="43" spans="1:33" x14ac:dyDescent="0.3">
      <c r="A43" s="84" t="s">
        <v>151</v>
      </c>
      <c r="B43" s="85" t="s">
        <v>152</v>
      </c>
      <c r="C43" s="85" t="s">
        <v>44</v>
      </c>
      <c r="D43" s="86">
        <v>22</v>
      </c>
      <c r="E43" s="87">
        <v>16.5</v>
      </c>
      <c r="F43" s="87">
        <v>40</v>
      </c>
      <c r="G43" s="87">
        <v>30</v>
      </c>
      <c r="H43" s="87">
        <v>38</v>
      </c>
      <c r="I43" s="87">
        <v>62</v>
      </c>
      <c r="J43" s="87">
        <v>240</v>
      </c>
      <c r="K43" s="87">
        <v>130</v>
      </c>
      <c r="L43" s="88">
        <v>6440</v>
      </c>
      <c r="M43" s="89">
        <v>6430</v>
      </c>
      <c r="N43" s="85"/>
      <c r="O43" s="89">
        <v>16.5</v>
      </c>
      <c r="P43" s="85"/>
      <c r="Q43" s="89" t="s">
        <v>76</v>
      </c>
      <c r="R43" s="88">
        <v>7</v>
      </c>
      <c r="S43" s="88" t="s">
        <v>137</v>
      </c>
      <c r="T43" s="88" t="s">
        <v>137</v>
      </c>
      <c r="U43" s="88" t="s">
        <v>144</v>
      </c>
      <c r="V43" s="87" t="s">
        <v>139</v>
      </c>
      <c r="W43" s="89">
        <v>6440</v>
      </c>
      <c r="X43" s="88">
        <v>6430</v>
      </c>
      <c r="Y43" s="85"/>
      <c r="Z43" s="88">
        <v>7</v>
      </c>
      <c r="AA43" s="88">
        <v>6444</v>
      </c>
      <c r="AB43" s="88" t="s">
        <v>140</v>
      </c>
      <c r="AC43" s="85"/>
      <c r="AD43" s="88" t="s">
        <v>136</v>
      </c>
      <c r="AE43" s="2"/>
      <c r="AF43" s="2"/>
      <c r="AG43" s="2"/>
    </row>
    <row r="44" spans="1:33" x14ac:dyDescent="0.3">
      <c r="A44" s="84" t="s">
        <v>153</v>
      </c>
      <c r="B44" s="85" t="s">
        <v>154</v>
      </c>
      <c r="C44" s="85" t="s">
        <v>44</v>
      </c>
      <c r="D44" s="86">
        <v>22</v>
      </c>
      <c r="E44" s="87">
        <v>13.5</v>
      </c>
      <c r="F44" s="87">
        <v>32</v>
      </c>
      <c r="G44" s="87">
        <v>26.5</v>
      </c>
      <c r="H44" s="87">
        <v>31</v>
      </c>
      <c r="I44" s="87">
        <v>63</v>
      </c>
      <c r="J44" s="87">
        <v>265</v>
      </c>
      <c r="K44" s="87">
        <v>95</v>
      </c>
      <c r="L44" s="88">
        <v>6432</v>
      </c>
      <c r="M44" s="89">
        <v>6427</v>
      </c>
      <c r="N44" s="85"/>
      <c r="O44" s="92">
        <v>13</v>
      </c>
      <c r="P44" s="85"/>
      <c r="Q44" s="92" t="s">
        <v>144</v>
      </c>
      <c r="R44" s="92">
        <v>7</v>
      </c>
      <c r="S44" s="92" t="s">
        <v>137</v>
      </c>
      <c r="T44" s="92" t="s">
        <v>145</v>
      </c>
      <c r="U44" s="92" t="s">
        <v>136</v>
      </c>
      <c r="V44" s="88" t="s">
        <v>146</v>
      </c>
      <c r="W44" s="92">
        <v>6432</v>
      </c>
      <c r="X44" s="88">
        <v>6430</v>
      </c>
      <c r="Y44" s="85"/>
      <c r="Z44" s="92">
        <v>7</v>
      </c>
      <c r="AA44" s="88">
        <v>6436</v>
      </c>
      <c r="AB44" s="92" t="s">
        <v>140</v>
      </c>
      <c r="AC44" s="85"/>
      <c r="AD44" s="92" t="s">
        <v>136</v>
      </c>
      <c r="AE44" s="2"/>
      <c r="AF44" s="2"/>
      <c r="AG44" s="2"/>
    </row>
  </sheetData>
  <mergeCells count="37">
    <mergeCell ref="B8:D8"/>
    <mergeCell ref="A1:A2"/>
    <mergeCell ref="C1:D1"/>
    <mergeCell ref="E1:F1"/>
    <mergeCell ref="C2:D2"/>
    <mergeCell ref="E2:F2"/>
    <mergeCell ref="B3:D3"/>
    <mergeCell ref="E3:F3"/>
    <mergeCell ref="B4:D4"/>
    <mergeCell ref="E4:F4"/>
    <mergeCell ref="B5:D5"/>
    <mergeCell ref="B6:D6"/>
    <mergeCell ref="B7:D7"/>
    <mergeCell ref="B20:D20"/>
    <mergeCell ref="B9:D9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B34:D34"/>
    <mergeCell ref="B21:D21"/>
    <mergeCell ref="B22:D22"/>
    <mergeCell ref="B23:D23"/>
    <mergeCell ref="B24:D24"/>
    <mergeCell ref="B25:D25"/>
    <mergeCell ref="B26:D26"/>
    <mergeCell ref="B29:D29"/>
    <mergeCell ref="B30:D30"/>
    <mergeCell ref="B31:D31"/>
    <mergeCell ref="B32:D32"/>
    <mergeCell ref="B33:D33"/>
  </mergeCells>
  <conditionalFormatting sqref="G6:G14 G21:G26 G16:G19">
    <cfRule type="cellIs" dxfId="85" priority="2" operator="equal">
      <formula>"Returned"</formula>
    </cfRule>
    <cfRule type="cellIs" dxfId="84" priority="5" operator="equal">
      <formula>"Ready To Order"</formula>
    </cfRule>
    <cfRule type="cellIs" dxfId="83" priority="6" operator="equal">
      <formula>"UNP"</formula>
    </cfRule>
    <cfRule type="containsText" dxfId="82" priority="7" operator="containsText" text="Ordered">
      <formula>NOT(ISERROR(SEARCH("Ordered",G6)))</formula>
    </cfRule>
    <cfRule type="containsText" dxfId="81" priority="8" operator="containsText" text="Pick Up">
      <formula>NOT(ISERROR(SEARCH("Pick Up",G6)))</formula>
    </cfRule>
    <cfRule type="containsText" dxfId="80" priority="9" operator="containsText" text="Complete">
      <formula>NOT(ISERROR(SEARCH("Complete",G6)))</formula>
    </cfRule>
  </conditionalFormatting>
  <conditionalFormatting sqref="G30:G33">
    <cfRule type="containsText" dxfId="79" priority="4" operator="containsText" text="Given">
      <formula>NOT(ISERROR(SEARCH("Given",G30)))</formula>
    </cfRule>
  </conditionalFormatting>
  <conditionalFormatting sqref="G30:G34">
    <cfRule type="containsText" dxfId="78" priority="3" operator="containsText" text="Returned">
      <formula>NOT(ISERROR(SEARCH("Returned",G30)))</formula>
    </cfRule>
  </conditionalFormatting>
  <conditionalFormatting sqref="G6:G14 G21:G26 G16:G19">
    <cfRule type="cellIs" dxfId="77" priority="1" operator="equal">
      <formula>"In Stock"</formula>
    </cfRule>
  </conditionalFormatting>
  <dataValidations count="3">
    <dataValidation type="list" allowBlank="1" showInputMessage="1" showErrorMessage="1" sqref="G30:G34" xr:uid="{E5F89021-1DE9-481D-8EFF-CC69B551A21F}">
      <formula1>"--,Returned, Given"</formula1>
    </dataValidation>
    <dataValidation type="list" allowBlank="1" showInputMessage="1" showErrorMessage="1" sqref="G16:G19 G21:G24 G26 G6:G14" xr:uid="{C155E035-3176-4309-9C97-2B2629EADEA1}">
      <formula1>"UNP, Ready To Order, Ordered, In Stock, Pick Up, Complete, Returned"</formula1>
    </dataValidation>
    <dataValidation type="decimal" allowBlank="1" showInputMessage="1" showErrorMessage="1" sqref="L2" xr:uid="{D51CB7E5-1775-4EB4-95A0-1E2CFF5E49E5}">
      <formula1>19</formula1>
      <formula2>26</formula2>
    </dataValidation>
  </dataValidations>
  <hyperlinks>
    <hyperlink ref="A1:A2" location="Menu!A1" display="Back to Menu" xr:uid="{2D3E0B61-AD9C-4EE4-ABA9-4EEA2919A88F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8049" r:id="rId3" name="Button 1">
              <controlPr defaultSize="0" print="0" autoFill="0" autoPict="0" macro="[0]!ExchangeButton">
                <anchor moveWithCells="1" sizeWithCells="1">
                  <from>
                    <xdr:col>10</xdr:col>
                    <xdr:colOff>15240</xdr:colOff>
                    <xdr:row>10</xdr:row>
                    <xdr:rowOff>190500</xdr:rowOff>
                  </from>
                  <to>
                    <xdr:col>12</xdr:col>
                    <xdr:colOff>15240</xdr:colOff>
                    <xdr:row>12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050" r:id="rId4" name="Button 2">
              <controlPr defaultSize="0" print="0" autoFill="0" autoPict="0" macro="[0]!InventoryInteract">
                <anchor moveWithCells="1" sizeWithCells="1">
                  <from>
                    <xdr:col>9</xdr:col>
                    <xdr:colOff>640080</xdr:colOff>
                    <xdr:row>18</xdr:row>
                    <xdr:rowOff>213360</xdr:rowOff>
                  </from>
                  <to>
                    <xdr:col>12</xdr:col>
                    <xdr:colOff>30480</xdr:colOff>
                    <xdr:row>21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051" r:id="rId5" name="Button 3">
              <controlPr defaultSize="0" print="0" autoFill="0" autoPict="0" macro="[0]!_xludf.Terminate">
                <anchor moveWithCells="1" sizeWithCells="1">
                  <from>
                    <xdr:col>9</xdr:col>
                    <xdr:colOff>601980</xdr:colOff>
                    <xdr:row>32</xdr:row>
                    <xdr:rowOff>167640</xdr:rowOff>
                  </from>
                  <to>
                    <xdr:col>12</xdr:col>
                    <xdr:colOff>0</xdr:colOff>
                    <xdr:row>33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052" r:id="rId6" name="Button 4">
              <controlPr defaultSize="0" print="0" autoFill="0" autoPict="0" macro="[0]!MarkAsSOS">
                <anchor moveWithCells="1" sizeWithCells="1">
                  <from>
                    <xdr:col>9</xdr:col>
                    <xdr:colOff>601980</xdr:colOff>
                    <xdr:row>30</xdr:row>
                    <xdr:rowOff>175260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053" r:id="rId7" name="Button 5">
              <controlPr defaultSize="0" print="0" autoFill="0" autoPict="0" macro="[0]!UpdateInStockStatus">
                <anchor moveWithCells="1" sizeWithCells="1">
                  <from>
                    <xdr:col>10</xdr:col>
                    <xdr:colOff>0</xdr:colOff>
                    <xdr:row>23</xdr:row>
                    <xdr:rowOff>175260</xdr:rowOff>
                  </from>
                  <to>
                    <xdr:col>12</xdr:col>
                    <xdr:colOff>7620</xdr:colOff>
                    <xdr:row>26</xdr:row>
                    <xdr:rowOff>106680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88E31D-9959-4B64-97A8-69261E470013}">
  <sheetPr codeName="Sheet5"/>
  <dimension ref="A1:L40"/>
  <sheetViews>
    <sheetView workbookViewId="0">
      <selection sqref="A1:A2"/>
    </sheetView>
  </sheetViews>
  <sheetFormatPr defaultRowHeight="14.4" x14ac:dyDescent="0.3"/>
  <cols>
    <col min="1" max="1" width="18.44140625" customWidth="1"/>
    <col min="3" max="3" width="9.109375" customWidth="1"/>
    <col min="4" max="4" width="10" customWidth="1"/>
    <col min="5" max="5" width="15.5546875" customWidth="1"/>
    <col min="7" max="7" width="16.5546875" customWidth="1"/>
    <col min="8" max="8" width="2.44140625" customWidth="1"/>
    <col min="11" max="11" width="12" customWidth="1"/>
    <col min="12" max="12" width="13" customWidth="1"/>
  </cols>
  <sheetData>
    <row r="1" spans="1:12" x14ac:dyDescent="0.3">
      <c r="A1" s="69" t="s">
        <v>42</v>
      </c>
      <c r="B1" s="20" t="s">
        <v>3</v>
      </c>
      <c r="C1" s="64" t="s">
        <v>0</v>
      </c>
      <c r="D1" s="64"/>
      <c r="E1" s="64" t="s">
        <v>2</v>
      </c>
      <c r="F1" s="64"/>
      <c r="G1" s="20" t="s">
        <v>34</v>
      </c>
      <c r="K1" s="20" t="s">
        <v>38</v>
      </c>
      <c r="L1" s="20" t="s">
        <v>10</v>
      </c>
    </row>
    <row r="2" spans="1:12" x14ac:dyDescent="0.3">
      <c r="A2" s="70"/>
      <c r="B2" s="2" t="s">
        <v>43</v>
      </c>
      <c r="C2" s="63" t="s">
        <v>90</v>
      </c>
      <c r="D2" s="63"/>
      <c r="E2" s="63" t="s">
        <v>116</v>
      </c>
      <c r="F2" s="63"/>
      <c r="G2" s="1" t="s">
        <v>117</v>
      </c>
      <c r="K2" s="4" t="s">
        <v>9</v>
      </c>
      <c r="L2" s="4">
        <v>19</v>
      </c>
    </row>
    <row r="3" spans="1:12" x14ac:dyDescent="0.3">
      <c r="A3" s="20" t="s">
        <v>1</v>
      </c>
      <c r="B3" s="71" t="s">
        <v>4</v>
      </c>
      <c r="C3" s="72"/>
      <c r="D3" s="73"/>
      <c r="E3" s="71" t="s">
        <v>49</v>
      </c>
      <c r="F3" s="73"/>
      <c r="G3" s="20" t="s">
        <v>5</v>
      </c>
      <c r="K3" s="1" t="s">
        <v>11</v>
      </c>
      <c r="L3" s="1">
        <v>13</v>
      </c>
    </row>
    <row r="4" spans="1:12" x14ac:dyDescent="0.3">
      <c r="A4" s="1" t="s">
        <v>39</v>
      </c>
      <c r="B4" s="74">
        <v>8364443015</v>
      </c>
      <c r="C4" s="74"/>
      <c r="D4" s="74"/>
      <c r="E4" s="63" t="s">
        <v>52</v>
      </c>
      <c r="F4" s="63"/>
      <c r="G4" s="1" t="s">
        <v>78</v>
      </c>
      <c r="K4" s="4" t="s">
        <v>12</v>
      </c>
      <c r="L4" s="4">
        <v>38.1</v>
      </c>
    </row>
    <row r="5" spans="1:12" x14ac:dyDescent="0.3">
      <c r="A5" s="20" t="s">
        <v>6</v>
      </c>
      <c r="B5" s="64" t="s">
        <v>7</v>
      </c>
      <c r="C5" s="64"/>
      <c r="D5" s="64"/>
      <c r="E5" s="20" t="s">
        <v>8</v>
      </c>
      <c r="F5" s="20" t="s">
        <v>35</v>
      </c>
      <c r="G5" s="20" t="s">
        <v>36</v>
      </c>
      <c r="K5" s="1" t="s">
        <v>13</v>
      </c>
      <c r="L5" s="1">
        <v>61.3</v>
      </c>
    </row>
    <row r="6" spans="1:12" x14ac:dyDescent="0.3">
      <c r="A6" s="3" t="s">
        <v>118</v>
      </c>
      <c r="B6" s="62" t="s">
        <v>18</v>
      </c>
      <c r="C6" s="62"/>
      <c r="D6" s="62"/>
      <c r="E6" s="4">
        <v>8040</v>
      </c>
      <c r="F6" s="4">
        <v>1</v>
      </c>
      <c r="G6" s="25" t="s">
        <v>63</v>
      </c>
      <c r="H6" s="28" t="str">
        <f>HYPERLINK("#G6",CHAR(128))</f>
        <v>€</v>
      </c>
      <c r="K6" s="4" t="s">
        <v>14</v>
      </c>
      <c r="L6" s="4">
        <v>44.2</v>
      </c>
    </row>
    <row r="7" spans="1:12" x14ac:dyDescent="0.3">
      <c r="A7" s="2" t="s">
        <v>80</v>
      </c>
      <c r="B7" s="63" t="s">
        <v>21</v>
      </c>
      <c r="C7" s="63"/>
      <c r="D7" s="63"/>
      <c r="E7" s="1" t="s">
        <v>79</v>
      </c>
      <c r="F7" s="16">
        <v>1</v>
      </c>
      <c r="G7" s="25" t="s">
        <v>63</v>
      </c>
      <c r="H7" s="28" t="str">
        <f>HYPERLINK("#G7",CHAR(128))</f>
        <v>€</v>
      </c>
      <c r="K7" s="1" t="s">
        <v>15</v>
      </c>
      <c r="L7" s="1">
        <v>70</v>
      </c>
    </row>
    <row r="8" spans="1:12" x14ac:dyDescent="0.3">
      <c r="A8" s="3" t="s">
        <v>91</v>
      </c>
      <c r="B8" s="62" t="s">
        <v>19</v>
      </c>
      <c r="C8" s="62"/>
      <c r="D8" s="62"/>
      <c r="E8" s="4" t="s">
        <v>76</v>
      </c>
      <c r="F8" s="4">
        <v>1</v>
      </c>
      <c r="G8" s="25" t="s">
        <v>63</v>
      </c>
      <c r="H8" s="28" t="str">
        <f>HYPERLINK("#G8",CHAR(128))</f>
        <v>€</v>
      </c>
      <c r="K8" s="4" t="s">
        <v>16</v>
      </c>
      <c r="L8" s="4">
        <v>317.10000000000002</v>
      </c>
    </row>
    <row r="9" spans="1:12" x14ac:dyDescent="0.3">
      <c r="A9" s="2"/>
      <c r="B9" s="63" t="s">
        <v>20</v>
      </c>
      <c r="C9" s="63"/>
      <c r="D9" s="63"/>
      <c r="E9" s="1"/>
      <c r="F9" s="16">
        <v>1</v>
      </c>
      <c r="G9" s="25" t="s">
        <v>45</v>
      </c>
      <c r="H9" s="28" t="str">
        <f>HYPERLINK("#G9",CHAR(128))</f>
        <v>€</v>
      </c>
      <c r="I9" s="11"/>
      <c r="K9" s="1" t="s">
        <v>17</v>
      </c>
      <c r="L9" s="1">
        <v>100.2</v>
      </c>
    </row>
    <row r="10" spans="1:12" x14ac:dyDescent="0.3">
      <c r="A10" s="3" t="s">
        <v>92</v>
      </c>
      <c r="B10" s="62" t="s">
        <v>24</v>
      </c>
      <c r="C10" s="62"/>
      <c r="D10" s="62"/>
      <c r="E10" s="8">
        <v>6.375</v>
      </c>
      <c r="F10" s="4">
        <v>1</v>
      </c>
      <c r="G10" s="25" t="s">
        <v>63</v>
      </c>
      <c r="H10" s="28" t="str">
        <f>HYPERLINK("#G10",CHAR(128))</f>
        <v>€</v>
      </c>
      <c r="K10" s="15" t="s">
        <v>47</v>
      </c>
      <c r="L10" s="15">
        <v>7.4</v>
      </c>
    </row>
    <row r="11" spans="1:12" x14ac:dyDescent="0.3">
      <c r="A11" s="2" t="s">
        <v>99</v>
      </c>
      <c r="B11" s="63" t="s">
        <v>23</v>
      </c>
      <c r="C11" s="63"/>
      <c r="D11" s="63"/>
      <c r="E11" s="1" t="s">
        <v>98</v>
      </c>
      <c r="F11" s="16">
        <v>1</v>
      </c>
      <c r="G11" s="25" t="s">
        <v>45</v>
      </c>
      <c r="H11" s="28" t="str">
        <f>HYPERLINK("#G11",CHAR(128))</f>
        <v>€</v>
      </c>
    </row>
    <row r="12" spans="1:12" x14ac:dyDescent="0.3">
      <c r="A12" s="5"/>
      <c r="B12" s="62" t="s">
        <v>25</v>
      </c>
      <c r="C12" s="62"/>
      <c r="D12" s="62"/>
      <c r="E12" s="4"/>
      <c r="F12" s="4">
        <v>1</v>
      </c>
      <c r="G12" s="25" t="s">
        <v>45</v>
      </c>
      <c r="H12" s="28" t="str">
        <f>HYPERLINK("#G12",CHAR(128))</f>
        <v>€</v>
      </c>
    </row>
    <row r="13" spans="1:12" x14ac:dyDescent="0.3">
      <c r="A13" s="2" t="s">
        <v>71</v>
      </c>
      <c r="B13" s="63" t="s">
        <v>26</v>
      </c>
      <c r="C13" s="63"/>
      <c r="D13" s="63"/>
      <c r="E13" s="1" t="s">
        <v>70</v>
      </c>
      <c r="F13" s="16">
        <v>1</v>
      </c>
      <c r="G13" s="25" t="s">
        <v>45</v>
      </c>
      <c r="H13" s="28" t="str">
        <f>HYPERLINK("#G13",CHAR(128))</f>
        <v>€</v>
      </c>
    </row>
    <row r="14" spans="1:12" x14ac:dyDescent="0.3">
      <c r="A14" s="5" t="s">
        <v>94</v>
      </c>
      <c r="B14" s="62" t="s">
        <v>27</v>
      </c>
      <c r="C14" s="62"/>
      <c r="D14" s="62"/>
      <c r="E14" s="4" t="s">
        <v>93</v>
      </c>
      <c r="F14" s="4">
        <v>1</v>
      </c>
      <c r="G14" s="25" t="s">
        <v>63</v>
      </c>
      <c r="H14" s="28" t="str">
        <f>HYPERLINK("#G14",CHAR(128))</f>
        <v>€</v>
      </c>
    </row>
    <row r="15" spans="1:12" x14ac:dyDescent="0.3">
      <c r="A15" s="2"/>
      <c r="B15" s="68"/>
      <c r="C15" s="68"/>
      <c r="D15" s="68"/>
      <c r="E15" s="1"/>
      <c r="F15" s="16"/>
      <c r="G15" s="16"/>
      <c r="H15" s="14"/>
    </row>
    <row r="16" spans="1:12" x14ac:dyDescent="0.3">
      <c r="A16" s="5" t="s">
        <v>46</v>
      </c>
      <c r="B16" s="62" t="s">
        <v>28</v>
      </c>
      <c r="C16" s="62"/>
      <c r="D16" s="62"/>
      <c r="E16" s="4" t="s">
        <v>51</v>
      </c>
      <c r="F16" s="4">
        <v>1</v>
      </c>
      <c r="G16" s="25" t="s">
        <v>63</v>
      </c>
      <c r="H16" s="23" t="str">
        <f>HYPERLINK("#G16",CHAR(128))</f>
        <v>€</v>
      </c>
    </row>
    <row r="17" spans="1:10" x14ac:dyDescent="0.3">
      <c r="A17" s="2" t="s">
        <v>95</v>
      </c>
      <c r="B17" s="63" t="s">
        <v>22</v>
      </c>
      <c r="C17" s="63"/>
      <c r="D17" s="63"/>
      <c r="E17" s="1" t="s">
        <v>81</v>
      </c>
      <c r="F17" s="16">
        <v>1</v>
      </c>
      <c r="G17" s="25" t="s">
        <v>63</v>
      </c>
      <c r="H17" s="23" t="str">
        <f>HYPERLINK("#G17",CHAR(128))</f>
        <v>€</v>
      </c>
    </row>
    <row r="18" spans="1:10" x14ac:dyDescent="0.3">
      <c r="A18" s="5" t="s">
        <v>119</v>
      </c>
      <c r="B18" s="62" t="s">
        <v>29</v>
      </c>
      <c r="C18" s="62"/>
      <c r="D18" s="62"/>
      <c r="E18" s="4">
        <v>7644</v>
      </c>
      <c r="F18" s="4">
        <v>1</v>
      </c>
      <c r="G18" s="25" t="s">
        <v>63</v>
      </c>
      <c r="H18" s="23" t="str">
        <f>HYPERLINK("#G18",CHAR(128))</f>
        <v>€</v>
      </c>
    </row>
    <row r="19" spans="1:10" x14ac:dyDescent="0.3">
      <c r="A19" s="2" t="s">
        <v>73</v>
      </c>
      <c r="B19" s="63" t="s">
        <v>30</v>
      </c>
      <c r="C19" s="63"/>
      <c r="D19" s="63"/>
      <c r="E19" s="1" t="s">
        <v>72</v>
      </c>
      <c r="F19" s="16">
        <v>1</v>
      </c>
      <c r="G19" s="25" t="s">
        <v>63</v>
      </c>
      <c r="H19" s="23" t="str">
        <f>HYPERLINK("#G19",CHAR(128))</f>
        <v>€</v>
      </c>
    </row>
    <row r="20" spans="1:10" x14ac:dyDescent="0.3">
      <c r="A20" s="5"/>
      <c r="B20" s="65"/>
      <c r="C20" s="66"/>
      <c r="D20" s="67"/>
      <c r="E20" s="4"/>
      <c r="F20" s="4"/>
      <c r="G20" s="4"/>
      <c r="H20" s="14"/>
    </row>
    <row r="21" spans="1:10" x14ac:dyDescent="0.3">
      <c r="A21" s="2" t="s">
        <v>102</v>
      </c>
      <c r="B21" s="63" t="s">
        <v>33</v>
      </c>
      <c r="C21" s="63"/>
      <c r="D21" s="63"/>
      <c r="E21" s="9">
        <v>6.125</v>
      </c>
      <c r="F21" s="16">
        <v>1</v>
      </c>
      <c r="G21" s="25" t="s">
        <v>63</v>
      </c>
      <c r="H21" s="23" t="str">
        <f>HYPERLINK("#G21",CHAR(128))</f>
        <v>€</v>
      </c>
    </row>
    <row r="22" spans="1:10" x14ac:dyDescent="0.3">
      <c r="A22" s="5" t="s">
        <v>120</v>
      </c>
      <c r="B22" s="62" t="s">
        <v>31</v>
      </c>
      <c r="C22" s="62"/>
      <c r="D22" s="62"/>
      <c r="E22" s="4">
        <v>7640</v>
      </c>
      <c r="F22" s="4">
        <v>1</v>
      </c>
      <c r="G22" s="25" t="s">
        <v>63</v>
      </c>
      <c r="H22" s="23" t="str">
        <f>HYPERLINK("#G22",CHAR(128))</f>
        <v>€</v>
      </c>
    </row>
    <row r="23" spans="1:10" x14ac:dyDescent="0.3">
      <c r="A23" s="2"/>
      <c r="B23" s="63" t="s">
        <v>48</v>
      </c>
      <c r="C23" s="63"/>
      <c r="D23" s="63"/>
      <c r="E23" s="1"/>
      <c r="F23" s="16">
        <v>1</v>
      </c>
      <c r="G23" s="25" t="s">
        <v>45</v>
      </c>
      <c r="H23" s="22" t="str">
        <f>HYPERLINK("#G23",CHAR(128))</f>
        <v>€</v>
      </c>
    </row>
    <row r="24" spans="1:10" x14ac:dyDescent="0.3">
      <c r="A24" s="5" t="s">
        <v>122</v>
      </c>
      <c r="B24" s="62" t="s">
        <v>32</v>
      </c>
      <c r="C24" s="62"/>
      <c r="D24" s="62"/>
      <c r="E24" s="4" t="s">
        <v>121</v>
      </c>
      <c r="F24" s="4">
        <v>1</v>
      </c>
      <c r="G24" s="25" t="s">
        <v>63</v>
      </c>
      <c r="H24" s="22" t="str">
        <f>HYPERLINK("#G24",CHAR(128))</f>
        <v>€</v>
      </c>
    </row>
    <row r="25" spans="1:10" x14ac:dyDescent="0.3">
      <c r="A25" s="2"/>
      <c r="B25" s="63"/>
      <c r="C25" s="63"/>
      <c r="D25" s="63"/>
      <c r="E25" s="1"/>
      <c r="F25" s="16"/>
      <c r="G25" s="16"/>
      <c r="H25" s="14"/>
      <c r="I25" s="12"/>
    </row>
    <row r="26" spans="1:10" x14ac:dyDescent="0.3">
      <c r="A26" s="5"/>
      <c r="B26" s="62" t="s">
        <v>37</v>
      </c>
      <c r="C26" s="62"/>
      <c r="D26" s="62"/>
      <c r="E26" s="4" t="str">
        <f>C2</f>
        <v>Taylor</v>
      </c>
      <c r="F26" s="4">
        <v>1</v>
      </c>
      <c r="G26" s="25" t="s">
        <v>45</v>
      </c>
      <c r="H26" s="24" t="str">
        <f>HYPERLINK("#G26",CHAR(128))</f>
        <v>€</v>
      </c>
    </row>
    <row r="28" spans="1:10" x14ac:dyDescent="0.3">
      <c r="J28" s="18"/>
    </row>
    <row r="29" spans="1:10" x14ac:dyDescent="0.3">
      <c r="A29" s="20"/>
      <c r="B29" s="64" t="s">
        <v>50</v>
      </c>
      <c r="C29" s="64"/>
      <c r="D29" s="64"/>
      <c r="E29" s="20" t="s">
        <v>8</v>
      </c>
      <c r="F29" s="20" t="s">
        <v>35</v>
      </c>
      <c r="G29" s="21" t="s">
        <v>36</v>
      </c>
    </row>
    <row r="30" spans="1:10" x14ac:dyDescent="0.3">
      <c r="A30" s="3"/>
      <c r="B30" s="62"/>
      <c r="C30" s="62"/>
      <c r="D30" s="62"/>
      <c r="E30" s="4"/>
      <c r="F30" s="10">
        <v>1</v>
      </c>
      <c r="G30" s="17"/>
      <c r="H30" s="19" t="str">
        <f>HYPERLINK("#G30",CHAR(128))</f>
        <v>€</v>
      </c>
    </row>
    <row r="31" spans="1:10" x14ac:dyDescent="0.3">
      <c r="A31" s="2"/>
      <c r="B31" s="63"/>
      <c r="C31" s="63"/>
      <c r="D31" s="63"/>
      <c r="E31" s="1"/>
      <c r="F31" s="16">
        <v>1</v>
      </c>
      <c r="G31" s="26"/>
      <c r="H31" s="19" t="str">
        <f>HYPERLINK("#G31",CHAR(128))</f>
        <v>€</v>
      </c>
    </row>
    <row r="32" spans="1:10" x14ac:dyDescent="0.3">
      <c r="A32" s="3"/>
      <c r="B32" s="62"/>
      <c r="C32" s="62"/>
      <c r="D32" s="62"/>
      <c r="E32" s="4"/>
      <c r="F32" s="4">
        <v>1</v>
      </c>
      <c r="G32" s="27"/>
      <c r="H32" s="19" t="str">
        <f>HYPERLINK("#G32",CHAR(128))</f>
        <v>€</v>
      </c>
    </row>
    <row r="33" spans="1:8" x14ac:dyDescent="0.3">
      <c r="A33" s="2"/>
      <c r="B33" s="63"/>
      <c r="C33" s="63"/>
      <c r="D33" s="63"/>
      <c r="E33" s="1"/>
      <c r="F33" s="16">
        <v>1</v>
      </c>
      <c r="G33" s="26"/>
      <c r="H33" s="19" t="str">
        <f>HYPERLINK("#G33",CHAR(128))</f>
        <v>€</v>
      </c>
    </row>
    <row r="34" spans="1:8" x14ac:dyDescent="0.3">
      <c r="A34" s="3"/>
      <c r="B34" s="62"/>
      <c r="C34" s="62"/>
      <c r="D34" s="62"/>
      <c r="E34" s="4"/>
      <c r="F34" s="4">
        <v>1</v>
      </c>
      <c r="G34" s="27"/>
      <c r="H34" s="19" t="str">
        <f>HYPERLINK("#G34",CHAR(128))</f>
        <v>€</v>
      </c>
    </row>
    <row r="37" spans="1:8" x14ac:dyDescent="0.3">
      <c r="A37" s="40" t="s">
        <v>40</v>
      </c>
      <c r="B37" s="40" t="s">
        <v>7</v>
      </c>
      <c r="C37" s="40" t="s">
        <v>65</v>
      </c>
      <c r="D37" s="40" t="s">
        <v>66</v>
      </c>
    </row>
    <row r="38" spans="1:8" x14ac:dyDescent="0.3">
      <c r="A38" s="43">
        <v>45298</v>
      </c>
      <c r="B38" s="40" t="s">
        <v>23</v>
      </c>
      <c r="C38" s="40" t="s">
        <v>74</v>
      </c>
      <c r="D38" s="40" t="s">
        <v>60</v>
      </c>
    </row>
    <row r="39" spans="1:8" x14ac:dyDescent="0.3">
      <c r="A39" s="43">
        <v>45298</v>
      </c>
      <c r="B39" s="40" t="s">
        <v>23</v>
      </c>
      <c r="C39" s="40" t="s">
        <v>60</v>
      </c>
      <c r="D39" s="40" t="s">
        <v>74</v>
      </c>
    </row>
    <row r="40" spans="1:8" x14ac:dyDescent="0.3">
      <c r="A40" s="43">
        <v>45298</v>
      </c>
      <c r="B40" s="40" t="s">
        <v>23</v>
      </c>
      <c r="C40" s="40" t="s">
        <v>74</v>
      </c>
      <c r="D40" s="40" t="s">
        <v>98</v>
      </c>
    </row>
  </sheetData>
  <mergeCells count="37">
    <mergeCell ref="B8:D8"/>
    <mergeCell ref="A1:A2"/>
    <mergeCell ref="C1:D1"/>
    <mergeCell ref="E1:F1"/>
    <mergeCell ref="C2:D2"/>
    <mergeCell ref="E2:F2"/>
    <mergeCell ref="B3:D3"/>
    <mergeCell ref="E3:F3"/>
    <mergeCell ref="B4:D4"/>
    <mergeCell ref="E4:F4"/>
    <mergeCell ref="B5:D5"/>
    <mergeCell ref="B6:D6"/>
    <mergeCell ref="B7:D7"/>
    <mergeCell ref="B20:D20"/>
    <mergeCell ref="B9:D9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B34:D34"/>
    <mergeCell ref="B21:D21"/>
    <mergeCell ref="B22:D22"/>
    <mergeCell ref="B23:D23"/>
    <mergeCell ref="B24:D24"/>
    <mergeCell ref="B25:D25"/>
    <mergeCell ref="B26:D26"/>
    <mergeCell ref="B29:D29"/>
    <mergeCell ref="B30:D30"/>
    <mergeCell ref="B31:D31"/>
    <mergeCell ref="B32:D32"/>
    <mergeCell ref="B33:D33"/>
  </mergeCells>
  <conditionalFormatting sqref="G6:G14 G21:G26 G16:G19">
    <cfRule type="cellIs" dxfId="76" priority="2" operator="equal">
      <formula>"Returned"</formula>
    </cfRule>
    <cfRule type="cellIs" dxfId="75" priority="5" operator="equal">
      <formula>"Ready To Order"</formula>
    </cfRule>
    <cfRule type="cellIs" dxfId="74" priority="6" operator="equal">
      <formula>"UNP"</formula>
    </cfRule>
    <cfRule type="containsText" dxfId="73" priority="7" operator="containsText" text="Ordered">
      <formula>NOT(ISERROR(SEARCH("Ordered",G6)))</formula>
    </cfRule>
    <cfRule type="containsText" dxfId="72" priority="8" operator="containsText" text="Pick Up">
      <formula>NOT(ISERROR(SEARCH("Pick Up",G6)))</formula>
    </cfRule>
    <cfRule type="containsText" dxfId="71" priority="9" operator="containsText" text="Complete">
      <formula>NOT(ISERROR(SEARCH("Complete",G6)))</formula>
    </cfRule>
  </conditionalFormatting>
  <conditionalFormatting sqref="G30:G33">
    <cfRule type="containsText" dxfId="70" priority="4" operator="containsText" text="Given">
      <formula>NOT(ISERROR(SEARCH("Given",G30)))</formula>
    </cfRule>
  </conditionalFormatting>
  <conditionalFormatting sqref="G30:G34">
    <cfRule type="containsText" dxfId="69" priority="3" operator="containsText" text="Returned">
      <formula>NOT(ISERROR(SEARCH("Returned",G30)))</formula>
    </cfRule>
  </conditionalFormatting>
  <conditionalFormatting sqref="G6:G14 G21:G26 G16:G19">
    <cfRule type="cellIs" dxfId="68" priority="1" operator="equal">
      <formula>"In Stock"</formula>
    </cfRule>
  </conditionalFormatting>
  <dataValidations count="3">
    <dataValidation type="list" allowBlank="1" showInputMessage="1" showErrorMessage="1" sqref="G30:G34" xr:uid="{B4763D4B-CEAD-42F4-967C-0F9300C7C7F1}">
      <formula1>"--,Returned, Given"</formula1>
    </dataValidation>
    <dataValidation type="list" allowBlank="1" showInputMessage="1" showErrorMessage="1" sqref="G16:G19 G21:G24 G26 G6:G14" xr:uid="{6549C590-5E18-4661-8103-97BDB2D9E629}">
      <formula1>"UNP, Ready To Order, Ordered, In Stock, Pick Up, Complete, Returned"</formula1>
    </dataValidation>
    <dataValidation type="decimal" allowBlank="1" showInputMessage="1" showErrorMessage="1" sqref="L2" xr:uid="{3F4193CB-376E-4E88-86DC-CE63E720BB73}">
      <formula1>19</formula1>
      <formula2>26</formula2>
    </dataValidation>
  </dataValidations>
  <hyperlinks>
    <hyperlink ref="A1:A2" location="Menu!A1" display="Back to Menu" xr:uid="{A76CB1CA-4EB7-47EB-80DA-11A783501A42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9073" r:id="rId3" name="Button 1">
              <controlPr defaultSize="0" print="0" autoFill="0" autoPict="0" macro="[0]!ExchangeButton">
                <anchor moveWithCells="1" sizeWithCells="1">
                  <from>
                    <xdr:col>10</xdr:col>
                    <xdr:colOff>15240</xdr:colOff>
                    <xdr:row>10</xdr:row>
                    <xdr:rowOff>190500</xdr:rowOff>
                  </from>
                  <to>
                    <xdr:col>12</xdr:col>
                    <xdr:colOff>15240</xdr:colOff>
                    <xdr:row>12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074" r:id="rId4" name="Button 2">
              <controlPr defaultSize="0" print="0" autoFill="0" autoPict="0" macro="[0]!InventoryInteract">
                <anchor moveWithCells="1" sizeWithCells="1">
                  <from>
                    <xdr:col>9</xdr:col>
                    <xdr:colOff>640080</xdr:colOff>
                    <xdr:row>18</xdr:row>
                    <xdr:rowOff>213360</xdr:rowOff>
                  </from>
                  <to>
                    <xdr:col>12</xdr:col>
                    <xdr:colOff>30480</xdr:colOff>
                    <xdr:row>21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075" r:id="rId5" name="Button 3">
              <controlPr defaultSize="0" print="0" autoFill="0" autoPict="0" macro="[0]!_xludf.Terminate">
                <anchor moveWithCells="1" sizeWithCells="1">
                  <from>
                    <xdr:col>9</xdr:col>
                    <xdr:colOff>601980</xdr:colOff>
                    <xdr:row>32</xdr:row>
                    <xdr:rowOff>167640</xdr:rowOff>
                  </from>
                  <to>
                    <xdr:col>12</xdr:col>
                    <xdr:colOff>0</xdr:colOff>
                    <xdr:row>33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076" r:id="rId6" name="Button 4">
              <controlPr defaultSize="0" print="0" autoFill="0" autoPict="0" macro="[0]!MarkAsSOS">
                <anchor moveWithCells="1" sizeWithCells="1">
                  <from>
                    <xdr:col>9</xdr:col>
                    <xdr:colOff>601980</xdr:colOff>
                    <xdr:row>30</xdr:row>
                    <xdr:rowOff>175260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077" r:id="rId7" name="Button 5">
              <controlPr defaultSize="0" print="0" autoFill="0" autoPict="0" macro="[0]!UpdateInStockStatus">
                <anchor moveWithCells="1" sizeWithCells="1">
                  <from>
                    <xdr:col>10</xdr:col>
                    <xdr:colOff>0</xdr:colOff>
                    <xdr:row>23</xdr:row>
                    <xdr:rowOff>175260</xdr:rowOff>
                  </from>
                  <to>
                    <xdr:col>12</xdr:col>
                    <xdr:colOff>7620</xdr:colOff>
                    <xdr:row>26</xdr:row>
                    <xdr:rowOff>106680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BBD703-C19E-48ED-B4BF-0A3AC2EC3D4D}">
  <sheetPr codeName="Sheet7"/>
  <dimension ref="A1:L38"/>
  <sheetViews>
    <sheetView workbookViewId="0">
      <selection activeCell="G24" sqref="G24"/>
    </sheetView>
  </sheetViews>
  <sheetFormatPr defaultRowHeight="14.4" x14ac:dyDescent="0.3"/>
  <cols>
    <col min="1" max="1" width="18.6640625" customWidth="1"/>
    <col min="3" max="3" width="9.88671875" customWidth="1"/>
    <col min="4" max="4" width="10.88671875" customWidth="1"/>
    <col min="5" max="5" width="15.7773437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69" t="s">
        <v>42</v>
      </c>
      <c r="B1" s="20" t="s">
        <v>3</v>
      </c>
      <c r="C1" s="64" t="s">
        <v>0</v>
      </c>
      <c r="D1" s="64"/>
      <c r="E1" s="64" t="s">
        <v>2</v>
      </c>
      <c r="F1" s="64"/>
      <c r="G1" s="20" t="s">
        <v>34</v>
      </c>
      <c r="K1" s="20" t="s">
        <v>38</v>
      </c>
      <c r="L1" s="20" t="s">
        <v>10</v>
      </c>
    </row>
    <row r="2" spans="1:12" x14ac:dyDescent="0.3">
      <c r="A2" s="70"/>
      <c r="B2" s="2" t="s">
        <v>155</v>
      </c>
      <c r="C2" s="63" t="s">
        <v>147</v>
      </c>
      <c r="D2" s="63"/>
      <c r="E2" s="63" t="s">
        <v>148</v>
      </c>
      <c r="F2" s="63"/>
      <c r="G2" s="1" t="s">
        <v>156</v>
      </c>
      <c r="K2" s="4" t="s">
        <v>9</v>
      </c>
      <c r="L2" s="4">
        <v>22</v>
      </c>
    </row>
    <row r="3" spans="1:12" x14ac:dyDescent="0.3">
      <c r="A3" s="20" t="s">
        <v>1</v>
      </c>
      <c r="B3" s="71" t="s">
        <v>4</v>
      </c>
      <c r="C3" s="72"/>
      <c r="D3" s="73"/>
      <c r="E3" s="71" t="s">
        <v>49</v>
      </c>
      <c r="F3" s="73"/>
      <c r="G3" s="20" t="s">
        <v>5</v>
      </c>
      <c r="K3" s="1" t="s">
        <v>11</v>
      </c>
      <c r="L3" s="1">
        <v>16</v>
      </c>
    </row>
    <row r="4" spans="1:12" x14ac:dyDescent="0.3">
      <c r="A4" s="1" t="s">
        <v>39</v>
      </c>
      <c r="B4" s="74">
        <v>9999999999</v>
      </c>
      <c r="C4" s="74"/>
      <c r="D4" s="74"/>
      <c r="E4" s="63"/>
      <c r="F4" s="63"/>
      <c r="G4" s="1" t="s">
        <v>78</v>
      </c>
      <c r="K4" s="4" t="s">
        <v>12</v>
      </c>
      <c r="L4" s="4">
        <v>35</v>
      </c>
    </row>
    <row r="5" spans="1:12" x14ac:dyDescent="0.3">
      <c r="A5" s="20" t="s">
        <v>6</v>
      </c>
      <c r="B5" s="64" t="s">
        <v>7</v>
      </c>
      <c r="C5" s="64"/>
      <c r="D5" s="64"/>
      <c r="E5" s="20" t="s">
        <v>8</v>
      </c>
      <c r="F5" s="20" t="s">
        <v>35</v>
      </c>
      <c r="G5" s="20" t="s">
        <v>36</v>
      </c>
      <c r="K5" s="1" t="s">
        <v>13</v>
      </c>
      <c r="L5" s="1">
        <v>31</v>
      </c>
    </row>
    <row r="6" spans="1:12" x14ac:dyDescent="0.3">
      <c r="A6" s="3" t="s">
        <v>157</v>
      </c>
      <c r="B6" s="62" t="s">
        <v>18</v>
      </c>
      <c r="C6" s="62"/>
      <c r="D6" s="62"/>
      <c r="E6" s="4">
        <v>6736</v>
      </c>
      <c r="F6" s="4">
        <v>1</v>
      </c>
      <c r="G6" s="25" t="s">
        <v>86</v>
      </c>
      <c r="H6" s="28" t="str">
        <f>HYPERLINK("#G6",CHAR(128))</f>
        <v>€</v>
      </c>
      <c r="K6" s="4" t="s">
        <v>14</v>
      </c>
      <c r="L6" s="4">
        <v>37</v>
      </c>
    </row>
    <row r="7" spans="1:12" x14ac:dyDescent="0.3">
      <c r="A7" s="2" t="s">
        <v>158</v>
      </c>
      <c r="B7" s="63" t="s">
        <v>21</v>
      </c>
      <c r="C7" s="63"/>
      <c r="D7" s="63"/>
      <c r="E7" s="1">
        <v>16</v>
      </c>
      <c r="F7" s="16">
        <v>1</v>
      </c>
      <c r="G7" s="25" t="s">
        <v>63</v>
      </c>
      <c r="H7" s="28" t="str">
        <f>HYPERLINK("#G7",CHAR(128))</f>
        <v>€</v>
      </c>
      <c r="K7" s="1" t="s">
        <v>15</v>
      </c>
      <c r="L7" s="1">
        <v>66</v>
      </c>
    </row>
    <row r="8" spans="1:12" x14ac:dyDescent="0.3">
      <c r="A8" s="3" t="s">
        <v>159</v>
      </c>
      <c r="B8" s="62" t="s">
        <v>19</v>
      </c>
      <c r="C8" s="62"/>
      <c r="D8" s="62"/>
      <c r="E8" s="4" t="s">
        <v>136</v>
      </c>
      <c r="F8" s="4">
        <v>1</v>
      </c>
      <c r="G8" s="25" t="s">
        <v>63</v>
      </c>
      <c r="H8" s="28" t="str">
        <f>HYPERLINK("#G8",CHAR(128))</f>
        <v>€</v>
      </c>
      <c r="K8" s="4" t="s">
        <v>16</v>
      </c>
      <c r="L8" s="4">
        <v>39</v>
      </c>
    </row>
    <row r="9" spans="1:12" x14ac:dyDescent="0.3">
      <c r="A9" s="2" t="s">
        <v>160</v>
      </c>
      <c r="B9" s="63" t="s">
        <v>20</v>
      </c>
      <c r="C9" s="63"/>
      <c r="D9" s="63"/>
      <c r="E9" s="1">
        <v>6731</v>
      </c>
      <c r="F9" s="16">
        <v>1</v>
      </c>
      <c r="G9" s="25" t="s">
        <v>63</v>
      </c>
      <c r="H9" s="28" t="str">
        <f>HYPERLINK("#G9",CHAR(128))</f>
        <v>€</v>
      </c>
      <c r="I9" s="11"/>
      <c r="K9" s="1" t="s">
        <v>17</v>
      </c>
      <c r="L9" s="1">
        <v>13</v>
      </c>
    </row>
    <row r="10" spans="1:12" x14ac:dyDescent="0.3">
      <c r="A10" s="3" t="s">
        <v>161</v>
      </c>
      <c r="B10" s="62" t="s">
        <v>24</v>
      </c>
      <c r="C10" s="62"/>
      <c r="D10" s="62"/>
      <c r="E10" s="8">
        <v>7</v>
      </c>
      <c r="F10" s="4">
        <v>1</v>
      </c>
      <c r="G10" s="25" t="s">
        <v>63</v>
      </c>
      <c r="H10" s="28" t="str">
        <f>HYPERLINK("#G10",CHAR(128))</f>
        <v>€</v>
      </c>
      <c r="K10" s="15" t="s">
        <v>47</v>
      </c>
      <c r="L10" s="15"/>
    </row>
    <row r="11" spans="1:12" x14ac:dyDescent="0.3">
      <c r="A11" s="2"/>
      <c r="B11" s="63" t="s">
        <v>23</v>
      </c>
      <c r="C11" s="63"/>
      <c r="D11" s="63"/>
      <c r="E11" s="1" t="s">
        <v>137</v>
      </c>
      <c r="F11" s="16">
        <v>1</v>
      </c>
      <c r="G11" s="25" t="s">
        <v>86</v>
      </c>
      <c r="H11" s="28" t="str">
        <f>HYPERLINK("#G11",CHAR(128))</f>
        <v>€</v>
      </c>
    </row>
    <row r="12" spans="1:12" x14ac:dyDescent="0.3">
      <c r="A12" s="5"/>
      <c r="B12" s="62" t="s">
        <v>25</v>
      </c>
      <c r="C12" s="62"/>
      <c r="D12" s="62"/>
      <c r="E12" s="4" t="s">
        <v>137</v>
      </c>
      <c r="F12" s="4">
        <v>1</v>
      </c>
      <c r="G12" s="25" t="s">
        <v>86</v>
      </c>
      <c r="H12" s="28" t="str">
        <f>HYPERLINK("#G12",CHAR(128))</f>
        <v>€</v>
      </c>
    </row>
    <row r="13" spans="1:12" x14ac:dyDescent="0.3">
      <c r="A13" s="2"/>
      <c r="B13" s="63" t="s">
        <v>26</v>
      </c>
      <c r="C13" s="63"/>
      <c r="D13" s="63"/>
      <c r="E13" s="1" t="s">
        <v>138</v>
      </c>
      <c r="F13" s="16">
        <v>1</v>
      </c>
      <c r="G13" s="25" t="s">
        <v>45</v>
      </c>
      <c r="H13" s="28" t="str">
        <f>HYPERLINK("#G13",CHAR(128))</f>
        <v>€</v>
      </c>
    </row>
    <row r="14" spans="1:12" x14ac:dyDescent="0.3">
      <c r="A14" s="5"/>
      <c r="B14" s="62" t="s">
        <v>27</v>
      </c>
      <c r="C14" s="62"/>
      <c r="D14" s="62"/>
      <c r="E14" s="4" t="s">
        <v>139</v>
      </c>
      <c r="F14" s="4">
        <v>1</v>
      </c>
      <c r="G14" s="25" t="s">
        <v>45</v>
      </c>
      <c r="H14" s="28" t="str">
        <f>HYPERLINK("#G14",CHAR(128))</f>
        <v>€</v>
      </c>
    </row>
    <row r="15" spans="1:12" x14ac:dyDescent="0.3">
      <c r="A15" s="2"/>
      <c r="B15" s="68"/>
      <c r="C15" s="68"/>
      <c r="D15" s="68"/>
      <c r="E15" s="1"/>
      <c r="F15" s="16"/>
      <c r="G15" s="16"/>
      <c r="H15" s="14"/>
    </row>
    <row r="16" spans="1:12" x14ac:dyDescent="0.3">
      <c r="A16" s="5" t="s">
        <v>162</v>
      </c>
      <c r="B16" s="62" t="s">
        <v>28</v>
      </c>
      <c r="C16" s="62"/>
      <c r="D16" s="62"/>
      <c r="E16" s="4"/>
      <c r="F16" s="4">
        <v>1</v>
      </c>
      <c r="G16" s="25" t="s">
        <v>45</v>
      </c>
      <c r="H16" s="23" t="str">
        <f>HYPERLINK("#G16",CHAR(128))</f>
        <v>€</v>
      </c>
    </row>
    <row r="17" spans="1:10" x14ac:dyDescent="0.3">
      <c r="A17" s="2" t="s">
        <v>163</v>
      </c>
      <c r="B17" s="63" t="s">
        <v>22</v>
      </c>
      <c r="C17" s="63"/>
      <c r="D17" s="63"/>
      <c r="E17" s="1" t="s">
        <v>136</v>
      </c>
      <c r="F17" s="16">
        <v>1</v>
      </c>
      <c r="G17" s="25" t="s">
        <v>86</v>
      </c>
      <c r="H17" s="23" t="str">
        <f>HYPERLINK("#G17",CHAR(128))</f>
        <v>€</v>
      </c>
    </row>
    <row r="18" spans="1:10" x14ac:dyDescent="0.3">
      <c r="A18" s="5" t="s">
        <v>164</v>
      </c>
      <c r="B18" s="62" t="s">
        <v>29</v>
      </c>
      <c r="C18" s="62"/>
      <c r="D18" s="62"/>
      <c r="E18" s="4">
        <v>7040</v>
      </c>
      <c r="F18" s="4">
        <v>1</v>
      </c>
      <c r="G18" s="25" t="s">
        <v>63</v>
      </c>
      <c r="H18" s="23" t="str">
        <f>HYPERLINK("#G18",CHAR(128))</f>
        <v>€</v>
      </c>
    </row>
    <row r="19" spans="1:10" x14ac:dyDescent="0.3">
      <c r="A19" s="2"/>
      <c r="B19" s="63" t="s">
        <v>30</v>
      </c>
      <c r="C19" s="63"/>
      <c r="D19" s="63"/>
      <c r="E19" s="1" t="s">
        <v>140</v>
      </c>
      <c r="F19" s="16">
        <v>1</v>
      </c>
      <c r="G19" s="25" t="s">
        <v>86</v>
      </c>
      <c r="H19" s="23" t="str">
        <f>HYPERLINK("#G19",CHAR(128))</f>
        <v>€</v>
      </c>
    </row>
    <row r="20" spans="1:10" x14ac:dyDescent="0.3">
      <c r="A20" s="5"/>
      <c r="B20" s="65"/>
      <c r="C20" s="66"/>
      <c r="D20" s="67"/>
      <c r="E20" s="4"/>
      <c r="F20" s="4"/>
      <c r="G20" s="4"/>
      <c r="H20" s="14"/>
    </row>
    <row r="21" spans="1:10" x14ac:dyDescent="0.3">
      <c r="A21" s="2" t="s">
        <v>165</v>
      </c>
      <c r="B21" s="63" t="s">
        <v>33</v>
      </c>
      <c r="C21" s="63"/>
      <c r="D21" s="63"/>
      <c r="E21" s="9">
        <v>7</v>
      </c>
      <c r="F21" s="16">
        <v>1</v>
      </c>
      <c r="G21" s="25" t="s">
        <v>86</v>
      </c>
      <c r="H21" s="23" t="str">
        <f>HYPERLINK("#G21",CHAR(128))</f>
        <v>€</v>
      </c>
    </row>
    <row r="22" spans="1:10" x14ac:dyDescent="0.3">
      <c r="A22" s="5" t="s">
        <v>166</v>
      </c>
      <c r="B22" s="62" t="s">
        <v>31</v>
      </c>
      <c r="C22" s="62"/>
      <c r="D22" s="62"/>
      <c r="E22" s="4">
        <v>6736</v>
      </c>
      <c r="F22" s="4">
        <v>1</v>
      </c>
      <c r="G22" s="25" t="s">
        <v>86</v>
      </c>
      <c r="H22" s="23" t="str">
        <f>HYPERLINK("#G22",CHAR(128))</f>
        <v>€</v>
      </c>
    </row>
    <row r="23" spans="1:10" x14ac:dyDescent="0.3">
      <c r="A23" s="2" t="s">
        <v>167</v>
      </c>
      <c r="B23" s="63" t="s">
        <v>48</v>
      </c>
      <c r="C23" s="63"/>
      <c r="D23" s="63"/>
      <c r="E23" s="1">
        <v>6734</v>
      </c>
      <c r="F23" s="16">
        <v>1</v>
      </c>
      <c r="G23" s="25" t="s">
        <v>86</v>
      </c>
      <c r="H23" s="22" t="str">
        <f>HYPERLINK("#G23",CHAR(128))</f>
        <v>€</v>
      </c>
    </row>
    <row r="24" spans="1:10" x14ac:dyDescent="0.3">
      <c r="A24" s="5"/>
      <c r="B24" s="62" t="s">
        <v>32</v>
      </c>
      <c r="C24" s="62"/>
      <c r="D24" s="62"/>
      <c r="E24" s="4"/>
      <c r="F24" s="4">
        <v>1</v>
      </c>
      <c r="G24" s="25" t="s">
        <v>45</v>
      </c>
      <c r="H24" s="22" t="str">
        <f>HYPERLINK("#G24",CHAR(128))</f>
        <v>€</v>
      </c>
    </row>
    <row r="25" spans="1:10" x14ac:dyDescent="0.3">
      <c r="A25" s="2"/>
      <c r="B25" s="63"/>
      <c r="C25" s="63"/>
      <c r="D25" s="63"/>
      <c r="E25" s="1"/>
      <c r="F25" s="16"/>
      <c r="G25" s="16"/>
      <c r="H25" s="14"/>
      <c r="I25" s="12"/>
    </row>
    <row r="26" spans="1:10" x14ac:dyDescent="0.3">
      <c r="A26" s="5"/>
      <c r="B26" s="62" t="s">
        <v>37</v>
      </c>
      <c r="C26" s="62"/>
      <c r="D26" s="62"/>
      <c r="E26" s="4" t="str">
        <f>C2</f>
        <v>Rob</v>
      </c>
      <c r="F26" s="4">
        <v>1</v>
      </c>
      <c r="G26" s="25" t="s">
        <v>45</v>
      </c>
      <c r="H26" s="24" t="str">
        <f>HYPERLINK("#G26",CHAR(128))</f>
        <v>€</v>
      </c>
    </row>
    <row r="28" spans="1:10" x14ac:dyDescent="0.3">
      <c r="J28" s="18"/>
    </row>
    <row r="29" spans="1:10" x14ac:dyDescent="0.3">
      <c r="A29" s="20"/>
      <c r="B29" s="64" t="s">
        <v>50</v>
      </c>
      <c r="C29" s="64"/>
      <c r="D29" s="64"/>
      <c r="E29" s="20" t="s">
        <v>8</v>
      </c>
      <c r="F29" s="20" t="s">
        <v>35</v>
      </c>
      <c r="G29" s="21" t="s">
        <v>36</v>
      </c>
    </row>
    <row r="30" spans="1:10" x14ac:dyDescent="0.3">
      <c r="A30" s="3"/>
      <c r="B30" s="62"/>
      <c r="C30" s="62"/>
      <c r="D30" s="62"/>
      <c r="E30" s="4"/>
      <c r="F30" s="10">
        <v>1</v>
      </c>
      <c r="G30" s="17"/>
      <c r="H30" s="19" t="str">
        <f>HYPERLINK("#G30",CHAR(128))</f>
        <v>€</v>
      </c>
    </row>
    <row r="31" spans="1:10" x14ac:dyDescent="0.3">
      <c r="A31" s="2"/>
      <c r="B31" s="63"/>
      <c r="C31" s="63"/>
      <c r="D31" s="63"/>
      <c r="E31" s="1"/>
      <c r="F31" s="16">
        <v>1</v>
      </c>
      <c r="G31" s="26"/>
      <c r="H31" s="19" t="str">
        <f>HYPERLINK("#G31",CHAR(128))</f>
        <v>€</v>
      </c>
    </row>
    <row r="32" spans="1:10" x14ac:dyDescent="0.3">
      <c r="A32" s="3"/>
      <c r="B32" s="62"/>
      <c r="C32" s="62"/>
      <c r="D32" s="62"/>
      <c r="E32" s="4"/>
      <c r="F32" s="4">
        <v>1</v>
      </c>
      <c r="G32" s="27"/>
      <c r="H32" s="19" t="str">
        <f>HYPERLINK("#G32",CHAR(128))</f>
        <v>€</v>
      </c>
    </row>
    <row r="33" spans="1:8" x14ac:dyDescent="0.3">
      <c r="A33" s="2"/>
      <c r="B33" s="63"/>
      <c r="C33" s="63"/>
      <c r="D33" s="63"/>
      <c r="E33" s="1"/>
      <c r="F33" s="16">
        <v>1</v>
      </c>
      <c r="G33" s="26"/>
      <c r="H33" s="19" t="str">
        <f>HYPERLINK("#G33",CHAR(128))</f>
        <v>€</v>
      </c>
    </row>
    <row r="34" spans="1:8" x14ac:dyDescent="0.3">
      <c r="A34" s="3"/>
      <c r="B34" s="62"/>
      <c r="C34" s="62"/>
      <c r="D34" s="62"/>
      <c r="E34" s="4"/>
      <c r="F34" s="4">
        <v>1</v>
      </c>
      <c r="G34" s="27"/>
      <c r="H34" s="19" t="str">
        <f>HYPERLINK("#G34",CHAR(128))</f>
        <v>€</v>
      </c>
    </row>
    <row r="37" spans="1:8" x14ac:dyDescent="0.3">
      <c r="A37" s="40" t="s">
        <v>40</v>
      </c>
      <c r="B37" s="40" t="s">
        <v>7</v>
      </c>
      <c r="C37" s="40" t="s">
        <v>65</v>
      </c>
      <c r="D37" s="40" t="s">
        <v>66</v>
      </c>
    </row>
    <row r="38" spans="1:8" x14ac:dyDescent="0.3">
      <c r="A38" s="40"/>
      <c r="B38" s="40"/>
      <c r="C38" s="40"/>
      <c r="D38" s="40"/>
    </row>
  </sheetData>
  <mergeCells count="37">
    <mergeCell ref="B29:D29"/>
    <mergeCell ref="B30:D30"/>
    <mergeCell ref="B31:D31"/>
    <mergeCell ref="B32:D32"/>
    <mergeCell ref="B33:D33"/>
    <mergeCell ref="B34:D34"/>
    <mergeCell ref="B21:D21"/>
    <mergeCell ref="B22:D22"/>
    <mergeCell ref="B23:D23"/>
    <mergeCell ref="B24:D24"/>
    <mergeCell ref="B25:D25"/>
    <mergeCell ref="B26:D26"/>
    <mergeCell ref="B15:D15"/>
    <mergeCell ref="B16:D16"/>
    <mergeCell ref="B17:D17"/>
    <mergeCell ref="B18:D18"/>
    <mergeCell ref="B19:D19"/>
    <mergeCell ref="B20:D20"/>
    <mergeCell ref="B9:D9"/>
    <mergeCell ref="B10:D10"/>
    <mergeCell ref="B11:D11"/>
    <mergeCell ref="B12:D12"/>
    <mergeCell ref="B13:D13"/>
    <mergeCell ref="B14:D14"/>
    <mergeCell ref="B4:D4"/>
    <mergeCell ref="E4:F4"/>
    <mergeCell ref="B5:D5"/>
    <mergeCell ref="B6:D6"/>
    <mergeCell ref="B7:D7"/>
    <mergeCell ref="B8:D8"/>
    <mergeCell ref="A1:A2"/>
    <mergeCell ref="C1:D1"/>
    <mergeCell ref="E1:F1"/>
    <mergeCell ref="C2:D2"/>
    <mergeCell ref="E2:F2"/>
    <mergeCell ref="B3:D3"/>
    <mergeCell ref="E3:F3"/>
  </mergeCells>
  <conditionalFormatting sqref="G6:G14 G21:G26 G16:G19">
    <cfRule type="cellIs" dxfId="67" priority="2" operator="equal">
      <formula>"Returned"</formula>
    </cfRule>
    <cfRule type="cellIs" dxfId="66" priority="5" operator="equal">
      <formula>"Ready To Order"</formula>
    </cfRule>
    <cfRule type="cellIs" dxfId="65" priority="6" operator="equal">
      <formula>"UNP"</formula>
    </cfRule>
    <cfRule type="containsText" dxfId="64" priority="7" operator="containsText" text="Ordered">
      <formula>NOT(ISERROR(SEARCH("Ordered",G6)))</formula>
    </cfRule>
    <cfRule type="containsText" dxfId="63" priority="8" operator="containsText" text="Pick Up">
      <formula>NOT(ISERROR(SEARCH("Pick Up",G6)))</formula>
    </cfRule>
    <cfRule type="containsText" dxfId="62" priority="9" operator="containsText" text="Complete">
      <formula>NOT(ISERROR(SEARCH("Complete",G6)))</formula>
    </cfRule>
  </conditionalFormatting>
  <conditionalFormatting sqref="G30:G33">
    <cfRule type="containsText" dxfId="61" priority="4" operator="containsText" text="Given">
      <formula>NOT(ISERROR(SEARCH("Given",G30)))</formula>
    </cfRule>
  </conditionalFormatting>
  <conditionalFormatting sqref="G30:G34">
    <cfRule type="containsText" dxfId="60" priority="3" operator="containsText" text="Returned">
      <formula>NOT(ISERROR(SEARCH("Returned",G30)))</formula>
    </cfRule>
  </conditionalFormatting>
  <conditionalFormatting sqref="G6:G14 G21:G26 G16:G19">
    <cfRule type="cellIs" dxfId="59" priority="1" operator="equal">
      <formula>"In Stock"</formula>
    </cfRule>
  </conditionalFormatting>
  <dataValidations count="3">
    <dataValidation type="list" allowBlank="1" showInputMessage="1" showErrorMessage="1" sqref="G30:G34" xr:uid="{C35F0D43-82F8-48FB-93BB-77ABC098F5F4}">
      <formula1>"--,Returned, Given"</formula1>
    </dataValidation>
    <dataValidation type="list" allowBlank="1" showInputMessage="1" showErrorMessage="1" sqref="G16:G19 G21:G24 G26 G6:G14" xr:uid="{3674C418-6BBA-4AE4-BBD1-17F47A782A5F}">
      <formula1>"UNP, Ready To Order, Ordered, In Stock, Pick Up, Complete, Returned"</formula1>
    </dataValidation>
    <dataValidation type="decimal" allowBlank="1" showInputMessage="1" showErrorMessage="1" sqref="L2" xr:uid="{569B61B1-E0F9-4A18-9C1D-4F8A2848BFB1}">
      <formula1>19</formula1>
      <formula2>26</formula2>
    </dataValidation>
  </dataValidations>
  <hyperlinks>
    <hyperlink ref="A1:A2" location="Menu!A1" display="Back to Menu" xr:uid="{1B3BC908-1ADD-4AFC-8B26-3D29299F4797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5217" r:id="rId3" name="Button 1">
              <controlPr defaultSize="0" print="0" autoFill="0" autoPict="0" macro="[0]!ExchangeButton">
                <anchor moveWithCells="1" sizeWithCells="1">
                  <from>
                    <xdr:col>10</xdr:col>
                    <xdr:colOff>15240</xdr:colOff>
                    <xdr:row>10</xdr:row>
                    <xdr:rowOff>190500</xdr:rowOff>
                  </from>
                  <to>
                    <xdr:col>12</xdr:col>
                    <xdr:colOff>15240</xdr:colOff>
                    <xdr:row>12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5218" r:id="rId4" name="Button 2">
              <controlPr defaultSize="0" print="0" autoFill="0" autoPict="0" macro="[0]!InventoryInteract">
                <anchor moveWithCells="1" sizeWithCells="1">
                  <from>
                    <xdr:col>9</xdr:col>
                    <xdr:colOff>640080</xdr:colOff>
                    <xdr:row>18</xdr:row>
                    <xdr:rowOff>213360</xdr:rowOff>
                  </from>
                  <to>
                    <xdr:col>12</xdr:col>
                    <xdr:colOff>30480</xdr:colOff>
                    <xdr:row>21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5219" r:id="rId5" name="Button 3">
              <controlPr defaultSize="0" print="0" autoFill="0" autoPict="0" macro="[0]!_xludf.Terminate">
                <anchor moveWithCells="1" sizeWithCells="1">
                  <from>
                    <xdr:col>9</xdr:col>
                    <xdr:colOff>601980</xdr:colOff>
                    <xdr:row>32</xdr:row>
                    <xdr:rowOff>167640</xdr:rowOff>
                  </from>
                  <to>
                    <xdr:col>12</xdr:col>
                    <xdr:colOff>0</xdr:colOff>
                    <xdr:row>33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5220" r:id="rId6" name="Button 4">
              <controlPr defaultSize="0" print="0" autoFill="0" autoPict="0" macro="[0]!MarkAsSOS">
                <anchor moveWithCells="1" sizeWithCells="1">
                  <from>
                    <xdr:col>9</xdr:col>
                    <xdr:colOff>601980</xdr:colOff>
                    <xdr:row>30</xdr:row>
                    <xdr:rowOff>175260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5221" r:id="rId7" name="Button 5">
              <controlPr defaultSize="0" print="0" autoFill="0" autoPict="0" macro="[0]!UpdateInStockStatus">
                <anchor moveWithCells="1" sizeWithCells="1">
                  <from>
                    <xdr:col>10</xdr:col>
                    <xdr:colOff>0</xdr:colOff>
                    <xdr:row>23</xdr:row>
                    <xdr:rowOff>175260</xdr:rowOff>
                  </from>
                  <to>
                    <xdr:col>12</xdr:col>
                    <xdr:colOff>7620</xdr:colOff>
                    <xdr:row>26</xdr:row>
                    <xdr:rowOff>106680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EEA593-0272-4177-A450-5A4D4627D50F}">
  <sheetPr codeName="Sheet8"/>
  <dimension ref="A1:L38"/>
  <sheetViews>
    <sheetView workbookViewId="0">
      <selection activeCell="Q37" sqref="Q37"/>
    </sheetView>
  </sheetViews>
  <sheetFormatPr defaultRowHeight="14.4" x14ac:dyDescent="0.3"/>
  <cols>
    <col min="1" max="1" width="18.6640625" customWidth="1"/>
    <col min="3" max="3" width="9.88671875" customWidth="1"/>
    <col min="4" max="4" width="10.88671875" customWidth="1"/>
    <col min="5" max="5" width="15.7773437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69" t="s">
        <v>42</v>
      </c>
      <c r="B1" s="20" t="s">
        <v>3</v>
      </c>
      <c r="C1" s="64" t="s">
        <v>0</v>
      </c>
      <c r="D1" s="64"/>
      <c r="E1" s="64" t="s">
        <v>2</v>
      </c>
      <c r="F1" s="64"/>
      <c r="G1" s="20" t="s">
        <v>34</v>
      </c>
      <c r="K1" s="20" t="s">
        <v>38</v>
      </c>
      <c r="L1" s="20" t="s">
        <v>10</v>
      </c>
    </row>
    <row r="2" spans="1:12" x14ac:dyDescent="0.3">
      <c r="A2" s="70"/>
      <c r="B2" s="2" t="s">
        <v>155</v>
      </c>
      <c r="C2" s="63" t="s">
        <v>149</v>
      </c>
      <c r="D2" s="63"/>
      <c r="E2" s="63" t="s">
        <v>150</v>
      </c>
      <c r="F2" s="63"/>
      <c r="G2" s="1" t="s">
        <v>168</v>
      </c>
      <c r="K2" s="4" t="s">
        <v>9</v>
      </c>
      <c r="L2" s="4">
        <v>23.5</v>
      </c>
    </row>
    <row r="3" spans="1:12" x14ac:dyDescent="0.3">
      <c r="A3" s="20" t="s">
        <v>1</v>
      </c>
      <c r="B3" s="71" t="s">
        <v>4</v>
      </c>
      <c r="C3" s="72"/>
      <c r="D3" s="73"/>
      <c r="E3" s="71" t="s">
        <v>49</v>
      </c>
      <c r="F3" s="73"/>
      <c r="G3" s="20" t="s">
        <v>5</v>
      </c>
      <c r="K3" s="1" t="s">
        <v>11</v>
      </c>
      <c r="L3" s="1">
        <v>17</v>
      </c>
    </row>
    <row r="4" spans="1:12" x14ac:dyDescent="0.3">
      <c r="A4" s="1" t="s">
        <v>39</v>
      </c>
      <c r="B4" s="74">
        <v>9999999999</v>
      </c>
      <c r="C4" s="74"/>
      <c r="D4" s="74"/>
      <c r="E4" s="63"/>
      <c r="F4" s="63"/>
      <c r="G4" s="1" t="s">
        <v>78</v>
      </c>
      <c r="K4" s="4" t="s">
        <v>12</v>
      </c>
      <c r="L4" s="4">
        <v>45</v>
      </c>
    </row>
    <row r="5" spans="1:12" x14ac:dyDescent="0.3">
      <c r="A5" s="20" t="s">
        <v>6</v>
      </c>
      <c r="B5" s="64" t="s">
        <v>7</v>
      </c>
      <c r="C5" s="64"/>
      <c r="D5" s="64"/>
      <c r="E5" s="20" t="s">
        <v>8</v>
      </c>
      <c r="F5" s="20" t="s">
        <v>35</v>
      </c>
      <c r="G5" s="20" t="s">
        <v>36</v>
      </c>
      <c r="K5" s="1" t="s">
        <v>13</v>
      </c>
      <c r="L5" s="1">
        <v>43</v>
      </c>
    </row>
    <row r="6" spans="1:12" x14ac:dyDescent="0.3">
      <c r="A6" s="3" t="s">
        <v>169</v>
      </c>
      <c r="B6" s="62" t="s">
        <v>18</v>
      </c>
      <c r="C6" s="62"/>
      <c r="D6" s="62"/>
      <c r="E6" s="4">
        <v>8046</v>
      </c>
      <c r="F6" s="4">
        <v>1</v>
      </c>
      <c r="G6" s="25" t="s">
        <v>86</v>
      </c>
      <c r="H6" s="28" t="str">
        <f>HYPERLINK("#G6",CHAR(128))</f>
        <v>€</v>
      </c>
      <c r="K6" s="4" t="s">
        <v>14</v>
      </c>
      <c r="L6" s="4">
        <v>43</v>
      </c>
    </row>
    <row r="7" spans="1:12" x14ac:dyDescent="0.3">
      <c r="A7" s="2"/>
      <c r="B7" s="63" t="s">
        <v>21</v>
      </c>
      <c r="C7" s="63"/>
      <c r="D7" s="63"/>
      <c r="E7" s="1">
        <v>17.5</v>
      </c>
      <c r="F7" s="16">
        <v>1</v>
      </c>
      <c r="G7" s="25" t="s">
        <v>63</v>
      </c>
      <c r="H7" s="28" t="str">
        <f>HYPERLINK("#G7",CHAR(128))</f>
        <v>€</v>
      </c>
      <c r="K7" s="1" t="s">
        <v>15</v>
      </c>
      <c r="L7" s="1">
        <v>75</v>
      </c>
    </row>
    <row r="8" spans="1:12" x14ac:dyDescent="0.3">
      <c r="A8" s="3" t="s">
        <v>170</v>
      </c>
      <c r="B8" s="62" t="s">
        <v>19</v>
      </c>
      <c r="C8" s="62"/>
      <c r="D8" s="62"/>
      <c r="E8" s="4" t="s">
        <v>141</v>
      </c>
      <c r="F8" s="4">
        <v>1</v>
      </c>
      <c r="G8" s="25" t="s">
        <v>63</v>
      </c>
      <c r="H8" s="28" t="str">
        <f>HYPERLINK("#G8",CHAR(128))</f>
        <v>€</v>
      </c>
      <c r="K8" s="4" t="s">
        <v>16</v>
      </c>
      <c r="L8" s="4">
        <v>304.8</v>
      </c>
    </row>
    <row r="9" spans="1:12" x14ac:dyDescent="0.3">
      <c r="A9" s="2" t="s">
        <v>171</v>
      </c>
      <c r="B9" s="63" t="s">
        <v>20</v>
      </c>
      <c r="C9" s="63"/>
      <c r="D9" s="63"/>
      <c r="E9" s="1">
        <v>7644</v>
      </c>
      <c r="F9" s="16">
        <v>1</v>
      </c>
      <c r="G9" s="25" t="s">
        <v>63</v>
      </c>
      <c r="H9" s="28" t="str">
        <f>HYPERLINK("#G9",CHAR(128))</f>
        <v>€</v>
      </c>
      <c r="I9" s="11"/>
      <c r="K9" s="1" t="s">
        <v>17</v>
      </c>
      <c r="L9" s="1">
        <v>101.6</v>
      </c>
    </row>
    <row r="10" spans="1:12" x14ac:dyDescent="0.3">
      <c r="A10" s="3"/>
      <c r="B10" s="62" t="s">
        <v>24</v>
      </c>
      <c r="C10" s="62"/>
      <c r="D10" s="62"/>
      <c r="E10" s="8">
        <v>7.5</v>
      </c>
      <c r="F10" s="4">
        <v>1</v>
      </c>
      <c r="G10" s="25" t="s">
        <v>63</v>
      </c>
      <c r="H10" s="28" t="str">
        <f>HYPERLINK("#G10",CHAR(128))</f>
        <v>€</v>
      </c>
      <c r="K10" s="15" t="s">
        <v>47</v>
      </c>
      <c r="L10" s="15"/>
    </row>
    <row r="11" spans="1:12" x14ac:dyDescent="0.3">
      <c r="A11" s="2"/>
      <c r="B11" s="63" t="s">
        <v>23</v>
      </c>
      <c r="C11" s="63"/>
      <c r="D11" s="63"/>
      <c r="E11" s="1" t="s">
        <v>142</v>
      </c>
      <c r="F11" s="16">
        <v>1</v>
      </c>
      <c r="G11" s="25" t="s">
        <v>63</v>
      </c>
      <c r="H11" s="28" t="str">
        <f>HYPERLINK("#G11",CHAR(128))</f>
        <v>€</v>
      </c>
    </row>
    <row r="12" spans="1:12" x14ac:dyDescent="0.3">
      <c r="A12" s="5"/>
      <c r="B12" s="62" t="s">
        <v>25</v>
      </c>
      <c r="C12" s="62"/>
      <c r="D12" s="62"/>
      <c r="E12" s="4" t="s">
        <v>142</v>
      </c>
      <c r="F12" s="4">
        <v>1</v>
      </c>
      <c r="G12" s="25" t="s">
        <v>63</v>
      </c>
      <c r="H12" s="28" t="str">
        <f>HYPERLINK("#G12",CHAR(128))</f>
        <v>€</v>
      </c>
    </row>
    <row r="13" spans="1:12" x14ac:dyDescent="0.3">
      <c r="A13" s="2"/>
      <c r="B13" s="63" t="s">
        <v>26</v>
      </c>
      <c r="C13" s="63"/>
      <c r="D13" s="63"/>
      <c r="E13" s="1" t="s">
        <v>76</v>
      </c>
      <c r="F13" s="16">
        <v>1</v>
      </c>
      <c r="G13" s="25" t="s">
        <v>86</v>
      </c>
      <c r="H13" s="28" t="str">
        <f>HYPERLINK("#G13",CHAR(128))</f>
        <v>€</v>
      </c>
    </row>
    <row r="14" spans="1:12" x14ac:dyDescent="0.3">
      <c r="A14" s="5"/>
      <c r="B14" s="62" t="s">
        <v>27</v>
      </c>
      <c r="C14" s="62"/>
      <c r="D14" s="62"/>
      <c r="E14" s="4" t="s">
        <v>139</v>
      </c>
      <c r="F14" s="4">
        <v>1</v>
      </c>
      <c r="G14" s="25" t="s">
        <v>45</v>
      </c>
      <c r="H14" s="28" t="str">
        <f>HYPERLINK("#G14",CHAR(128))</f>
        <v>€</v>
      </c>
    </row>
    <row r="15" spans="1:12" x14ac:dyDescent="0.3">
      <c r="A15" s="2"/>
      <c r="B15" s="68"/>
      <c r="C15" s="68"/>
      <c r="D15" s="68"/>
      <c r="E15" s="1"/>
      <c r="F15" s="16"/>
      <c r="G15" s="16"/>
      <c r="H15" s="14"/>
    </row>
    <row r="16" spans="1:12" x14ac:dyDescent="0.3">
      <c r="A16" s="5" t="s">
        <v>162</v>
      </c>
      <c r="B16" s="62" t="s">
        <v>28</v>
      </c>
      <c r="C16" s="62"/>
      <c r="D16" s="62"/>
      <c r="E16" s="4"/>
      <c r="F16" s="4">
        <v>1</v>
      </c>
      <c r="G16" s="25" t="s">
        <v>45</v>
      </c>
      <c r="H16" s="23" t="str">
        <f>HYPERLINK("#G16",CHAR(128))</f>
        <v>€</v>
      </c>
    </row>
    <row r="17" spans="1:10" x14ac:dyDescent="0.3">
      <c r="A17" s="2" t="s">
        <v>172</v>
      </c>
      <c r="B17" s="63" t="s">
        <v>22</v>
      </c>
      <c r="C17" s="63"/>
      <c r="D17" s="63"/>
      <c r="E17" s="1" t="s">
        <v>141</v>
      </c>
      <c r="F17" s="16">
        <v>1</v>
      </c>
      <c r="G17" s="25" t="s">
        <v>63</v>
      </c>
      <c r="H17" s="23" t="str">
        <f>HYPERLINK("#G17",CHAR(128))</f>
        <v>€</v>
      </c>
    </row>
    <row r="18" spans="1:10" x14ac:dyDescent="0.3">
      <c r="A18" s="5" t="s">
        <v>173</v>
      </c>
      <c r="B18" s="62" t="s">
        <v>29</v>
      </c>
      <c r="C18" s="62"/>
      <c r="D18" s="62"/>
      <c r="E18" s="4">
        <v>7648</v>
      </c>
      <c r="F18" s="4">
        <v>1</v>
      </c>
      <c r="G18" s="25" t="s">
        <v>63</v>
      </c>
      <c r="H18" s="23" t="str">
        <f>HYPERLINK("#G18",CHAR(128))</f>
        <v>€</v>
      </c>
    </row>
    <row r="19" spans="1:10" x14ac:dyDescent="0.3">
      <c r="A19" s="2"/>
      <c r="B19" s="63" t="s">
        <v>30</v>
      </c>
      <c r="C19" s="63"/>
      <c r="D19" s="63"/>
      <c r="E19" s="1" t="s">
        <v>143</v>
      </c>
      <c r="F19" s="16">
        <v>1</v>
      </c>
      <c r="G19" s="25" t="s">
        <v>86</v>
      </c>
      <c r="H19" s="23" t="str">
        <f>HYPERLINK("#G19",CHAR(128))</f>
        <v>€</v>
      </c>
    </row>
    <row r="20" spans="1:10" x14ac:dyDescent="0.3">
      <c r="A20" s="5"/>
      <c r="B20" s="65"/>
      <c r="C20" s="66"/>
      <c r="D20" s="67"/>
      <c r="E20" s="4"/>
      <c r="F20" s="4"/>
      <c r="G20" s="4"/>
      <c r="H20" s="14"/>
    </row>
    <row r="21" spans="1:10" x14ac:dyDescent="0.3">
      <c r="A21" s="2"/>
      <c r="B21" s="63" t="s">
        <v>33</v>
      </c>
      <c r="C21" s="63"/>
      <c r="D21" s="63"/>
      <c r="E21" s="9">
        <v>7.5</v>
      </c>
      <c r="F21" s="16">
        <v>1</v>
      </c>
      <c r="G21" s="25" t="s">
        <v>63</v>
      </c>
      <c r="H21" s="23" t="str">
        <f>HYPERLINK("#G21",CHAR(128))</f>
        <v>€</v>
      </c>
    </row>
    <row r="22" spans="1:10" x14ac:dyDescent="0.3">
      <c r="A22" s="5" t="s">
        <v>174</v>
      </c>
      <c r="B22" s="62" t="s">
        <v>31</v>
      </c>
      <c r="C22" s="62"/>
      <c r="D22" s="62"/>
      <c r="E22" s="4">
        <v>7648</v>
      </c>
      <c r="F22" s="4">
        <v>1</v>
      </c>
      <c r="G22" s="25" t="s">
        <v>63</v>
      </c>
      <c r="H22" s="23" t="str">
        <f>HYPERLINK("#G22",CHAR(128))</f>
        <v>€</v>
      </c>
    </row>
    <row r="23" spans="1:10" x14ac:dyDescent="0.3">
      <c r="A23" s="2" t="s">
        <v>175</v>
      </c>
      <c r="B23" s="63" t="s">
        <v>48</v>
      </c>
      <c r="C23" s="63"/>
      <c r="D23" s="63"/>
      <c r="E23" s="1">
        <v>7646</v>
      </c>
      <c r="F23" s="16">
        <v>1</v>
      </c>
      <c r="G23" s="25" t="s">
        <v>63</v>
      </c>
      <c r="H23" s="22" t="str">
        <f>HYPERLINK("#G23",CHAR(128))</f>
        <v>€</v>
      </c>
    </row>
    <row r="24" spans="1:10" x14ac:dyDescent="0.3">
      <c r="A24" s="5"/>
      <c r="B24" s="62" t="s">
        <v>32</v>
      </c>
      <c r="C24" s="62"/>
      <c r="D24" s="62"/>
      <c r="E24" s="4"/>
      <c r="F24" s="4">
        <v>1</v>
      </c>
      <c r="G24" s="25" t="s">
        <v>45</v>
      </c>
      <c r="H24" s="22" t="str">
        <f>HYPERLINK("#G24",CHAR(128))</f>
        <v>€</v>
      </c>
    </row>
    <row r="25" spans="1:10" x14ac:dyDescent="0.3">
      <c r="A25" s="2"/>
      <c r="B25" s="63"/>
      <c r="C25" s="63"/>
      <c r="D25" s="63"/>
      <c r="E25" s="1"/>
      <c r="F25" s="16"/>
      <c r="G25" s="16"/>
      <c r="H25" s="14"/>
      <c r="I25" s="12"/>
    </row>
    <row r="26" spans="1:10" x14ac:dyDescent="0.3">
      <c r="A26" s="5"/>
      <c r="B26" s="62" t="s">
        <v>37</v>
      </c>
      <c r="C26" s="62"/>
      <c r="D26" s="62"/>
      <c r="E26" s="4" t="str">
        <f>C2</f>
        <v>Mike</v>
      </c>
      <c r="F26" s="4">
        <v>1</v>
      </c>
      <c r="G26" s="25" t="s">
        <v>45</v>
      </c>
      <c r="H26" s="24" t="str">
        <f>HYPERLINK("#G26",CHAR(128))</f>
        <v>€</v>
      </c>
    </row>
    <row r="28" spans="1:10" x14ac:dyDescent="0.3">
      <c r="J28" s="18"/>
    </row>
    <row r="29" spans="1:10" x14ac:dyDescent="0.3">
      <c r="A29" s="20"/>
      <c r="B29" s="64" t="s">
        <v>50</v>
      </c>
      <c r="C29" s="64"/>
      <c r="D29" s="64"/>
      <c r="E29" s="20" t="s">
        <v>8</v>
      </c>
      <c r="F29" s="20" t="s">
        <v>35</v>
      </c>
      <c r="G29" s="21" t="s">
        <v>36</v>
      </c>
    </row>
    <row r="30" spans="1:10" x14ac:dyDescent="0.3">
      <c r="A30" s="3"/>
      <c r="B30" s="62"/>
      <c r="C30" s="62"/>
      <c r="D30" s="62"/>
      <c r="E30" s="4"/>
      <c r="F30" s="10">
        <v>1</v>
      </c>
      <c r="G30" s="17"/>
      <c r="H30" s="19" t="str">
        <f>HYPERLINK("#G30",CHAR(128))</f>
        <v>€</v>
      </c>
    </row>
    <row r="31" spans="1:10" x14ac:dyDescent="0.3">
      <c r="A31" s="2"/>
      <c r="B31" s="63"/>
      <c r="C31" s="63"/>
      <c r="D31" s="63"/>
      <c r="E31" s="1"/>
      <c r="F31" s="16">
        <v>1</v>
      </c>
      <c r="G31" s="26"/>
      <c r="H31" s="19" t="str">
        <f>HYPERLINK("#G31",CHAR(128))</f>
        <v>€</v>
      </c>
    </row>
    <row r="32" spans="1:10" x14ac:dyDescent="0.3">
      <c r="A32" s="3"/>
      <c r="B32" s="62"/>
      <c r="C32" s="62"/>
      <c r="D32" s="62"/>
      <c r="E32" s="4"/>
      <c r="F32" s="4">
        <v>1</v>
      </c>
      <c r="G32" s="27"/>
      <c r="H32" s="19" t="str">
        <f>HYPERLINK("#G32",CHAR(128))</f>
        <v>€</v>
      </c>
    </row>
    <row r="33" spans="1:8" x14ac:dyDescent="0.3">
      <c r="A33" s="2"/>
      <c r="B33" s="63"/>
      <c r="C33" s="63"/>
      <c r="D33" s="63"/>
      <c r="E33" s="1"/>
      <c r="F33" s="16">
        <v>1</v>
      </c>
      <c r="G33" s="26"/>
      <c r="H33" s="19" t="str">
        <f>HYPERLINK("#G33",CHAR(128))</f>
        <v>€</v>
      </c>
    </row>
    <row r="34" spans="1:8" x14ac:dyDescent="0.3">
      <c r="A34" s="3"/>
      <c r="B34" s="62"/>
      <c r="C34" s="62"/>
      <c r="D34" s="62"/>
      <c r="E34" s="4"/>
      <c r="F34" s="4">
        <v>1</v>
      </c>
      <c r="G34" s="27"/>
      <c r="H34" s="19" t="str">
        <f>HYPERLINK("#G34",CHAR(128))</f>
        <v>€</v>
      </c>
    </row>
    <row r="37" spans="1:8" x14ac:dyDescent="0.3">
      <c r="A37" s="40" t="s">
        <v>40</v>
      </c>
      <c r="B37" s="40" t="s">
        <v>7</v>
      </c>
      <c r="C37" s="40" t="s">
        <v>65</v>
      </c>
      <c r="D37" s="40" t="s">
        <v>66</v>
      </c>
    </row>
    <row r="38" spans="1:8" x14ac:dyDescent="0.3">
      <c r="A38" s="40"/>
      <c r="B38" s="40"/>
      <c r="C38" s="40"/>
      <c r="D38" s="40"/>
    </row>
  </sheetData>
  <mergeCells count="37">
    <mergeCell ref="B29:D29"/>
    <mergeCell ref="B30:D30"/>
    <mergeCell ref="B31:D31"/>
    <mergeCell ref="B32:D32"/>
    <mergeCell ref="B33:D33"/>
    <mergeCell ref="B34:D34"/>
    <mergeCell ref="B21:D21"/>
    <mergeCell ref="B22:D22"/>
    <mergeCell ref="B23:D23"/>
    <mergeCell ref="B24:D24"/>
    <mergeCell ref="B25:D25"/>
    <mergeCell ref="B26:D26"/>
    <mergeCell ref="B15:D15"/>
    <mergeCell ref="B16:D16"/>
    <mergeCell ref="B17:D17"/>
    <mergeCell ref="B18:D18"/>
    <mergeCell ref="B19:D19"/>
    <mergeCell ref="B20:D20"/>
    <mergeCell ref="B9:D9"/>
    <mergeCell ref="B10:D10"/>
    <mergeCell ref="B11:D11"/>
    <mergeCell ref="B12:D12"/>
    <mergeCell ref="B13:D13"/>
    <mergeCell ref="B14:D14"/>
    <mergeCell ref="B4:D4"/>
    <mergeCell ref="E4:F4"/>
    <mergeCell ref="B5:D5"/>
    <mergeCell ref="B6:D6"/>
    <mergeCell ref="B7:D7"/>
    <mergeCell ref="B8:D8"/>
    <mergeCell ref="A1:A2"/>
    <mergeCell ref="C1:D1"/>
    <mergeCell ref="E1:F1"/>
    <mergeCell ref="C2:D2"/>
    <mergeCell ref="E2:F2"/>
    <mergeCell ref="B3:D3"/>
    <mergeCell ref="E3:F3"/>
  </mergeCells>
  <conditionalFormatting sqref="G6:G14 G21:G26 G16:G19">
    <cfRule type="cellIs" dxfId="58" priority="2" operator="equal">
      <formula>"Returned"</formula>
    </cfRule>
    <cfRule type="cellIs" dxfId="57" priority="5" operator="equal">
      <formula>"Ready To Order"</formula>
    </cfRule>
    <cfRule type="cellIs" dxfId="56" priority="6" operator="equal">
      <formula>"UNP"</formula>
    </cfRule>
    <cfRule type="containsText" dxfId="55" priority="7" operator="containsText" text="Ordered">
      <formula>NOT(ISERROR(SEARCH("Ordered",G6)))</formula>
    </cfRule>
    <cfRule type="containsText" dxfId="54" priority="8" operator="containsText" text="Pick Up">
      <formula>NOT(ISERROR(SEARCH("Pick Up",G6)))</formula>
    </cfRule>
    <cfRule type="containsText" dxfId="53" priority="9" operator="containsText" text="Complete">
      <formula>NOT(ISERROR(SEARCH("Complete",G6)))</formula>
    </cfRule>
  </conditionalFormatting>
  <conditionalFormatting sqref="G30:G33">
    <cfRule type="containsText" dxfId="52" priority="4" operator="containsText" text="Given">
      <formula>NOT(ISERROR(SEARCH("Given",G30)))</formula>
    </cfRule>
  </conditionalFormatting>
  <conditionalFormatting sqref="G30:G34">
    <cfRule type="containsText" dxfId="51" priority="3" operator="containsText" text="Returned">
      <formula>NOT(ISERROR(SEARCH("Returned",G30)))</formula>
    </cfRule>
  </conditionalFormatting>
  <conditionalFormatting sqref="G6:G14 G21:G26 G16:G19">
    <cfRule type="cellIs" dxfId="50" priority="1" operator="equal">
      <formula>"In Stock"</formula>
    </cfRule>
  </conditionalFormatting>
  <dataValidations count="3">
    <dataValidation type="list" allowBlank="1" showInputMessage="1" showErrorMessage="1" sqref="G30:G34" xr:uid="{0475BF4E-BA96-475C-957F-A17D96BEB205}">
      <formula1>"--,Returned, Given"</formula1>
    </dataValidation>
    <dataValidation type="list" allowBlank="1" showInputMessage="1" showErrorMessage="1" sqref="G16:G19 G21:G24 G26 G6:G14" xr:uid="{CF452DE8-4D44-4285-8256-6B40F9689110}">
      <formula1>"UNP, Ready To Order, Ordered, In Stock, Pick Up, Complete, Returned"</formula1>
    </dataValidation>
    <dataValidation type="decimal" allowBlank="1" showInputMessage="1" showErrorMessage="1" sqref="L2" xr:uid="{E15A7DB2-5F79-45AE-98A9-CA8E12D659D2}">
      <formula1>19</formula1>
      <formula2>26</formula2>
    </dataValidation>
  </dataValidations>
  <hyperlinks>
    <hyperlink ref="A1:A2" location="Menu!A1" display="Back to Menu" xr:uid="{E46D100E-CFD9-4365-A609-D470838F313A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41" r:id="rId3" name="Button 1">
              <controlPr defaultSize="0" print="0" autoFill="0" autoPict="0" macro="[0]!ExchangeButton">
                <anchor moveWithCells="1" sizeWithCells="1">
                  <from>
                    <xdr:col>10</xdr:col>
                    <xdr:colOff>15240</xdr:colOff>
                    <xdr:row>10</xdr:row>
                    <xdr:rowOff>190500</xdr:rowOff>
                  </from>
                  <to>
                    <xdr:col>12</xdr:col>
                    <xdr:colOff>15240</xdr:colOff>
                    <xdr:row>12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42" r:id="rId4" name="Button 2">
              <controlPr defaultSize="0" print="0" autoFill="0" autoPict="0" macro="[0]!InventoryInteract">
                <anchor moveWithCells="1" sizeWithCells="1">
                  <from>
                    <xdr:col>9</xdr:col>
                    <xdr:colOff>640080</xdr:colOff>
                    <xdr:row>18</xdr:row>
                    <xdr:rowOff>213360</xdr:rowOff>
                  </from>
                  <to>
                    <xdr:col>12</xdr:col>
                    <xdr:colOff>30480</xdr:colOff>
                    <xdr:row>21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43" r:id="rId5" name="Button 3">
              <controlPr defaultSize="0" print="0" autoFill="0" autoPict="0" macro="[0]!_xludf.Terminate">
                <anchor moveWithCells="1" sizeWithCells="1">
                  <from>
                    <xdr:col>9</xdr:col>
                    <xdr:colOff>601980</xdr:colOff>
                    <xdr:row>32</xdr:row>
                    <xdr:rowOff>167640</xdr:rowOff>
                  </from>
                  <to>
                    <xdr:col>12</xdr:col>
                    <xdr:colOff>0</xdr:colOff>
                    <xdr:row>33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44" r:id="rId6" name="Button 4">
              <controlPr defaultSize="0" print="0" autoFill="0" autoPict="0" macro="[0]!MarkAsSOS">
                <anchor moveWithCells="1" sizeWithCells="1">
                  <from>
                    <xdr:col>9</xdr:col>
                    <xdr:colOff>601980</xdr:colOff>
                    <xdr:row>30</xdr:row>
                    <xdr:rowOff>175260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45" r:id="rId7" name="Button 5">
              <controlPr defaultSize="0" print="0" autoFill="0" autoPict="0" macro="[0]!UpdateInStockStatus">
                <anchor moveWithCells="1" sizeWithCells="1">
                  <from>
                    <xdr:col>10</xdr:col>
                    <xdr:colOff>0</xdr:colOff>
                    <xdr:row>23</xdr:row>
                    <xdr:rowOff>175260</xdr:rowOff>
                  </from>
                  <to>
                    <xdr:col>12</xdr:col>
                    <xdr:colOff>7620</xdr:colOff>
                    <xdr:row>26</xdr:row>
                    <xdr:rowOff>106680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5C3D12-81E0-4A9C-9DC8-F97CF5A9B76C}">
  <sheetPr codeName="Sheet9"/>
  <dimension ref="A1:L38"/>
  <sheetViews>
    <sheetView workbookViewId="0">
      <selection sqref="A1:A1048576"/>
    </sheetView>
  </sheetViews>
  <sheetFormatPr defaultRowHeight="14.4" x14ac:dyDescent="0.3"/>
  <cols>
    <col min="1" max="1" width="18.6640625" customWidth="1"/>
    <col min="3" max="3" width="9.88671875" customWidth="1"/>
    <col min="4" max="4" width="10.88671875" customWidth="1"/>
    <col min="5" max="5" width="15.7773437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69" t="s">
        <v>42</v>
      </c>
      <c r="B1" s="20" t="s">
        <v>3</v>
      </c>
      <c r="C1" s="64" t="s">
        <v>0</v>
      </c>
      <c r="D1" s="64"/>
      <c r="E1" s="64" t="s">
        <v>2</v>
      </c>
      <c r="F1" s="64"/>
      <c r="G1" s="20" t="s">
        <v>34</v>
      </c>
      <c r="K1" s="20" t="s">
        <v>38</v>
      </c>
      <c r="L1" s="20" t="s">
        <v>10</v>
      </c>
    </row>
    <row r="2" spans="1:12" x14ac:dyDescent="0.3">
      <c r="A2" s="70"/>
      <c r="B2" s="2" t="s">
        <v>155</v>
      </c>
      <c r="C2" s="63" t="s">
        <v>151</v>
      </c>
      <c r="D2" s="63"/>
      <c r="E2" s="63" t="s">
        <v>152</v>
      </c>
      <c r="F2" s="63"/>
      <c r="G2" s="1">
        <v>87519091</v>
      </c>
      <c r="K2" s="4" t="s">
        <v>9</v>
      </c>
      <c r="L2" s="4">
        <v>22</v>
      </c>
    </row>
    <row r="3" spans="1:12" x14ac:dyDescent="0.3">
      <c r="A3" s="20" t="s">
        <v>1</v>
      </c>
      <c r="B3" s="71" t="s">
        <v>4</v>
      </c>
      <c r="C3" s="72"/>
      <c r="D3" s="73"/>
      <c r="E3" s="71" t="s">
        <v>49</v>
      </c>
      <c r="F3" s="73"/>
      <c r="G3" s="20" t="s">
        <v>5</v>
      </c>
      <c r="K3" s="1" t="s">
        <v>11</v>
      </c>
      <c r="L3" s="1">
        <v>16.5</v>
      </c>
    </row>
    <row r="4" spans="1:12" x14ac:dyDescent="0.3">
      <c r="A4" s="1" t="s">
        <v>39</v>
      </c>
      <c r="B4" s="74">
        <v>9999999999</v>
      </c>
      <c r="C4" s="74"/>
      <c r="D4" s="74"/>
      <c r="E4" s="63"/>
      <c r="F4" s="63"/>
      <c r="G4" s="1" t="s">
        <v>78</v>
      </c>
      <c r="K4" s="4" t="s">
        <v>12</v>
      </c>
      <c r="L4" s="4">
        <v>40</v>
      </c>
    </row>
    <row r="5" spans="1:12" x14ac:dyDescent="0.3">
      <c r="A5" s="20" t="s">
        <v>6</v>
      </c>
      <c r="B5" s="64" t="s">
        <v>7</v>
      </c>
      <c r="C5" s="64"/>
      <c r="D5" s="64"/>
      <c r="E5" s="20" t="s">
        <v>8</v>
      </c>
      <c r="F5" s="20" t="s">
        <v>35</v>
      </c>
      <c r="G5" s="20" t="s">
        <v>36</v>
      </c>
      <c r="K5" s="1" t="s">
        <v>13</v>
      </c>
      <c r="L5" s="1">
        <v>30</v>
      </c>
    </row>
    <row r="6" spans="1:12" x14ac:dyDescent="0.3">
      <c r="A6" s="3" t="s">
        <v>176</v>
      </c>
      <c r="B6" s="62" t="s">
        <v>18</v>
      </c>
      <c r="C6" s="62"/>
      <c r="D6" s="62"/>
      <c r="E6" s="4">
        <v>6440</v>
      </c>
      <c r="F6" s="4">
        <v>1</v>
      </c>
      <c r="G6" s="25" t="s">
        <v>86</v>
      </c>
      <c r="H6" s="28" t="str">
        <f>HYPERLINK("#G6",CHAR(128))</f>
        <v>€</v>
      </c>
      <c r="K6" s="4" t="s">
        <v>14</v>
      </c>
      <c r="L6" s="4">
        <v>38</v>
      </c>
    </row>
    <row r="7" spans="1:12" x14ac:dyDescent="0.3">
      <c r="A7" s="2"/>
      <c r="B7" s="63" t="s">
        <v>21</v>
      </c>
      <c r="C7" s="63"/>
      <c r="D7" s="63"/>
      <c r="E7" s="1">
        <v>16.5</v>
      </c>
      <c r="F7" s="16">
        <v>1</v>
      </c>
      <c r="G7" s="25" t="s">
        <v>63</v>
      </c>
      <c r="H7" s="28" t="str">
        <f>HYPERLINK("#G7",CHAR(128))</f>
        <v>€</v>
      </c>
      <c r="K7" s="1" t="s">
        <v>15</v>
      </c>
      <c r="L7" s="1">
        <v>62</v>
      </c>
    </row>
    <row r="8" spans="1:12" x14ac:dyDescent="0.3">
      <c r="A8" s="3" t="s">
        <v>91</v>
      </c>
      <c r="B8" s="62" t="s">
        <v>19</v>
      </c>
      <c r="C8" s="62"/>
      <c r="D8" s="62"/>
      <c r="E8" s="4" t="s">
        <v>76</v>
      </c>
      <c r="F8" s="4">
        <v>1</v>
      </c>
      <c r="G8" s="25" t="s">
        <v>63</v>
      </c>
      <c r="H8" s="28" t="str">
        <f>HYPERLINK("#G8",CHAR(128))</f>
        <v>€</v>
      </c>
      <c r="K8" s="4" t="s">
        <v>16</v>
      </c>
      <c r="L8" s="4">
        <v>240</v>
      </c>
    </row>
    <row r="9" spans="1:12" x14ac:dyDescent="0.3">
      <c r="A9" s="2" t="s">
        <v>177</v>
      </c>
      <c r="B9" s="63" t="s">
        <v>20</v>
      </c>
      <c r="C9" s="63"/>
      <c r="D9" s="63"/>
      <c r="E9" s="1">
        <v>6430</v>
      </c>
      <c r="F9" s="16">
        <v>1</v>
      </c>
      <c r="G9" s="25" t="s">
        <v>63</v>
      </c>
      <c r="H9" s="28" t="str">
        <f>HYPERLINK("#G9",CHAR(128))</f>
        <v>€</v>
      </c>
      <c r="I9" s="11"/>
      <c r="K9" s="1" t="s">
        <v>17</v>
      </c>
      <c r="L9" s="1">
        <v>130</v>
      </c>
    </row>
    <row r="10" spans="1:12" x14ac:dyDescent="0.3">
      <c r="A10" s="3" t="s">
        <v>161</v>
      </c>
      <c r="B10" s="62" t="s">
        <v>24</v>
      </c>
      <c r="C10" s="62"/>
      <c r="D10" s="62"/>
      <c r="E10" s="8">
        <v>7</v>
      </c>
      <c r="F10" s="4">
        <v>1</v>
      </c>
      <c r="G10" s="25" t="s">
        <v>86</v>
      </c>
      <c r="H10" s="28" t="str">
        <f>HYPERLINK("#G10",CHAR(128))</f>
        <v>€</v>
      </c>
      <c r="K10" s="15" t="s">
        <v>47</v>
      </c>
      <c r="L10" s="15"/>
    </row>
    <row r="11" spans="1:12" x14ac:dyDescent="0.3">
      <c r="A11" s="2"/>
      <c r="B11" s="63" t="s">
        <v>23</v>
      </c>
      <c r="C11" s="63"/>
      <c r="D11" s="63"/>
      <c r="E11" s="1" t="s">
        <v>137</v>
      </c>
      <c r="F11" s="16">
        <v>1</v>
      </c>
      <c r="G11" s="25" t="s">
        <v>86</v>
      </c>
      <c r="H11" s="28" t="str">
        <f>HYPERLINK("#G11",CHAR(128))</f>
        <v>€</v>
      </c>
    </row>
    <row r="12" spans="1:12" x14ac:dyDescent="0.3">
      <c r="A12" s="5"/>
      <c r="B12" s="62" t="s">
        <v>25</v>
      </c>
      <c r="C12" s="62"/>
      <c r="D12" s="62"/>
      <c r="E12" s="4" t="s">
        <v>137</v>
      </c>
      <c r="F12" s="4">
        <v>1</v>
      </c>
      <c r="G12" s="25" t="s">
        <v>86</v>
      </c>
      <c r="H12" s="28" t="str">
        <f>HYPERLINK("#G12",CHAR(128))</f>
        <v>€</v>
      </c>
    </row>
    <row r="13" spans="1:12" x14ac:dyDescent="0.3">
      <c r="A13" s="2"/>
      <c r="B13" s="63" t="s">
        <v>26</v>
      </c>
      <c r="C13" s="63"/>
      <c r="D13" s="63"/>
      <c r="E13" s="1" t="s">
        <v>144</v>
      </c>
      <c r="F13" s="16">
        <v>1</v>
      </c>
      <c r="G13" s="25" t="s">
        <v>86</v>
      </c>
      <c r="H13" s="28" t="str">
        <f>HYPERLINK("#G13",CHAR(128))</f>
        <v>€</v>
      </c>
    </row>
    <row r="14" spans="1:12" x14ac:dyDescent="0.3">
      <c r="A14" s="5"/>
      <c r="B14" s="62" t="s">
        <v>27</v>
      </c>
      <c r="C14" s="62"/>
      <c r="D14" s="62"/>
      <c r="E14" s="4" t="s">
        <v>139</v>
      </c>
      <c r="F14" s="4">
        <v>1</v>
      </c>
      <c r="G14" s="25" t="s">
        <v>45</v>
      </c>
      <c r="H14" s="28" t="str">
        <f>HYPERLINK("#G14",CHAR(128))</f>
        <v>€</v>
      </c>
    </row>
    <row r="15" spans="1:12" x14ac:dyDescent="0.3">
      <c r="A15" s="2"/>
      <c r="B15" s="68"/>
      <c r="C15" s="68"/>
      <c r="D15" s="68"/>
      <c r="E15" s="1"/>
      <c r="F15" s="16"/>
      <c r="G15" s="16"/>
      <c r="H15" s="14"/>
    </row>
    <row r="16" spans="1:12" x14ac:dyDescent="0.3">
      <c r="A16" s="5" t="s">
        <v>162</v>
      </c>
      <c r="B16" s="62" t="s">
        <v>28</v>
      </c>
      <c r="C16" s="62"/>
      <c r="D16" s="62"/>
      <c r="E16" s="4"/>
      <c r="F16" s="4">
        <v>1</v>
      </c>
      <c r="G16" s="25" t="s">
        <v>45</v>
      </c>
      <c r="H16" s="23" t="str">
        <f>HYPERLINK("#G16",CHAR(128))</f>
        <v>€</v>
      </c>
    </row>
    <row r="17" spans="1:10" x14ac:dyDescent="0.3">
      <c r="A17" s="2" t="s">
        <v>163</v>
      </c>
      <c r="B17" s="63" t="s">
        <v>22</v>
      </c>
      <c r="C17" s="63"/>
      <c r="D17" s="63"/>
      <c r="E17" s="1" t="s">
        <v>136</v>
      </c>
      <c r="F17" s="16">
        <v>1</v>
      </c>
      <c r="G17" s="25" t="s">
        <v>86</v>
      </c>
      <c r="H17" s="23" t="str">
        <f>HYPERLINK("#G17",CHAR(128))</f>
        <v>€</v>
      </c>
    </row>
    <row r="18" spans="1:10" x14ac:dyDescent="0.3">
      <c r="A18" s="5" t="s">
        <v>178</v>
      </c>
      <c r="B18" s="62" t="s">
        <v>29</v>
      </c>
      <c r="C18" s="62"/>
      <c r="D18" s="62"/>
      <c r="E18" s="4">
        <v>6444</v>
      </c>
      <c r="F18" s="4">
        <v>1</v>
      </c>
      <c r="G18" s="25" t="s">
        <v>86</v>
      </c>
      <c r="H18" s="23" t="str">
        <f>HYPERLINK("#G18",CHAR(128))</f>
        <v>€</v>
      </c>
    </row>
    <row r="19" spans="1:10" x14ac:dyDescent="0.3">
      <c r="A19" s="2"/>
      <c r="B19" s="63" t="s">
        <v>30</v>
      </c>
      <c r="C19" s="63"/>
      <c r="D19" s="63"/>
      <c r="E19" s="1" t="s">
        <v>140</v>
      </c>
      <c r="F19" s="16">
        <v>1</v>
      </c>
      <c r="G19" s="25" t="s">
        <v>86</v>
      </c>
      <c r="H19" s="23" t="str">
        <f>HYPERLINK("#G19",CHAR(128))</f>
        <v>€</v>
      </c>
    </row>
    <row r="20" spans="1:10" x14ac:dyDescent="0.3">
      <c r="A20" s="5"/>
      <c r="B20" s="65"/>
      <c r="C20" s="66"/>
      <c r="D20" s="67"/>
      <c r="E20" s="4"/>
      <c r="F20" s="4"/>
      <c r="G20" s="4"/>
      <c r="H20" s="14"/>
    </row>
    <row r="21" spans="1:10" x14ac:dyDescent="0.3">
      <c r="A21" s="2" t="s">
        <v>165</v>
      </c>
      <c r="B21" s="63" t="s">
        <v>33</v>
      </c>
      <c r="C21" s="63"/>
      <c r="D21" s="63"/>
      <c r="E21" s="9">
        <v>7</v>
      </c>
      <c r="F21" s="16">
        <v>1</v>
      </c>
      <c r="G21" s="25" t="s">
        <v>86</v>
      </c>
      <c r="H21" s="23" t="str">
        <f>HYPERLINK("#G21",CHAR(128))</f>
        <v>€</v>
      </c>
    </row>
    <row r="22" spans="1:10" x14ac:dyDescent="0.3">
      <c r="A22" s="5" t="s">
        <v>179</v>
      </c>
      <c r="B22" s="62" t="s">
        <v>31</v>
      </c>
      <c r="C22" s="62"/>
      <c r="D22" s="62"/>
      <c r="E22" s="4">
        <v>6440</v>
      </c>
      <c r="F22" s="4">
        <v>1</v>
      </c>
      <c r="G22" s="25" t="s">
        <v>63</v>
      </c>
      <c r="H22" s="23" t="str">
        <f>HYPERLINK("#G22",CHAR(128))</f>
        <v>€</v>
      </c>
    </row>
    <row r="23" spans="1:10" x14ac:dyDescent="0.3">
      <c r="A23" s="2" t="s">
        <v>180</v>
      </c>
      <c r="B23" s="63" t="s">
        <v>48</v>
      </c>
      <c r="C23" s="63"/>
      <c r="D23" s="63"/>
      <c r="E23" s="1">
        <v>6430</v>
      </c>
      <c r="F23" s="16">
        <v>1</v>
      </c>
      <c r="G23" s="25" t="s">
        <v>86</v>
      </c>
      <c r="H23" s="22" t="str">
        <f>HYPERLINK("#G23",CHAR(128))</f>
        <v>€</v>
      </c>
    </row>
    <row r="24" spans="1:10" x14ac:dyDescent="0.3">
      <c r="A24" s="5"/>
      <c r="B24" s="62" t="s">
        <v>32</v>
      </c>
      <c r="C24" s="62"/>
      <c r="D24" s="62"/>
      <c r="E24" s="4"/>
      <c r="F24" s="4">
        <v>1</v>
      </c>
      <c r="G24" s="25" t="s">
        <v>45</v>
      </c>
      <c r="H24" s="22" t="str">
        <f>HYPERLINK("#G24",CHAR(128))</f>
        <v>€</v>
      </c>
    </row>
    <row r="25" spans="1:10" x14ac:dyDescent="0.3">
      <c r="A25" s="2"/>
      <c r="B25" s="63"/>
      <c r="C25" s="63"/>
      <c r="D25" s="63"/>
      <c r="E25" s="1"/>
      <c r="F25" s="16"/>
      <c r="G25" s="16"/>
      <c r="H25" s="14"/>
      <c r="I25" s="12"/>
    </row>
    <row r="26" spans="1:10" x14ac:dyDescent="0.3">
      <c r="A26" s="5"/>
      <c r="B26" s="62" t="s">
        <v>37</v>
      </c>
      <c r="C26" s="62"/>
      <c r="D26" s="62"/>
      <c r="E26" s="4" t="str">
        <f>C2</f>
        <v>Jesus</v>
      </c>
      <c r="F26" s="4">
        <v>1</v>
      </c>
      <c r="G26" s="25" t="s">
        <v>45</v>
      </c>
      <c r="H26" s="24" t="str">
        <f>HYPERLINK("#G26",CHAR(128))</f>
        <v>€</v>
      </c>
    </row>
    <row r="28" spans="1:10" x14ac:dyDescent="0.3">
      <c r="J28" s="18"/>
    </row>
    <row r="29" spans="1:10" x14ac:dyDescent="0.3">
      <c r="A29" s="20"/>
      <c r="B29" s="64" t="s">
        <v>50</v>
      </c>
      <c r="C29" s="64"/>
      <c r="D29" s="64"/>
      <c r="E29" s="20" t="s">
        <v>8</v>
      </c>
      <c r="F29" s="20" t="s">
        <v>35</v>
      </c>
      <c r="G29" s="21" t="s">
        <v>36</v>
      </c>
    </row>
    <row r="30" spans="1:10" x14ac:dyDescent="0.3">
      <c r="A30" s="3"/>
      <c r="B30" s="62"/>
      <c r="C30" s="62"/>
      <c r="D30" s="62"/>
      <c r="E30" s="4"/>
      <c r="F30" s="10">
        <v>1</v>
      </c>
      <c r="G30" s="17"/>
      <c r="H30" s="19" t="str">
        <f>HYPERLINK("#G30",CHAR(128))</f>
        <v>€</v>
      </c>
    </row>
    <row r="31" spans="1:10" x14ac:dyDescent="0.3">
      <c r="A31" s="2"/>
      <c r="B31" s="63"/>
      <c r="C31" s="63"/>
      <c r="D31" s="63"/>
      <c r="E31" s="1"/>
      <c r="F31" s="16">
        <v>1</v>
      </c>
      <c r="G31" s="26"/>
      <c r="H31" s="19" t="str">
        <f>HYPERLINK("#G31",CHAR(128))</f>
        <v>€</v>
      </c>
    </row>
    <row r="32" spans="1:10" x14ac:dyDescent="0.3">
      <c r="A32" s="3"/>
      <c r="B32" s="62"/>
      <c r="C32" s="62"/>
      <c r="D32" s="62"/>
      <c r="E32" s="4"/>
      <c r="F32" s="4">
        <v>1</v>
      </c>
      <c r="G32" s="27"/>
      <c r="H32" s="19" t="str">
        <f>HYPERLINK("#G32",CHAR(128))</f>
        <v>€</v>
      </c>
    </row>
    <row r="33" spans="1:8" x14ac:dyDescent="0.3">
      <c r="A33" s="2"/>
      <c r="B33" s="63"/>
      <c r="C33" s="63"/>
      <c r="D33" s="63"/>
      <c r="E33" s="1"/>
      <c r="F33" s="16">
        <v>1</v>
      </c>
      <c r="G33" s="26"/>
      <c r="H33" s="19" t="str">
        <f>HYPERLINK("#G33",CHAR(128))</f>
        <v>€</v>
      </c>
    </row>
    <row r="34" spans="1:8" x14ac:dyDescent="0.3">
      <c r="A34" s="3"/>
      <c r="B34" s="62"/>
      <c r="C34" s="62"/>
      <c r="D34" s="62"/>
      <c r="E34" s="4"/>
      <c r="F34" s="4">
        <v>1</v>
      </c>
      <c r="G34" s="27"/>
      <c r="H34" s="19" t="str">
        <f>HYPERLINK("#G34",CHAR(128))</f>
        <v>€</v>
      </c>
    </row>
    <row r="37" spans="1:8" x14ac:dyDescent="0.3">
      <c r="A37" s="40" t="s">
        <v>40</v>
      </c>
      <c r="B37" s="40" t="s">
        <v>7</v>
      </c>
      <c r="C37" s="40" t="s">
        <v>65</v>
      </c>
      <c r="D37" s="40" t="s">
        <v>66</v>
      </c>
    </row>
    <row r="38" spans="1:8" x14ac:dyDescent="0.3">
      <c r="A38" s="40"/>
      <c r="B38" s="40"/>
      <c r="C38" s="40"/>
      <c r="D38" s="40"/>
    </row>
  </sheetData>
  <mergeCells count="37">
    <mergeCell ref="B29:D29"/>
    <mergeCell ref="B30:D30"/>
    <mergeCell ref="B31:D31"/>
    <mergeCell ref="B32:D32"/>
    <mergeCell ref="B33:D33"/>
    <mergeCell ref="B34:D34"/>
    <mergeCell ref="B21:D21"/>
    <mergeCell ref="B22:D22"/>
    <mergeCell ref="B23:D23"/>
    <mergeCell ref="B24:D24"/>
    <mergeCell ref="B25:D25"/>
    <mergeCell ref="B26:D26"/>
    <mergeCell ref="B15:D15"/>
    <mergeCell ref="B16:D16"/>
    <mergeCell ref="B17:D17"/>
    <mergeCell ref="B18:D18"/>
    <mergeCell ref="B19:D19"/>
    <mergeCell ref="B20:D20"/>
    <mergeCell ref="B9:D9"/>
    <mergeCell ref="B10:D10"/>
    <mergeCell ref="B11:D11"/>
    <mergeCell ref="B12:D12"/>
    <mergeCell ref="B13:D13"/>
    <mergeCell ref="B14:D14"/>
    <mergeCell ref="B4:D4"/>
    <mergeCell ref="E4:F4"/>
    <mergeCell ref="B5:D5"/>
    <mergeCell ref="B6:D6"/>
    <mergeCell ref="B7:D7"/>
    <mergeCell ref="B8:D8"/>
    <mergeCell ref="A1:A2"/>
    <mergeCell ref="C1:D1"/>
    <mergeCell ref="E1:F1"/>
    <mergeCell ref="C2:D2"/>
    <mergeCell ref="E2:F2"/>
    <mergeCell ref="B3:D3"/>
    <mergeCell ref="E3:F3"/>
  </mergeCells>
  <conditionalFormatting sqref="G6:G14 G21:G26 G16:G19">
    <cfRule type="cellIs" dxfId="49" priority="2" operator="equal">
      <formula>"Returned"</formula>
    </cfRule>
    <cfRule type="cellIs" dxfId="48" priority="5" operator="equal">
      <formula>"Ready To Order"</formula>
    </cfRule>
    <cfRule type="cellIs" dxfId="47" priority="6" operator="equal">
      <formula>"UNP"</formula>
    </cfRule>
    <cfRule type="containsText" dxfId="46" priority="7" operator="containsText" text="Ordered">
      <formula>NOT(ISERROR(SEARCH("Ordered",G6)))</formula>
    </cfRule>
    <cfRule type="containsText" dxfId="45" priority="8" operator="containsText" text="Pick Up">
      <formula>NOT(ISERROR(SEARCH("Pick Up",G6)))</formula>
    </cfRule>
    <cfRule type="containsText" dxfId="44" priority="9" operator="containsText" text="Complete">
      <formula>NOT(ISERROR(SEARCH("Complete",G6)))</formula>
    </cfRule>
  </conditionalFormatting>
  <conditionalFormatting sqref="G30:G33">
    <cfRule type="containsText" dxfId="43" priority="4" operator="containsText" text="Given">
      <formula>NOT(ISERROR(SEARCH("Given",G30)))</formula>
    </cfRule>
  </conditionalFormatting>
  <conditionalFormatting sqref="G30:G34">
    <cfRule type="containsText" dxfId="42" priority="3" operator="containsText" text="Returned">
      <formula>NOT(ISERROR(SEARCH("Returned",G30)))</formula>
    </cfRule>
  </conditionalFormatting>
  <conditionalFormatting sqref="G6:G14 G21:G26 G16:G19">
    <cfRule type="cellIs" dxfId="41" priority="1" operator="equal">
      <formula>"In Stock"</formula>
    </cfRule>
  </conditionalFormatting>
  <dataValidations count="3">
    <dataValidation type="list" allowBlank="1" showInputMessage="1" showErrorMessage="1" sqref="G30:G34" xr:uid="{FD1CC8D5-B4F3-4816-8CB3-D8664C843ABE}">
      <formula1>"--,Returned, Given"</formula1>
    </dataValidation>
    <dataValidation type="list" allowBlank="1" showInputMessage="1" showErrorMessage="1" sqref="G16:G19 G21:G24 G26 G6:G14" xr:uid="{E2C3B859-EB0B-4158-9A28-D8391C43583F}">
      <formula1>"UNP, Ready To Order, Ordered, In Stock, Pick Up, Complete, Returned"</formula1>
    </dataValidation>
    <dataValidation type="decimal" allowBlank="1" showInputMessage="1" showErrorMessage="1" sqref="L2" xr:uid="{CFF70327-9FC0-4784-9BC7-DEC9FD43E274}">
      <formula1>19</formula1>
      <formula2>26</formula2>
    </dataValidation>
  </dataValidations>
  <hyperlinks>
    <hyperlink ref="A1:A2" location="Menu!A1" display="Back to Menu" xr:uid="{ED60876E-20FB-466E-91DE-585C59F5D4E0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7265" r:id="rId3" name="Button 1">
              <controlPr defaultSize="0" print="0" autoFill="0" autoPict="0" macro="[0]!ExchangeButton">
                <anchor moveWithCells="1" sizeWithCells="1">
                  <from>
                    <xdr:col>10</xdr:col>
                    <xdr:colOff>15240</xdr:colOff>
                    <xdr:row>10</xdr:row>
                    <xdr:rowOff>190500</xdr:rowOff>
                  </from>
                  <to>
                    <xdr:col>12</xdr:col>
                    <xdr:colOff>15240</xdr:colOff>
                    <xdr:row>12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66" r:id="rId4" name="Button 2">
              <controlPr defaultSize="0" print="0" autoFill="0" autoPict="0" macro="[0]!InventoryInteract">
                <anchor moveWithCells="1" sizeWithCells="1">
                  <from>
                    <xdr:col>9</xdr:col>
                    <xdr:colOff>640080</xdr:colOff>
                    <xdr:row>18</xdr:row>
                    <xdr:rowOff>213360</xdr:rowOff>
                  </from>
                  <to>
                    <xdr:col>12</xdr:col>
                    <xdr:colOff>30480</xdr:colOff>
                    <xdr:row>21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67" r:id="rId5" name="Button 3">
              <controlPr defaultSize="0" print="0" autoFill="0" autoPict="0" macro="[0]!_xludf.Terminate">
                <anchor moveWithCells="1" sizeWithCells="1">
                  <from>
                    <xdr:col>9</xdr:col>
                    <xdr:colOff>601980</xdr:colOff>
                    <xdr:row>32</xdr:row>
                    <xdr:rowOff>167640</xdr:rowOff>
                  </from>
                  <to>
                    <xdr:col>12</xdr:col>
                    <xdr:colOff>0</xdr:colOff>
                    <xdr:row>33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68" r:id="rId6" name="Button 4">
              <controlPr defaultSize="0" print="0" autoFill="0" autoPict="0" macro="[0]!MarkAsSOS">
                <anchor moveWithCells="1" sizeWithCells="1">
                  <from>
                    <xdr:col>9</xdr:col>
                    <xdr:colOff>601980</xdr:colOff>
                    <xdr:row>30</xdr:row>
                    <xdr:rowOff>175260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69" r:id="rId7" name="Button 5">
              <controlPr defaultSize="0" print="0" autoFill="0" autoPict="0" macro="[0]!UpdateInStockStatus">
                <anchor moveWithCells="1" sizeWithCells="1">
                  <from>
                    <xdr:col>10</xdr:col>
                    <xdr:colOff>0</xdr:colOff>
                    <xdr:row>23</xdr:row>
                    <xdr:rowOff>175260</xdr:rowOff>
                  </from>
                  <to>
                    <xdr:col>12</xdr:col>
                    <xdr:colOff>7620</xdr:colOff>
                    <xdr:row>26</xdr:row>
                    <xdr:rowOff>106680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44FCCD-2763-4F91-8199-0D04971E7A09}">
  <sheetPr codeName="Sheet10"/>
  <dimension ref="A1:L38"/>
  <sheetViews>
    <sheetView workbookViewId="0">
      <selection sqref="A1:A2"/>
    </sheetView>
  </sheetViews>
  <sheetFormatPr defaultRowHeight="14.4" x14ac:dyDescent="0.3"/>
  <cols>
    <col min="1" max="1" width="18.6640625" customWidth="1"/>
    <col min="3" max="3" width="9.88671875" customWidth="1"/>
    <col min="4" max="4" width="10.88671875" customWidth="1"/>
    <col min="5" max="5" width="15.7773437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69" t="s">
        <v>42</v>
      </c>
      <c r="B1" s="20" t="s">
        <v>3</v>
      </c>
      <c r="C1" s="64" t="s">
        <v>0</v>
      </c>
      <c r="D1" s="64"/>
      <c r="E1" s="64" t="s">
        <v>2</v>
      </c>
      <c r="F1" s="64"/>
      <c r="G1" s="20" t="s">
        <v>34</v>
      </c>
      <c r="K1" s="20" t="s">
        <v>38</v>
      </c>
      <c r="L1" s="20" t="s">
        <v>10</v>
      </c>
    </row>
    <row r="2" spans="1:12" x14ac:dyDescent="0.3">
      <c r="A2" s="70"/>
      <c r="B2" s="2" t="s">
        <v>155</v>
      </c>
      <c r="C2" s="63" t="s">
        <v>153</v>
      </c>
      <c r="D2" s="63"/>
      <c r="E2" s="63" t="s">
        <v>154</v>
      </c>
      <c r="F2" s="63"/>
      <c r="G2" s="1" t="s">
        <v>181</v>
      </c>
      <c r="K2" s="4" t="s">
        <v>9</v>
      </c>
      <c r="L2" s="4">
        <v>22</v>
      </c>
    </row>
    <row r="3" spans="1:12" x14ac:dyDescent="0.3">
      <c r="A3" s="20" t="s">
        <v>1</v>
      </c>
      <c r="B3" s="71" t="s">
        <v>4</v>
      </c>
      <c r="C3" s="72"/>
      <c r="D3" s="73"/>
      <c r="E3" s="71" t="s">
        <v>49</v>
      </c>
      <c r="F3" s="73"/>
      <c r="G3" s="20" t="s">
        <v>5</v>
      </c>
      <c r="K3" s="1" t="s">
        <v>11</v>
      </c>
      <c r="L3" s="1">
        <v>13.5</v>
      </c>
    </row>
    <row r="4" spans="1:12" x14ac:dyDescent="0.3">
      <c r="A4" s="1" t="s">
        <v>39</v>
      </c>
      <c r="B4" s="74">
        <v>9999999999</v>
      </c>
      <c r="C4" s="74"/>
      <c r="D4" s="74"/>
      <c r="E4" s="63"/>
      <c r="F4" s="63"/>
      <c r="G4" s="1" t="s">
        <v>78</v>
      </c>
      <c r="K4" s="4" t="s">
        <v>12</v>
      </c>
      <c r="L4" s="4">
        <v>32</v>
      </c>
    </row>
    <row r="5" spans="1:12" x14ac:dyDescent="0.3">
      <c r="A5" s="20" t="s">
        <v>6</v>
      </c>
      <c r="B5" s="64" t="s">
        <v>7</v>
      </c>
      <c r="C5" s="64"/>
      <c r="D5" s="64"/>
      <c r="E5" s="20" t="s">
        <v>8</v>
      </c>
      <c r="F5" s="20" t="s">
        <v>35</v>
      </c>
      <c r="G5" s="20" t="s">
        <v>36</v>
      </c>
      <c r="K5" s="1" t="s">
        <v>13</v>
      </c>
      <c r="L5" s="1">
        <v>26.5</v>
      </c>
    </row>
    <row r="6" spans="1:12" x14ac:dyDescent="0.3">
      <c r="A6" s="3" t="s">
        <v>182</v>
      </c>
      <c r="B6" s="62" t="s">
        <v>18</v>
      </c>
      <c r="C6" s="62"/>
      <c r="D6" s="62"/>
      <c r="E6" s="4">
        <v>6432</v>
      </c>
      <c r="F6" s="4">
        <v>1</v>
      </c>
      <c r="G6" s="25" t="s">
        <v>86</v>
      </c>
      <c r="H6" s="28" t="str">
        <f>HYPERLINK("#G6",CHAR(128))</f>
        <v>€</v>
      </c>
      <c r="K6" s="4" t="s">
        <v>14</v>
      </c>
      <c r="L6" s="4">
        <v>31</v>
      </c>
    </row>
    <row r="7" spans="1:12" x14ac:dyDescent="0.3">
      <c r="A7" s="2" t="s">
        <v>183</v>
      </c>
      <c r="B7" s="63" t="s">
        <v>21</v>
      </c>
      <c r="C7" s="63"/>
      <c r="D7" s="63"/>
      <c r="E7" s="1">
        <v>13</v>
      </c>
      <c r="F7" s="16">
        <v>1</v>
      </c>
      <c r="G7" s="25" t="s">
        <v>69</v>
      </c>
      <c r="H7" s="28" t="str">
        <f>HYPERLINK("#G7",CHAR(128))</f>
        <v>€</v>
      </c>
      <c r="K7" s="1" t="s">
        <v>15</v>
      </c>
      <c r="L7" s="1">
        <v>63</v>
      </c>
    </row>
    <row r="8" spans="1:12" x14ac:dyDescent="0.3">
      <c r="A8" s="3" t="s">
        <v>184</v>
      </c>
      <c r="B8" s="62" t="s">
        <v>19</v>
      </c>
      <c r="C8" s="62"/>
      <c r="D8" s="62"/>
      <c r="E8" s="4" t="s">
        <v>144</v>
      </c>
      <c r="F8" s="4">
        <v>1</v>
      </c>
      <c r="G8" s="25" t="s">
        <v>69</v>
      </c>
      <c r="H8" s="28" t="str">
        <f>HYPERLINK("#G8",CHAR(128))</f>
        <v>€</v>
      </c>
      <c r="K8" s="4" t="s">
        <v>16</v>
      </c>
      <c r="L8" s="4">
        <v>265</v>
      </c>
    </row>
    <row r="9" spans="1:12" x14ac:dyDescent="0.3">
      <c r="A9" s="2" t="s">
        <v>185</v>
      </c>
      <c r="B9" s="63" t="s">
        <v>20</v>
      </c>
      <c r="C9" s="63"/>
      <c r="D9" s="63"/>
      <c r="E9" s="1">
        <v>6427</v>
      </c>
      <c r="F9" s="16">
        <v>1</v>
      </c>
      <c r="G9" s="25" t="s">
        <v>63</v>
      </c>
      <c r="H9" s="28" t="str">
        <f>HYPERLINK("#G9",CHAR(128))</f>
        <v>€</v>
      </c>
      <c r="I9" s="11"/>
      <c r="K9" s="1" t="s">
        <v>17</v>
      </c>
      <c r="L9" s="1">
        <v>95</v>
      </c>
    </row>
    <row r="10" spans="1:12" x14ac:dyDescent="0.3">
      <c r="A10" s="3" t="s">
        <v>161</v>
      </c>
      <c r="B10" s="62" t="s">
        <v>24</v>
      </c>
      <c r="C10" s="62"/>
      <c r="D10" s="62"/>
      <c r="E10" s="8">
        <v>7</v>
      </c>
      <c r="F10" s="4">
        <v>1</v>
      </c>
      <c r="G10" s="25" t="s">
        <v>69</v>
      </c>
      <c r="H10" s="28" t="str">
        <f>HYPERLINK("#G10",CHAR(128))</f>
        <v>€</v>
      </c>
      <c r="K10" s="15" t="s">
        <v>47</v>
      </c>
      <c r="L10" s="15"/>
    </row>
    <row r="11" spans="1:12" x14ac:dyDescent="0.3">
      <c r="A11" s="2"/>
      <c r="B11" s="63" t="s">
        <v>23</v>
      </c>
      <c r="C11" s="63"/>
      <c r="D11" s="63"/>
      <c r="E11" s="1" t="s">
        <v>137</v>
      </c>
      <c r="F11" s="16">
        <v>1</v>
      </c>
      <c r="G11" s="25" t="s">
        <v>69</v>
      </c>
      <c r="H11" s="28" t="str">
        <f>HYPERLINK("#G11",CHAR(128))</f>
        <v>€</v>
      </c>
    </row>
    <row r="12" spans="1:12" x14ac:dyDescent="0.3">
      <c r="A12" s="5"/>
      <c r="B12" s="62" t="s">
        <v>25</v>
      </c>
      <c r="C12" s="62"/>
      <c r="D12" s="62"/>
      <c r="E12" s="4" t="s">
        <v>145</v>
      </c>
      <c r="F12" s="4">
        <v>1</v>
      </c>
      <c r="G12" s="25" t="s">
        <v>69</v>
      </c>
      <c r="H12" s="28" t="str">
        <f>HYPERLINK("#G12",CHAR(128))</f>
        <v>€</v>
      </c>
    </row>
    <row r="13" spans="1:12" x14ac:dyDescent="0.3">
      <c r="A13" s="2" t="s">
        <v>186</v>
      </c>
      <c r="B13" s="63" t="s">
        <v>26</v>
      </c>
      <c r="C13" s="63"/>
      <c r="D13" s="63"/>
      <c r="E13" s="1" t="s">
        <v>136</v>
      </c>
      <c r="F13" s="16">
        <v>1</v>
      </c>
      <c r="G13" s="25" t="s">
        <v>69</v>
      </c>
      <c r="H13" s="28" t="str">
        <f>HYPERLINK("#G13",CHAR(128))</f>
        <v>€</v>
      </c>
    </row>
    <row r="14" spans="1:12" x14ac:dyDescent="0.3">
      <c r="A14" s="5" t="s">
        <v>187</v>
      </c>
      <c r="B14" s="62" t="s">
        <v>27</v>
      </c>
      <c r="C14" s="62"/>
      <c r="D14" s="62"/>
      <c r="E14" s="4" t="s">
        <v>146</v>
      </c>
      <c r="F14" s="4">
        <v>1</v>
      </c>
      <c r="G14" s="25" t="s">
        <v>86</v>
      </c>
      <c r="H14" s="28" t="str">
        <f>HYPERLINK("#G14",CHAR(128))</f>
        <v>€</v>
      </c>
    </row>
    <row r="15" spans="1:12" x14ac:dyDescent="0.3">
      <c r="A15" s="2"/>
      <c r="B15" s="68"/>
      <c r="C15" s="68"/>
      <c r="D15" s="68"/>
      <c r="E15" s="1"/>
      <c r="F15" s="16"/>
      <c r="G15" s="16"/>
      <c r="H15" s="14"/>
    </row>
    <row r="16" spans="1:12" x14ac:dyDescent="0.3">
      <c r="A16" s="5" t="s">
        <v>162</v>
      </c>
      <c r="B16" s="62" t="s">
        <v>28</v>
      </c>
      <c r="C16" s="62"/>
      <c r="D16" s="62"/>
      <c r="E16" s="4"/>
      <c r="F16" s="4">
        <v>1</v>
      </c>
      <c r="G16" s="25" t="s">
        <v>45</v>
      </c>
      <c r="H16" s="23" t="str">
        <f>HYPERLINK("#G16",CHAR(128))</f>
        <v>€</v>
      </c>
    </row>
    <row r="17" spans="1:10" x14ac:dyDescent="0.3">
      <c r="A17" s="2" t="s">
        <v>163</v>
      </c>
      <c r="B17" s="63" t="s">
        <v>22</v>
      </c>
      <c r="C17" s="63"/>
      <c r="D17" s="63"/>
      <c r="E17" s="1" t="s">
        <v>136</v>
      </c>
      <c r="F17" s="16">
        <v>1</v>
      </c>
      <c r="G17" s="25" t="s">
        <v>69</v>
      </c>
      <c r="H17" s="23" t="str">
        <f>HYPERLINK("#G17",CHAR(128))</f>
        <v>€</v>
      </c>
    </row>
    <row r="18" spans="1:10" x14ac:dyDescent="0.3">
      <c r="A18" s="5" t="s">
        <v>188</v>
      </c>
      <c r="B18" s="62" t="s">
        <v>29</v>
      </c>
      <c r="C18" s="62"/>
      <c r="D18" s="62"/>
      <c r="E18" s="4">
        <v>6436</v>
      </c>
      <c r="F18" s="4">
        <v>1</v>
      </c>
      <c r="G18" s="25" t="s">
        <v>86</v>
      </c>
      <c r="H18" s="23" t="str">
        <f>HYPERLINK("#G18",CHAR(128))</f>
        <v>€</v>
      </c>
    </row>
    <row r="19" spans="1:10" x14ac:dyDescent="0.3">
      <c r="A19" s="2"/>
      <c r="B19" s="63" t="s">
        <v>30</v>
      </c>
      <c r="C19" s="63"/>
      <c r="D19" s="63"/>
      <c r="E19" s="1" t="s">
        <v>140</v>
      </c>
      <c r="F19" s="16">
        <v>1</v>
      </c>
      <c r="G19" s="25" t="s">
        <v>69</v>
      </c>
      <c r="H19" s="23" t="str">
        <f>HYPERLINK("#G19",CHAR(128))</f>
        <v>€</v>
      </c>
    </row>
    <row r="20" spans="1:10" x14ac:dyDescent="0.3">
      <c r="A20" s="5"/>
      <c r="B20" s="65"/>
      <c r="C20" s="66"/>
      <c r="D20" s="67"/>
      <c r="E20" s="4"/>
      <c r="F20" s="4"/>
      <c r="G20" s="4"/>
      <c r="H20" s="14"/>
    </row>
    <row r="21" spans="1:10" x14ac:dyDescent="0.3">
      <c r="A21" s="2" t="s">
        <v>165</v>
      </c>
      <c r="B21" s="63" t="s">
        <v>33</v>
      </c>
      <c r="C21" s="63"/>
      <c r="D21" s="63"/>
      <c r="E21" s="9">
        <v>7</v>
      </c>
      <c r="F21" s="16">
        <v>1</v>
      </c>
      <c r="G21" s="25" t="s">
        <v>69</v>
      </c>
      <c r="H21" s="23" t="str">
        <f>HYPERLINK("#G21",CHAR(128))</f>
        <v>€</v>
      </c>
    </row>
    <row r="22" spans="1:10" x14ac:dyDescent="0.3">
      <c r="A22" s="5" t="s">
        <v>189</v>
      </c>
      <c r="B22" s="62" t="s">
        <v>31</v>
      </c>
      <c r="C22" s="62"/>
      <c r="D22" s="62"/>
      <c r="E22" s="4">
        <v>6432</v>
      </c>
      <c r="F22" s="4">
        <v>1</v>
      </c>
      <c r="G22" s="25" t="s">
        <v>69</v>
      </c>
      <c r="H22" s="23" t="str">
        <f>HYPERLINK("#G22",CHAR(128))</f>
        <v>€</v>
      </c>
    </row>
    <row r="23" spans="1:10" x14ac:dyDescent="0.3">
      <c r="A23" s="2" t="s">
        <v>180</v>
      </c>
      <c r="B23" s="63" t="s">
        <v>48</v>
      </c>
      <c r="C23" s="63"/>
      <c r="D23" s="63"/>
      <c r="E23" s="1">
        <v>6430</v>
      </c>
      <c r="F23" s="16">
        <v>1</v>
      </c>
      <c r="G23" s="25" t="s">
        <v>86</v>
      </c>
      <c r="H23" s="22" t="str">
        <f>HYPERLINK("#G23",CHAR(128))</f>
        <v>€</v>
      </c>
    </row>
    <row r="24" spans="1:10" x14ac:dyDescent="0.3">
      <c r="A24" s="5"/>
      <c r="B24" s="62" t="s">
        <v>32</v>
      </c>
      <c r="C24" s="62"/>
      <c r="D24" s="62"/>
      <c r="E24" s="4"/>
      <c r="F24" s="4">
        <v>1</v>
      </c>
      <c r="G24" s="25" t="s">
        <v>45</v>
      </c>
      <c r="H24" s="22" t="str">
        <f>HYPERLINK("#G24",CHAR(128))</f>
        <v>€</v>
      </c>
    </row>
    <row r="25" spans="1:10" x14ac:dyDescent="0.3">
      <c r="A25" s="2"/>
      <c r="B25" s="63"/>
      <c r="C25" s="63"/>
      <c r="D25" s="63"/>
      <c r="E25" s="1"/>
      <c r="F25" s="16"/>
      <c r="G25" s="16"/>
      <c r="H25" s="14"/>
      <c r="I25" s="12"/>
    </row>
    <row r="26" spans="1:10" x14ac:dyDescent="0.3">
      <c r="A26" s="5"/>
      <c r="B26" s="62" t="s">
        <v>37</v>
      </c>
      <c r="C26" s="62"/>
      <c r="D26" s="62"/>
      <c r="E26" s="4" t="str">
        <f>C2</f>
        <v>Dia</v>
      </c>
      <c r="F26" s="4">
        <v>1</v>
      </c>
      <c r="G26" s="25" t="s">
        <v>45</v>
      </c>
      <c r="H26" s="24" t="str">
        <f>HYPERLINK("#G26",CHAR(128))</f>
        <v>€</v>
      </c>
    </row>
    <row r="28" spans="1:10" x14ac:dyDescent="0.3">
      <c r="J28" s="18"/>
    </row>
    <row r="29" spans="1:10" x14ac:dyDescent="0.3">
      <c r="A29" s="20"/>
      <c r="B29" s="64" t="s">
        <v>50</v>
      </c>
      <c r="C29" s="64"/>
      <c r="D29" s="64"/>
      <c r="E29" s="20" t="s">
        <v>8</v>
      </c>
      <c r="F29" s="20" t="s">
        <v>35</v>
      </c>
      <c r="G29" s="21" t="s">
        <v>36</v>
      </c>
    </row>
    <row r="30" spans="1:10" x14ac:dyDescent="0.3">
      <c r="A30" s="3"/>
      <c r="B30" s="62"/>
      <c r="C30" s="62"/>
      <c r="D30" s="62"/>
      <c r="E30" s="4"/>
      <c r="F30" s="10">
        <v>1</v>
      </c>
      <c r="G30" s="17"/>
      <c r="H30" s="19" t="str">
        <f>HYPERLINK("#G30",CHAR(128))</f>
        <v>€</v>
      </c>
    </row>
    <row r="31" spans="1:10" x14ac:dyDescent="0.3">
      <c r="A31" s="2"/>
      <c r="B31" s="63"/>
      <c r="C31" s="63"/>
      <c r="D31" s="63"/>
      <c r="E31" s="1"/>
      <c r="F31" s="16">
        <v>1</v>
      </c>
      <c r="G31" s="26"/>
      <c r="H31" s="19" t="str">
        <f>HYPERLINK("#G31",CHAR(128))</f>
        <v>€</v>
      </c>
    </row>
    <row r="32" spans="1:10" x14ac:dyDescent="0.3">
      <c r="A32" s="3"/>
      <c r="B32" s="62"/>
      <c r="C32" s="62"/>
      <c r="D32" s="62"/>
      <c r="E32" s="4"/>
      <c r="F32" s="4">
        <v>1</v>
      </c>
      <c r="G32" s="27"/>
      <c r="H32" s="19" t="str">
        <f>HYPERLINK("#G32",CHAR(128))</f>
        <v>€</v>
      </c>
    </row>
    <row r="33" spans="1:8" x14ac:dyDescent="0.3">
      <c r="A33" s="2"/>
      <c r="B33" s="63"/>
      <c r="C33" s="63"/>
      <c r="D33" s="63"/>
      <c r="E33" s="1"/>
      <c r="F33" s="16">
        <v>1</v>
      </c>
      <c r="G33" s="26"/>
      <c r="H33" s="19" t="str">
        <f>HYPERLINK("#G33",CHAR(128))</f>
        <v>€</v>
      </c>
    </row>
    <row r="34" spans="1:8" x14ac:dyDescent="0.3">
      <c r="A34" s="3"/>
      <c r="B34" s="62"/>
      <c r="C34" s="62"/>
      <c r="D34" s="62"/>
      <c r="E34" s="4"/>
      <c r="F34" s="4">
        <v>1</v>
      </c>
      <c r="G34" s="27"/>
      <c r="H34" s="19" t="str">
        <f>HYPERLINK("#G34",CHAR(128))</f>
        <v>€</v>
      </c>
    </row>
    <row r="37" spans="1:8" x14ac:dyDescent="0.3">
      <c r="A37" s="40" t="s">
        <v>40</v>
      </c>
      <c r="B37" s="40" t="s">
        <v>7</v>
      </c>
      <c r="C37" s="40" t="s">
        <v>65</v>
      </c>
      <c r="D37" s="40" t="s">
        <v>66</v>
      </c>
    </row>
    <row r="38" spans="1:8" x14ac:dyDescent="0.3">
      <c r="A38" s="40"/>
      <c r="B38" s="40"/>
      <c r="C38" s="40"/>
      <c r="D38" s="40"/>
    </row>
  </sheetData>
  <mergeCells count="37">
    <mergeCell ref="B29:D29"/>
    <mergeCell ref="B30:D30"/>
    <mergeCell ref="B31:D31"/>
    <mergeCell ref="B32:D32"/>
    <mergeCell ref="B33:D33"/>
    <mergeCell ref="B34:D34"/>
    <mergeCell ref="B21:D21"/>
    <mergeCell ref="B22:D22"/>
    <mergeCell ref="B23:D23"/>
    <mergeCell ref="B24:D24"/>
    <mergeCell ref="B25:D25"/>
    <mergeCell ref="B26:D26"/>
    <mergeCell ref="B15:D15"/>
    <mergeCell ref="B16:D16"/>
    <mergeCell ref="B17:D17"/>
    <mergeCell ref="B18:D18"/>
    <mergeCell ref="B19:D19"/>
    <mergeCell ref="B20:D20"/>
    <mergeCell ref="B9:D9"/>
    <mergeCell ref="B10:D10"/>
    <mergeCell ref="B11:D11"/>
    <mergeCell ref="B12:D12"/>
    <mergeCell ref="B13:D13"/>
    <mergeCell ref="B14:D14"/>
    <mergeCell ref="B4:D4"/>
    <mergeCell ref="E4:F4"/>
    <mergeCell ref="B5:D5"/>
    <mergeCell ref="B6:D6"/>
    <mergeCell ref="B7:D7"/>
    <mergeCell ref="B8:D8"/>
    <mergeCell ref="A1:A2"/>
    <mergeCell ref="C1:D1"/>
    <mergeCell ref="E1:F1"/>
    <mergeCell ref="C2:D2"/>
    <mergeCell ref="E2:F2"/>
    <mergeCell ref="B3:D3"/>
    <mergeCell ref="E3:F3"/>
  </mergeCells>
  <conditionalFormatting sqref="G6:G14 G21:G26 G16:G19">
    <cfRule type="cellIs" dxfId="40" priority="2" operator="equal">
      <formula>"Returned"</formula>
    </cfRule>
    <cfRule type="cellIs" dxfId="39" priority="5" operator="equal">
      <formula>"Ready To Order"</formula>
    </cfRule>
    <cfRule type="cellIs" dxfId="38" priority="6" operator="equal">
      <formula>"UNP"</formula>
    </cfRule>
    <cfRule type="containsText" dxfId="37" priority="7" operator="containsText" text="Ordered">
      <formula>NOT(ISERROR(SEARCH("Ordered",G6)))</formula>
    </cfRule>
    <cfRule type="containsText" dxfId="36" priority="8" operator="containsText" text="Pick Up">
      <formula>NOT(ISERROR(SEARCH("Pick Up",G6)))</formula>
    </cfRule>
    <cfRule type="containsText" dxfId="35" priority="9" operator="containsText" text="Complete">
      <formula>NOT(ISERROR(SEARCH("Complete",G6)))</formula>
    </cfRule>
  </conditionalFormatting>
  <conditionalFormatting sqref="G30:G33">
    <cfRule type="containsText" dxfId="34" priority="4" operator="containsText" text="Given">
      <formula>NOT(ISERROR(SEARCH("Given",G30)))</formula>
    </cfRule>
  </conditionalFormatting>
  <conditionalFormatting sqref="G30:G34">
    <cfRule type="containsText" dxfId="33" priority="3" operator="containsText" text="Returned">
      <formula>NOT(ISERROR(SEARCH("Returned",G30)))</formula>
    </cfRule>
  </conditionalFormatting>
  <conditionalFormatting sqref="G6:G14 G21:G26 G16:G19">
    <cfRule type="cellIs" dxfId="32" priority="1" operator="equal">
      <formula>"In Stock"</formula>
    </cfRule>
  </conditionalFormatting>
  <dataValidations count="3">
    <dataValidation type="list" allowBlank="1" showInputMessage="1" showErrorMessage="1" sqref="G30:G34" xr:uid="{77987B07-F81F-47A9-AD21-2778D84E5EEA}">
      <formula1>"--,Returned, Given"</formula1>
    </dataValidation>
    <dataValidation type="list" allowBlank="1" showInputMessage="1" showErrorMessage="1" sqref="G16:G19 G21:G24 G26 G6:G14" xr:uid="{E5200D05-D4B8-4CFB-8702-C2D97465F92F}">
      <formula1>"UNP, Ready To Order, Ordered, In Stock, Pick Up, Complete, Returned"</formula1>
    </dataValidation>
    <dataValidation type="decimal" allowBlank="1" showInputMessage="1" showErrorMessage="1" sqref="L2" xr:uid="{9F85FC28-BCF0-4AA2-8B2D-EB43DE24BF91}">
      <formula1>19</formula1>
      <formula2>26</formula2>
    </dataValidation>
  </dataValidations>
  <hyperlinks>
    <hyperlink ref="A1:A2" location="Menu!A1" display="Back to Menu" xr:uid="{A49D622F-B552-4589-8109-3F0FFD838EDF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8289" r:id="rId3" name="Button 1">
              <controlPr defaultSize="0" print="0" autoFill="0" autoPict="0" macro="[0]!ExchangeButton">
                <anchor moveWithCells="1" sizeWithCells="1">
                  <from>
                    <xdr:col>10</xdr:col>
                    <xdr:colOff>15240</xdr:colOff>
                    <xdr:row>10</xdr:row>
                    <xdr:rowOff>190500</xdr:rowOff>
                  </from>
                  <to>
                    <xdr:col>12</xdr:col>
                    <xdr:colOff>15240</xdr:colOff>
                    <xdr:row>12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8290" r:id="rId4" name="Button 2">
              <controlPr defaultSize="0" print="0" autoFill="0" autoPict="0" macro="[0]!InventoryInteract">
                <anchor moveWithCells="1" sizeWithCells="1">
                  <from>
                    <xdr:col>9</xdr:col>
                    <xdr:colOff>640080</xdr:colOff>
                    <xdr:row>18</xdr:row>
                    <xdr:rowOff>213360</xdr:rowOff>
                  </from>
                  <to>
                    <xdr:col>12</xdr:col>
                    <xdr:colOff>30480</xdr:colOff>
                    <xdr:row>21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8291" r:id="rId5" name="Button 3">
              <controlPr defaultSize="0" print="0" autoFill="0" autoPict="0" macro="[0]!_xludf.Terminate">
                <anchor moveWithCells="1" sizeWithCells="1">
                  <from>
                    <xdr:col>9</xdr:col>
                    <xdr:colOff>601980</xdr:colOff>
                    <xdr:row>32</xdr:row>
                    <xdr:rowOff>167640</xdr:rowOff>
                  </from>
                  <to>
                    <xdr:col>12</xdr:col>
                    <xdr:colOff>0</xdr:colOff>
                    <xdr:row>33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8292" r:id="rId6" name="Button 4">
              <controlPr defaultSize="0" print="0" autoFill="0" autoPict="0" macro="[0]!MarkAsSOS">
                <anchor moveWithCells="1" sizeWithCells="1">
                  <from>
                    <xdr:col>9</xdr:col>
                    <xdr:colOff>601980</xdr:colOff>
                    <xdr:row>30</xdr:row>
                    <xdr:rowOff>175260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8293" r:id="rId7" name="Button 5">
              <controlPr defaultSize="0" print="0" autoFill="0" autoPict="0" macro="[0]!UpdateInStockStatus">
                <anchor moveWithCells="1" sizeWithCells="1">
                  <from>
                    <xdr:col>10</xdr:col>
                    <xdr:colOff>0</xdr:colOff>
                    <xdr:row>23</xdr:row>
                    <xdr:rowOff>175260</xdr:rowOff>
                  </from>
                  <to>
                    <xdr:col>12</xdr:col>
                    <xdr:colOff>7620</xdr:colOff>
                    <xdr:row>26</xdr:row>
                    <xdr:rowOff>106680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2B21E3-E0E8-4923-A85D-C119C4FF25D4}">
  <sheetPr codeName="Sheet1"/>
  <dimension ref="A1:N38"/>
  <sheetViews>
    <sheetView zoomScaleNormal="100" workbookViewId="0">
      <selection sqref="A1:L38"/>
    </sheetView>
  </sheetViews>
  <sheetFormatPr defaultRowHeight="14.4" x14ac:dyDescent="0.3"/>
  <cols>
    <col min="1" max="1" width="18.5546875" customWidth="1"/>
    <col min="3" max="3" width="9.44140625" customWidth="1"/>
    <col min="4" max="4" width="10.77734375" customWidth="1"/>
    <col min="5" max="5" width="14.33203125" customWidth="1"/>
    <col min="7" max="7" width="16.5546875" customWidth="1"/>
    <col min="8" max="9" width="10.44140625" customWidth="1"/>
    <col min="11" max="11" width="12.109375" customWidth="1"/>
    <col min="12" max="12" width="13.109375" customWidth="1"/>
  </cols>
  <sheetData>
    <row r="1" spans="1:12" ht="17.25" customHeight="1" x14ac:dyDescent="0.3">
      <c r="A1" s="69" t="s">
        <v>42</v>
      </c>
      <c r="B1" s="20" t="s">
        <v>3</v>
      </c>
      <c r="C1" s="64" t="s">
        <v>0</v>
      </c>
      <c r="D1" s="64"/>
      <c r="E1" s="64" t="s">
        <v>2</v>
      </c>
      <c r="F1" s="64"/>
      <c r="G1" s="20" t="s">
        <v>34</v>
      </c>
      <c r="K1" s="20" t="s">
        <v>38</v>
      </c>
      <c r="L1" s="20" t="s">
        <v>10</v>
      </c>
    </row>
    <row r="2" spans="1:12" ht="17.25" customHeight="1" x14ac:dyDescent="0.3">
      <c r="A2" s="70"/>
      <c r="B2" s="2"/>
      <c r="C2" s="63"/>
      <c r="D2" s="63"/>
      <c r="E2" s="63"/>
      <c r="F2" s="63"/>
      <c r="G2" s="1"/>
      <c r="K2" s="4" t="s">
        <v>9</v>
      </c>
      <c r="L2" s="4"/>
    </row>
    <row r="3" spans="1:12" ht="17.25" customHeight="1" x14ac:dyDescent="0.3">
      <c r="A3" s="20" t="s">
        <v>1</v>
      </c>
      <c r="B3" s="71" t="s">
        <v>4</v>
      </c>
      <c r="C3" s="72"/>
      <c r="D3" s="73"/>
      <c r="E3" s="71" t="s">
        <v>49</v>
      </c>
      <c r="F3" s="73"/>
      <c r="G3" s="20" t="s">
        <v>5</v>
      </c>
      <c r="K3" s="1" t="s">
        <v>11</v>
      </c>
      <c r="L3" s="1"/>
    </row>
    <row r="4" spans="1:12" ht="17.25" customHeight="1" x14ac:dyDescent="0.3">
      <c r="A4" s="1" t="s">
        <v>39</v>
      </c>
      <c r="B4" s="74"/>
      <c r="C4" s="74"/>
      <c r="D4" s="74"/>
      <c r="E4" s="63"/>
      <c r="F4" s="63"/>
      <c r="G4" s="1"/>
      <c r="K4" s="4" t="s">
        <v>12</v>
      </c>
      <c r="L4" s="4"/>
    </row>
    <row r="5" spans="1:12" ht="17.25" customHeight="1" x14ac:dyDescent="0.3">
      <c r="A5" s="20" t="s">
        <v>6</v>
      </c>
      <c r="B5" s="64" t="s">
        <v>7</v>
      </c>
      <c r="C5" s="64"/>
      <c r="D5" s="64"/>
      <c r="E5" s="20" t="s">
        <v>8</v>
      </c>
      <c r="F5" s="20" t="s">
        <v>35</v>
      </c>
      <c r="G5" s="20" t="s">
        <v>36</v>
      </c>
      <c r="K5" s="1" t="s">
        <v>13</v>
      </c>
      <c r="L5" s="1"/>
    </row>
    <row r="6" spans="1:12" ht="17.25" customHeight="1" x14ac:dyDescent="0.3">
      <c r="A6" s="3"/>
      <c r="B6" s="62" t="s">
        <v>18</v>
      </c>
      <c r="C6" s="62"/>
      <c r="D6" s="62"/>
      <c r="E6" s="4"/>
      <c r="F6" s="4">
        <v>1</v>
      </c>
      <c r="G6" s="25" t="s">
        <v>45</v>
      </c>
      <c r="H6" s="28" t="str">
        <f>HYPERLINK("#G6",CHAR(128))</f>
        <v>€</v>
      </c>
      <c r="K6" s="4" t="s">
        <v>14</v>
      </c>
      <c r="L6" s="4"/>
    </row>
    <row r="7" spans="1:12" ht="17.25" customHeight="1" x14ac:dyDescent="0.3">
      <c r="A7" s="2"/>
      <c r="B7" s="63" t="s">
        <v>21</v>
      </c>
      <c r="C7" s="63"/>
      <c r="D7" s="63"/>
      <c r="E7" s="1"/>
      <c r="F7" s="16">
        <v>1</v>
      </c>
      <c r="G7" s="25" t="s">
        <v>45</v>
      </c>
      <c r="H7" s="28" t="str">
        <f>HYPERLINK("#G7",CHAR(128))</f>
        <v>€</v>
      </c>
      <c r="K7" s="1" t="s">
        <v>15</v>
      </c>
      <c r="L7" s="1"/>
    </row>
    <row r="8" spans="1:12" ht="17.25" customHeight="1" x14ac:dyDescent="0.3">
      <c r="A8" s="3"/>
      <c r="B8" s="62" t="s">
        <v>19</v>
      </c>
      <c r="C8" s="62"/>
      <c r="D8" s="62"/>
      <c r="E8" s="4"/>
      <c r="F8" s="4">
        <v>1</v>
      </c>
      <c r="G8" s="25" t="s">
        <v>45</v>
      </c>
      <c r="H8" s="28" t="str">
        <f>HYPERLINK("#G8",CHAR(128))</f>
        <v>€</v>
      </c>
      <c r="K8" s="4" t="s">
        <v>16</v>
      </c>
      <c r="L8" s="4"/>
    </row>
    <row r="9" spans="1:12" ht="17.25" customHeight="1" x14ac:dyDescent="0.3">
      <c r="A9" s="2"/>
      <c r="B9" s="63" t="s">
        <v>20</v>
      </c>
      <c r="C9" s="63"/>
      <c r="D9" s="63"/>
      <c r="E9" s="1"/>
      <c r="F9" s="16">
        <v>1</v>
      </c>
      <c r="G9" s="25" t="s">
        <v>45</v>
      </c>
      <c r="H9" s="28" t="str">
        <f>HYPERLINK("#G9",CHAR(128))</f>
        <v>€</v>
      </c>
      <c r="I9" s="11"/>
      <c r="K9" s="1" t="s">
        <v>17</v>
      </c>
      <c r="L9" s="1"/>
    </row>
    <row r="10" spans="1:12" ht="17.25" customHeight="1" x14ac:dyDescent="0.3">
      <c r="A10" s="3"/>
      <c r="B10" s="62" t="s">
        <v>24</v>
      </c>
      <c r="C10" s="62"/>
      <c r="D10" s="62"/>
      <c r="E10" s="8"/>
      <c r="F10" s="4">
        <v>1</v>
      </c>
      <c r="G10" s="25" t="s">
        <v>45</v>
      </c>
      <c r="H10" s="28" t="str">
        <f>HYPERLINK("#G10",CHAR(128))</f>
        <v>€</v>
      </c>
      <c r="K10" s="15" t="s">
        <v>47</v>
      </c>
      <c r="L10" s="15"/>
    </row>
    <row r="11" spans="1:12" ht="17.25" customHeight="1" x14ac:dyDescent="0.3">
      <c r="A11" s="2"/>
      <c r="B11" s="63" t="s">
        <v>23</v>
      </c>
      <c r="C11" s="63"/>
      <c r="D11" s="63"/>
      <c r="E11" s="1"/>
      <c r="F11" s="16">
        <v>1</v>
      </c>
      <c r="G11" s="25" t="s">
        <v>45</v>
      </c>
      <c r="H11" s="28" t="str">
        <f>HYPERLINK("#G11",CHAR(128))</f>
        <v>€</v>
      </c>
    </row>
    <row r="12" spans="1:12" ht="17.25" customHeight="1" x14ac:dyDescent="0.3">
      <c r="A12" s="5"/>
      <c r="B12" s="62" t="s">
        <v>25</v>
      </c>
      <c r="C12" s="62"/>
      <c r="D12" s="62"/>
      <c r="E12" s="4"/>
      <c r="F12" s="4">
        <v>1</v>
      </c>
      <c r="G12" s="25" t="s">
        <v>45</v>
      </c>
      <c r="H12" s="28" t="str">
        <f>HYPERLINK("#G12",CHAR(128))</f>
        <v>€</v>
      </c>
    </row>
    <row r="13" spans="1:12" ht="17.25" customHeight="1" x14ac:dyDescent="0.3">
      <c r="A13" s="2"/>
      <c r="B13" s="63" t="s">
        <v>26</v>
      </c>
      <c r="C13" s="63"/>
      <c r="D13" s="63"/>
      <c r="E13" s="1"/>
      <c r="F13" s="16">
        <v>1</v>
      </c>
      <c r="G13" s="25" t="s">
        <v>45</v>
      </c>
      <c r="H13" s="28" t="str">
        <f>HYPERLINK("#G13",CHAR(128))</f>
        <v>€</v>
      </c>
    </row>
    <row r="14" spans="1:12" ht="17.25" customHeight="1" x14ac:dyDescent="0.3">
      <c r="A14" s="5"/>
      <c r="B14" s="62" t="s">
        <v>27</v>
      </c>
      <c r="C14" s="62"/>
      <c r="D14" s="62"/>
      <c r="E14" s="4"/>
      <c r="F14" s="4">
        <v>1</v>
      </c>
      <c r="G14" s="25" t="s">
        <v>45</v>
      </c>
      <c r="H14" s="28" t="str">
        <f>HYPERLINK("#G14",CHAR(128))</f>
        <v>€</v>
      </c>
    </row>
    <row r="15" spans="1:12" ht="17.25" customHeight="1" x14ac:dyDescent="0.3">
      <c r="A15" s="2"/>
      <c r="B15" s="68"/>
      <c r="C15" s="68"/>
      <c r="D15" s="68"/>
      <c r="E15" s="1"/>
      <c r="F15" s="16"/>
      <c r="G15" s="16"/>
      <c r="H15" s="14"/>
    </row>
    <row r="16" spans="1:12" ht="17.25" customHeight="1" x14ac:dyDescent="0.3">
      <c r="A16" s="5"/>
      <c r="B16" s="62" t="s">
        <v>28</v>
      </c>
      <c r="C16" s="62"/>
      <c r="D16" s="62"/>
      <c r="E16" s="4"/>
      <c r="F16" s="4">
        <v>1</v>
      </c>
      <c r="G16" s="25" t="s">
        <v>45</v>
      </c>
      <c r="H16" s="23" t="str">
        <f>HYPERLINK("#G16",CHAR(128))</f>
        <v>€</v>
      </c>
    </row>
    <row r="17" spans="1:14" ht="17.25" customHeight="1" x14ac:dyDescent="0.3">
      <c r="A17" s="2"/>
      <c r="B17" s="63" t="s">
        <v>22</v>
      </c>
      <c r="C17" s="63"/>
      <c r="D17" s="63"/>
      <c r="E17" s="1"/>
      <c r="F17" s="16">
        <v>1</v>
      </c>
      <c r="G17" s="25" t="s">
        <v>45</v>
      </c>
      <c r="H17" s="23" t="str">
        <f>HYPERLINK("#G17",CHAR(128))</f>
        <v>€</v>
      </c>
    </row>
    <row r="18" spans="1:14" ht="17.25" customHeight="1" x14ac:dyDescent="0.3">
      <c r="A18" s="5"/>
      <c r="B18" s="62" t="s">
        <v>29</v>
      </c>
      <c r="C18" s="62"/>
      <c r="D18" s="62"/>
      <c r="E18" s="4"/>
      <c r="F18" s="4">
        <v>1</v>
      </c>
      <c r="G18" s="25" t="s">
        <v>45</v>
      </c>
      <c r="H18" s="23" t="str">
        <f>HYPERLINK("#G18",CHAR(128))</f>
        <v>€</v>
      </c>
    </row>
    <row r="19" spans="1:14" ht="17.25" customHeight="1" x14ac:dyDescent="0.3">
      <c r="A19" s="2"/>
      <c r="B19" s="63" t="s">
        <v>30</v>
      </c>
      <c r="C19" s="63"/>
      <c r="D19" s="63"/>
      <c r="E19" s="1"/>
      <c r="F19" s="16">
        <v>1</v>
      </c>
      <c r="G19" s="25" t="s">
        <v>45</v>
      </c>
      <c r="H19" s="23" t="str">
        <f>HYPERLINK("#G19",CHAR(128))</f>
        <v>€</v>
      </c>
    </row>
    <row r="20" spans="1:14" ht="17.25" customHeight="1" x14ac:dyDescent="0.3">
      <c r="A20" s="5"/>
      <c r="B20" s="65"/>
      <c r="C20" s="66"/>
      <c r="D20" s="67"/>
      <c r="E20" s="4"/>
      <c r="F20" s="4"/>
      <c r="G20" s="4"/>
      <c r="H20" s="14"/>
    </row>
    <row r="21" spans="1:14" x14ac:dyDescent="0.3">
      <c r="A21" s="2"/>
      <c r="B21" s="63" t="s">
        <v>33</v>
      </c>
      <c r="C21" s="63"/>
      <c r="D21" s="63"/>
      <c r="E21" s="9"/>
      <c r="F21" s="16">
        <v>1</v>
      </c>
      <c r="G21" s="25" t="s">
        <v>45</v>
      </c>
      <c r="H21" s="23" t="str">
        <f>HYPERLINK("#G21",CHAR(128))</f>
        <v>€</v>
      </c>
    </row>
    <row r="22" spans="1:14" x14ac:dyDescent="0.3">
      <c r="A22" s="5"/>
      <c r="B22" s="62" t="s">
        <v>31</v>
      </c>
      <c r="C22" s="62"/>
      <c r="D22" s="62"/>
      <c r="E22" s="4"/>
      <c r="F22" s="4">
        <v>1</v>
      </c>
      <c r="G22" s="25" t="s">
        <v>45</v>
      </c>
      <c r="H22" s="23" t="str">
        <f>HYPERLINK("#G22",CHAR(128))</f>
        <v>€</v>
      </c>
      <c r="N22" s="2"/>
    </row>
    <row r="23" spans="1:14" x14ac:dyDescent="0.3">
      <c r="A23" s="2"/>
      <c r="B23" s="63" t="s">
        <v>48</v>
      </c>
      <c r="C23" s="63"/>
      <c r="D23" s="63"/>
      <c r="E23" s="1"/>
      <c r="F23" s="16">
        <v>1</v>
      </c>
      <c r="G23" s="25" t="s">
        <v>45</v>
      </c>
      <c r="H23" s="22" t="str">
        <f>HYPERLINK("#G23",CHAR(128))</f>
        <v>€</v>
      </c>
    </row>
    <row r="24" spans="1:14" x14ac:dyDescent="0.3">
      <c r="A24" s="5"/>
      <c r="B24" s="62" t="s">
        <v>32</v>
      </c>
      <c r="C24" s="62"/>
      <c r="D24" s="62"/>
      <c r="E24" s="4"/>
      <c r="F24" s="4">
        <v>1</v>
      </c>
      <c r="G24" s="25" t="s">
        <v>45</v>
      </c>
      <c r="H24" s="22" t="str">
        <f>HYPERLINK("#G24",CHAR(128))</f>
        <v>€</v>
      </c>
    </row>
    <row r="25" spans="1:14" x14ac:dyDescent="0.3">
      <c r="A25" s="2"/>
      <c r="B25" s="63"/>
      <c r="C25" s="63"/>
      <c r="D25" s="63"/>
      <c r="E25" s="1"/>
      <c r="F25" s="16"/>
      <c r="G25" s="16"/>
      <c r="H25" s="14"/>
      <c r="I25" s="12"/>
    </row>
    <row r="26" spans="1:14" x14ac:dyDescent="0.3">
      <c r="A26" s="5"/>
      <c r="B26" s="62" t="s">
        <v>37</v>
      </c>
      <c r="C26" s="62"/>
      <c r="D26" s="62"/>
      <c r="E26" s="4">
        <f>C2</f>
        <v>0</v>
      </c>
      <c r="F26" s="4">
        <v>1</v>
      </c>
      <c r="G26" s="25" t="s">
        <v>45</v>
      </c>
      <c r="H26" s="24" t="str">
        <f>HYPERLINK("#G26",CHAR(128))</f>
        <v>€</v>
      </c>
    </row>
    <row r="28" spans="1:14" x14ac:dyDescent="0.3">
      <c r="J28" s="18"/>
    </row>
    <row r="29" spans="1:14" x14ac:dyDescent="0.3">
      <c r="A29" s="20"/>
      <c r="B29" s="64" t="s">
        <v>50</v>
      </c>
      <c r="C29" s="64"/>
      <c r="D29" s="64"/>
      <c r="E29" s="20" t="s">
        <v>8</v>
      </c>
      <c r="F29" s="20" t="s">
        <v>35</v>
      </c>
      <c r="G29" s="21" t="s">
        <v>36</v>
      </c>
    </row>
    <row r="30" spans="1:14" x14ac:dyDescent="0.3">
      <c r="A30" s="3"/>
      <c r="B30" s="62"/>
      <c r="C30" s="62"/>
      <c r="D30" s="62"/>
      <c r="E30" s="4"/>
      <c r="F30" s="10">
        <v>1</v>
      </c>
      <c r="G30" s="17"/>
      <c r="H30" s="19" t="str">
        <f>HYPERLINK("#G30",CHAR(128))</f>
        <v>€</v>
      </c>
    </row>
    <row r="31" spans="1:14" x14ac:dyDescent="0.3">
      <c r="A31" s="2"/>
      <c r="B31" s="63"/>
      <c r="C31" s="63"/>
      <c r="D31" s="63"/>
      <c r="E31" s="1"/>
      <c r="F31" s="16">
        <v>1</v>
      </c>
      <c r="G31" s="26"/>
      <c r="H31" s="19" t="str">
        <f>HYPERLINK("#G31",CHAR(128))</f>
        <v>€</v>
      </c>
    </row>
    <row r="32" spans="1:14" x14ac:dyDescent="0.3">
      <c r="A32" s="3"/>
      <c r="B32" s="62"/>
      <c r="C32" s="62"/>
      <c r="D32" s="62"/>
      <c r="E32" s="4"/>
      <c r="F32" s="4">
        <v>1</v>
      </c>
      <c r="G32" s="27"/>
      <c r="H32" s="19" t="str">
        <f>HYPERLINK("#G32",CHAR(128))</f>
        <v>€</v>
      </c>
    </row>
    <row r="33" spans="1:8" x14ac:dyDescent="0.3">
      <c r="A33" s="2"/>
      <c r="B33" s="63"/>
      <c r="C33" s="63"/>
      <c r="D33" s="63"/>
      <c r="E33" s="1"/>
      <c r="F33" s="16">
        <v>1</v>
      </c>
      <c r="G33" s="26"/>
      <c r="H33" s="19" t="str">
        <f>HYPERLINK("#G33",CHAR(128))</f>
        <v>€</v>
      </c>
    </row>
    <row r="34" spans="1:8" x14ac:dyDescent="0.3">
      <c r="A34" s="3"/>
      <c r="B34" s="62"/>
      <c r="C34" s="62"/>
      <c r="D34" s="62"/>
      <c r="E34" s="4"/>
      <c r="F34" s="4">
        <v>1</v>
      </c>
      <c r="G34" s="27"/>
      <c r="H34" s="19" t="str">
        <f>HYPERLINK("#G34",CHAR(128))</f>
        <v>€</v>
      </c>
    </row>
    <row r="37" spans="1:8" x14ac:dyDescent="0.3">
      <c r="A37" s="40" t="s">
        <v>40</v>
      </c>
      <c r="B37" s="40" t="s">
        <v>7</v>
      </c>
      <c r="C37" s="40" t="s">
        <v>65</v>
      </c>
      <c r="D37" s="40" t="s">
        <v>66</v>
      </c>
    </row>
    <row r="38" spans="1:8" x14ac:dyDescent="0.3">
      <c r="A38" s="40"/>
      <c r="B38" s="40"/>
      <c r="C38" s="40"/>
      <c r="D38" s="40"/>
    </row>
  </sheetData>
  <mergeCells count="37">
    <mergeCell ref="E1:F1"/>
    <mergeCell ref="C2:D2"/>
    <mergeCell ref="E2:F2"/>
    <mergeCell ref="B3:D3"/>
    <mergeCell ref="B4:D4"/>
    <mergeCell ref="E3:F3"/>
    <mergeCell ref="E4:F4"/>
    <mergeCell ref="A1:A2"/>
    <mergeCell ref="B14:D14"/>
    <mergeCell ref="B10:D10"/>
    <mergeCell ref="B11:D11"/>
    <mergeCell ref="B12:D12"/>
    <mergeCell ref="B13:D13"/>
    <mergeCell ref="B5:D5"/>
    <mergeCell ref="C1:D1"/>
    <mergeCell ref="B6:D6"/>
    <mergeCell ref="B7:D7"/>
    <mergeCell ref="B8:D8"/>
    <mergeCell ref="B9:D9"/>
    <mergeCell ref="B21:D21"/>
    <mergeCell ref="B15:D15"/>
    <mergeCell ref="B30:D30"/>
    <mergeCell ref="B16:D16"/>
    <mergeCell ref="B17:D17"/>
    <mergeCell ref="B18:D18"/>
    <mergeCell ref="B19:D19"/>
    <mergeCell ref="B22:D22"/>
    <mergeCell ref="B29:D29"/>
    <mergeCell ref="B26:D26"/>
    <mergeCell ref="B25:D25"/>
    <mergeCell ref="B20:D20"/>
    <mergeCell ref="B31:D31"/>
    <mergeCell ref="B32:D32"/>
    <mergeCell ref="B33:D33"/>
    <mergeCell ref="B34:D34"/>
    <mergeCell ref="B23:D23"/>
    <mergeCell ref="B24:D24"/>
  </mergeCells>
  <conditionalFormatting sqref="G6:G14 G21:G26 G16:G19">
    <cfRule type="cellIs" dxfId="31" priority="2" operator="equal">
      <formula>"Returned"</formula>
    </cfRule>
    <cfRule type="cellIs" dxfId="30" priority="12" operator="equal">
      <formula>"Ready To Order"</formula>
    </cfRule>
    <cfRule type="cellIs" dxfId="29" priority="13" operator="equal">
      <formula>"UNP"</formula>
    </cfRule>
    <cfRule type="containsText" dxfId="28" priority="14" operator="containsText" text="Ordered">
      <formula>NOT(ISERROR(SEARCH("Ordered",G6)))</formula>
    </cfRule>
    <cfRule type="containsText" dxfId="27" priority="15" operator="containsText" text="Pick Up">
      <formula>NOT(ISERROR(SEARCH("Pick Up",G6)))</formula>
    </cfRule>
    <cfRule type="containsText" dxfId="26" priority="16" operator="containsText" text="Complete">
      <formula>NOT(ISERROR(SEARCH("Complete",G6)))</formula>
    </cfRule>
  </conditionalFormatting>
  <conditionalFormatting sqref="G30:G33">
    <cfRule type="containsText" dxfId="25" priority="4" operator="containsText" text="Given">
      <formula>NOT(ISERROR(SEARCH("Given",G30)))</formula>
    </cfRule>
  </conditionalFormatting>
  <conditionalFormatting sqref="G30:G34">
    <cfRule type="containsText" dxfId="24" priority="3" operator="containsText" text="Returned">
      <formula>NOT(ISERROR(SEARCH("Returned",G30)))</formula>
    </cfRule>
  </conditionalFormatting>
  <conditionalFormatting sqref="G6:G14 G21:G26 G16:G19">
    <cfRule type="cellIs" dxfId="23" priority="1" operator="equal">
      <formula>"In Stock"</formula>
    </cfRule>
  </conditionalFormatting>
  <dataValidations count="3">
    <dataValidation type="decimal" allowBlank="1" showInputMessage="1" showErrorMessage="1" sqref="L2" xr:uid="{7527E896-C660-4838-87BF-DF0EE98B7B8A}">
      <formula1>19</formula1>
      <formula2>26</formula2>
    </dataValidation>
    <dataValidation type="list" allowBlank="1" showInputMessage="1" showErrorMessage="1" sqref="G16:G19 G21:G24 G26 G6:G14" xr:uid="{CFD8070B-3CF9-4334-8473-D077F2C3716E}">
      <formula1>"UNP, Ready To Order, Ordered, In Stock, Pick Up, Complete, Returned"</formula1>
    </dataValidation>
    <dataValidation type="list" allowBlank="1" showInputMessage="1" showErrorMessage="1" sqref="G30:G34" xr:uid="{01B9C70D-5AF7-4248-9017-6FBE7D1B9D7E}">
      <formula1>"--,Returned, Given"</formula1>
    </dataValidation>
  </dataValidations>
  <hyperlinks>
    <hyperlink ref="A1:A2" location="Menu!A1" display="Back to Menu" xr:uid="{BA8DDA18-7F61-4A99-B731-833B39AFB87C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422" r:id="rId3" name="Button 6">
              <controlPr defaultSize="0" print="0" autoFill="0" autoPict="0" macro="[0]!ExchangeButton">
                <anchor moveWithCells="1" sizeWithCells="1">
                  <from>
                    <xdr:col>10</xdr:col>
                    <xdr:colOff>15240</xdr:colOff>
                    <xdr:row>10</xdr:row>
                    <xdr:rowOff>190500</xdr:rowOff>
                  </from>
                  <to>
                    <xdr:col>12</xdr:col>
                    <xdr:colOff>15240</xdr:colOff>
                    <xdr:row>12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4" r:id="rId4" name="Button 8">
              <controlPr defaultSize="0" print="0" autoFill="0" autoPict="0" macro="[0]!InventoryInteract">
                <anchor moveWithCells="1" sizeWithCells="1">
                  <from>
                    <xdr:col>9</xdr:col>
                    <xdr:colOff>640080</xdr:colOff>
                    <xdr:row>18</xdr:row>
                    <xdr:rowOff>213360</xdr:rowOff>
                  </from>
                  <to>
                    <xdr:col>12</xdr:col>
                    <xdr:colOff>30480</xdr:colOff>
                    <xdr:row>21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7" r:id="rId5" name="Button 11">
              <controlPr defaultSize="0" print="0" autoFill="0" autoPict="0" macro="[0]!_xludf.Terminate">
                <anchor moveWithCells="1" sizeWithCells="1">
                  <from>
                    <xdr:col>9</xdr:col>
                    <xdr:colOff>601980</xdr:colOff>
                    <xdr:row>32</xdr:row>
                    <xdr:rowOff>167640</xdr:rowOff>
                  </from>
                  <to>
                    <xdr:col>12</xdr:col>
                    <xdr:colOff>0</xdr:colOff>
                    <xdr:row>33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8" r:id="rId6" name="Button 12">
              <controlPr defaultSize="0" print="0" autoFill="0" autoPict="0" macro="[0]!MarkAsSOS">
                <anchor moveWithCells="1" sizeWithCells="1">
                  <from>
                    <xdr:col>9</xdr:col>
                    <xdr:colOff>601980</xdr:colOff>
                    <xdr:row>30</xdr:row>
                    <xdr:rowOff>175260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9" r:id="rId7" name="Button 13">
              <controlPr defaultSize="0" print="0" autoFill="0" autoPict="0" macro="[0]!UpdateInStockStatus">
                <anchor moveWithCells="1" sizeWithCells="1">
                  <from>
                    <xdr:col>10</xdr:col>
                    <xdr:colOff>0</xdr:colOff>
                    <xdr:row>23</xdr:row>
                    <xdr:rowOff>175260</xdr:rowOff>
                  </from>
                  <to>
                    <xdr:col>12</xdr:col>
                    <xdr:colOff>7620</xdr:colOff>
                    <xdr:row>26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Menu</vt:lpstr>
      <vt:lpstr>Importing</vt:lpstr>
      <vt:lpstr>Pickup</vt:lpstr>
      <vt:lpstr>Master</vt:lpstr>
      <vt:lpstr>Import Sheets</vt:lpstr>
      <vt:lpstr>Charlie_Clark_74CD899D</vt:lpstr>
      <vt:lpstr>Isabella_Taylor_D098F288</vt:lpstr>
      <vt:lpstr>Banks_Rob_B4DD32A8</vt:lpstr>
      <vt:lpstr>Rophone_Mike_747A9E83</vt:lpstr>
      <vt:lpstr>Christ_Jesus_87519091</vt:lpstr>
      <vt:lpstr>Rhea_Dia_A5D0E0B7</vt:lpstr>
      <vt:lpstr>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Rodger Zheng Lu</dc:creator>
  <cp:lastModifiedBy>Lu David</cp:lastModifiedBy>
  <cp:lastPrinted>2023-12-28T05:00:54Z</cp:lastPrinted>
  <dcterms:created xsi:type="dcterms:W3CDTF">2023-08-20T19:28:09Z</dcterms:created>
  <dcterms:modified xsi:type="dcterms:W3CDTF">2024-01-11T22:25:09Z</dcterms:modified>
</cp:coreProperties>
</file>