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Supply 2.0\"/>
    </mc:Choice>
  </mc:AlternateContent>
  <xr:revisionPtr revIDLastSave="0" documentId="8_{7A6392BB-FF9C-420D-BE2F-558F42CD916F}" xr6:coauthVersionLast="47" xr6:coauthVersionMax="47" xr10:uidLastSave="{00000000-0000-0000-0000-000000000000}"/>
  <bookViews>
    <workbookView xWindow="-118" yWindow="-118" windowWidth="33749" windowHeight="18471" tabRatio="856" activeTab="4" xr2:uid="{01218C0E-FF84-42AC-8993-DD76AC11461D}"/>
  </bookViews>
  <sheets>
    <sheet name="Menu" sheetId="48" r:id="rId1"/>
    <sheet name="Emma_Walker_98ED1A83" sheetId="119" r:id="rId2"/>
    <sheet name="Ursula_Jackson_EF45A693" sheetId="120" r:id="rId3"/>
    <sheet name="Liam_Miller_4B7267BC" sheetId="122" r:id="rId4"/>
    <sheet name="Peter_Anderson_2247439B" sheetId="123" r:id="rId5"/>
    <sheet name="Template" sheetId="1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123" l="1"/>
  <c r="H33" i="123"/>
  <c r="H32" i="123"/>
  <c r="H31" i="123"/>
  <c r="H30" i="123"/>
  <c r="H26" i="123"/>
  <c r="E26" i="123"/>
  <c r="H24" i="123"/>
  <c r="H23" i="123"/>
  <c r="H22" i="123"/>
  <c r="H21" i="123"/>
  <c r="H19" i="123"/>
  <c r="H18" i="123"/>
  <c r="H17" i="123"/>
  <c r="H16" i="123"/>
  <c r="H14" i="123"/>
  <c r="H13" i="123"/>
  <c r="H12" i="123"/>
  <c r="H11" i="123"/>
  <c r="H10" i="123"/>
  <c r="H9" i="123"/>
  <c r="H8" i="123"/>
  <c r="H7" i="123"/>
  <c r="H6" i="123"/>
  <c r="H34" i="122"/>
  <c r="H33" i="122"/>
  <c r="H32" i="122"/>
  <c r="H31" i="122"/>
  <c r="H30" i="122"/>
  <c r="H26" i="122"/>
  <c r="E26" i="122"/>
  <c r="H24" i="122"/>
  <c r="H23" i="122"/>
  <c r="H22" i="122"/>
  <c r="H21" i="122"/>
  <c r="H19" i="122"/>
  <c r="H18" i="122"/>
  <c r="H17" i="122"/>
  <c r="H16" i="122"/>
  <c r="H14" i="122"/>
  <c r="H13" i="122"/>
  <c r="H12" i="122"/>
  <c r="H11" i="122"/>
  <c r="H10" i="122"/>
  <c r="H9" i="122"/>
  <c r="H8" i="122"/>
  <c r="H7" i="122"/>
  <c r="H6" i="122"/>
  <c r="H34" i="120"/>
  <c r="H33" i="120"/>
  <c r="H32" i="120"/>
  <c r="H31" i="120"/>
  <c r="H30" i="120"/>
  <c r="H26" i="120"/>
  <c r="E26" i="120"/>
  <c r="H24" i="120"/>
  <c r="H23" i="120"/>
  <c r="H22" i="120"/>
  <c r="H21" i="120"/>
  <c r="H19" i="120"/>
  <c r="H18" i="120"/>
  <c r="H17" i="120"/>
  <c r="H16" i="120"/>
  <c r="H14" i="120"/>
  <c r="H13" i="120"/>
  <c r="H12" i="120"/>
  <c r="H11" i="120"/>
  <c r="H10" i="120"/>
  <c r="H9" i="120"/>
  <c r="H8" i="120"/>
  <c r="H7" i="120"/>
  <c r="H6" i="120"/>
  <c r="H18" i="119"/>
  <c r="H19" i="119"/>
  <c r="H34" i="119"/>
  <c r="H33" i="119"/>
  <c r="H32" i="119"/>
  <c r="H31" i="119"/>
  <c r="H30" i="119"/>
  <c r="H26" i="119"/>
  <c r="E26" i="119"/>
  <c r="H24" i="119"/>
  <c r="H23" i="119"/>
  <c r="H22" i="119"/>
  <c r="H21" i="119"/>
  <c r="H17" i="119"/>
  <c r="H16" i="119"/>
  <c r="H14" i="119"/>
  <c r="H13" i="119"/>
  <c r="H12" i="119"/>
  <c r="H11" i="119"/>
  <c r="H10" i="119"/>
  <c r="H9" i="119"/>
  <c r="H8" i="119"/>
  <c r="H7" i="119"/>
  <c r="H6" i="119"/>
  <c r="E26" i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<sst xmlns="http://schemas.openxmlformats.org/spreadsheetml/2006/main" count="480" uniqueCount="146">
  <si>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</si>
  <si>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</si>
  <si>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</si>
  <si>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</si>
  <si>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</si>
  <si>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</si>
  <si>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</si>
  <si>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</si>
  <si>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</si>
  <si>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</si>
  <si>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</si>
  <si>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</si>
  <si>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</si>
  <si>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</si>
  <si>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</si>
  <si>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</si>
  <si>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</si>
  <si>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</si>
  <si>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</si>
  <si>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</si>
  <si>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</si>
  <si>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</si>
  <si>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</si>
  <si>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</si>
  <si>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</si>
  <si>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</si>
  <si>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</si>
  <si>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</si>
  <si>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</si>
  <si>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</si>
  <si>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</si>
  <si>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</si>
  <si>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</si>
  <si>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</si>
  <si>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</si>
  <si>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</si>
  <si>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</si>
  <si>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</si>
  <si>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</si>
  <si>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</si>
  <si>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</si>
  <si>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</si>
  <si>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</si>
  <si>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</si>
  <si>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</si>
  <si>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S</t>
  </si>
  <si>
    <t>XS</t>
  </si>
  <si>
    <t>XL/TG</t>
  </si>
  <si>
    <t>UNP</t>
  </si>
  <si>
    <t>Female</t>
  </si>
  <si>
    <t>L</t>
  </si>
  <si>
    <t>XL</t>
  </si>
  <si>
    <t>8405-21-907-9466</t>
  </si>
  <si>
    <t>Hand Length</t>
  </si>
  <si>
    <t>3XL</t>
  </si>
  <si>
    <t>FTU Pants</t>
  </si>
  <si>
    <t>Email</t>
  </si>
  <si>
    <t>Extra Items</t>
  </si>
  <si>
    <t>320/126</t>
  </si>
  <si>
    <t>Pick Up</t>
  </si>
  <si>
    <t>330/130</t>
  </si>
  <si>
    <t>UNI</t>
  </si>
  <si>
    <t>8440-20-006-6068</t>
  </si>
  <si>
    <t>28 M</t>
  </si>
  <si>
    <t>1000-21-165-2800</t>
  </si>
  <si>
    <t>8405-20-003-5842</t>
  </si>
  <si>
    <t>8430-20-006-2570</t>
  </si>
  <si>
    <t>8420-20-001-0711</t>
  </si>
  <si>
    <t>8420-20-001-0732</t>
  </si>
  <si>
    <t>8405-21-920-7279</t>
  </si>
  <si>
    <t>8405-20-013-1472</t>
  </si>
  <si>
    <t>Complete</t>
  </si>
  <si>
    <t>19-1/2</t>
  </si>
  <si>
    <t>1000-21-316-1950</t>
  </si>
  <si>
    <t>L (66 inch)</t>
  </si>
  <si>
    <t>8440-21-899-1182</t>
  </si>
  <si>
    <t>L/G</t>
  </si>
  <si>
    <t>8440-20-006-6069</t>
  </si>
  <si>
    <t>Miller</t>
  </si>
  <si>
    <t>Liam</t>
  </si>
  <si>
    <t>Jesus@hotmail.com</t>
  </si>
  <si>
    <t>8405-20-013-1470</t>
  </si>
  <si>
    <t>Walker</t>
  </si>
  <si>
    <t>Emma</t>
  </si>
  <si>
    <t>98ED1A83</t>
  </si>
  <si>
    <t>8430-20-006-2569</t>
  </si>
  <si>
    <t>8405-20-004-7517</t>
  </si>
  <si>
    <t>Ready To Order</t>
  </si>
  <si>
    <t>Ordered</t>
  </si>
  <si>
    <t>Jackson</t>
  </si>
  <si>
    <t>Ursula</t>
  </si>
  <si>
    <t>EF45A693</t>
  </si>
  <si>
    <t>8405-21-920-7093</t>
  </si>
  <si>
    <t>1000-21-215-7662</t>
  </si>
  <si>
    <t>8405-21-920-7100</t>
  </si>
  <si>
    <t>4B7267BC</t>
  </si>
  <si>
    <t>7658 (H68-1/2)</t>
  </si>
  <si>
    <t>1000-21-198-7658</t>
  </si>
  <si>
    <t>8405-20-003-5843</t>
  </si>
  <si>
    <t>270/98</t>
  </si>
  <si>
    <t>8430-20-006-2539</t>
  </si>
  <si>
    <t>8405-20-013-1473</t>
  </si>
  <si>
    <t>9.5D</t>
  </si>
  <si>
    <t>8430-20-A0X-9203</t>
  </si>
  <si>
    <t>1000-21-059-7030</t>
  </si>
  <si>
    <t>8405-20-004-7490</t>
  </si>
  <si>
    <t>8440-20-008-7938</t>
  </si>
  <si>
    <t>8405-20-004-7513</t>
  </si>
  <si>
    <t>8405-21-909-2402</t>
  </si>
  <si>
    <t>(S/M - P/M)</t>
  </si>
  <si>
    <t>8415-20-006-8916</t>
  </si>
  <si>
    <t>UNP, Pick Up, Ready To Order, Complete</t>
  </si>
  <si>
    <t>UNP, Ordered</t>
  </si>
  <si>
    <t>1000-21-059-6744</t>
  </si>
  <si>
    <t>R (50 inch)</t>
  </si>
  <si>
    <t>8440-21-905-7384</t>
  </si>
  <si>
    <t>8405-20-004-7488</t>
  </si>
  <si>
    <t>Returned</t>
  </si>
  <si>
    <t>5XL</t>
  </si>
  <si>
    <t>1000-21-264-2600</t>
  </si>
  <si>
    <t>UNP, Ready To Order, Ordered, Complete, Returned</t>
  </si>
  <si>
    <t>(2XS / 2TP)</t>
  </si>
  <si>
    <t>1001-21-154-1000</t>
  </si>
  <si>
    <t>6746 (H56-1/2)</t>
  </si>
  <si>
    <t>1000-21-198-6746</t>
  </si>
  <si>
    <t>8420-20-001-0728</t>
  </si>
  <si>
    <t>8405-21-907-9958</t>
  </si>
  <si>
    <t>REG</t>
  </si>
  <si>
    <t>8440-20-008-7936</t>
  </si>
  <si>
    <t>20M</t>
  </si>
  <si>
    <t>8410-21-912-7791</t>
  </si>
  <si>
    <t>Anderson</t>
  </si>
  <si>
    <t>Peter</t>
  </si>
  <si>
    <t>2247439B</t>
  </si>
  <si>
    <t>8405-20-003-5837</t>
  </si>
  <si>
    <t>8405-21-920-7275</t>
  </si>
  <si>
    <t>8405-20-013-1467</t>
  </si>
  <si>
    <t>8405-20-004-7483</t>
  </si>
  <si>
    <t>1000-21-059-8032</t>
  </si>
  <si>
    <t>26M</t>
  </si>
  <si>
    <t>8410-21-912-7795</t>
  </si>
  <si>
    <t>7656 (H66-1/2)</t>
  </si>
  <si>
    <t>1000-21-198-7656</t>
  </si>
  <si>
    <t>XL (60 inch)</t>
  </si>
  <si>
    <t>8440-20-005-2931</t>
  </si>
  <si>
    <t>8405-21-920-7098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</si>
</sst>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2" fillId="0" borderId="8" xfId="3" applyFill="1" applyBorder="1" applyAlignment="1">
      <alignment horizontal="center" vertical="center"/>
    </xf>
    <xf numFmtId="0" fontId="5" fillId="0" borderId="9" xfId="3" applyFont="1" applyBorder="1" applyAlignment="1">
      <alignment horizontal="center" vertical="center"/>
    </xf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10" fillId="5" borderId="10" xfId="3" applyFont="1" applyFill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3" fillId="3" borderId="1" xfId="2" applyFont="1" applyBorder="1" applyAlignment="1">
      <alignment horizontal="center" vertical="center" wrapText="1"/>
    </xf>
    <xf numFmtId="165" fontId="0" fillId="0" borderId="9" xfId="0" applyNumberFormat="1" applyBorder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56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C39BE1"/>
      <color rgb="FF70AE8C"/>
      <color rgb="FFDAA100"/>
      <color rgb="FF03E4DF"/>
      <color rgb="FF699BFF"/>
      <color rgb="FFFB873F"/>
      <color rgb="FFFF7575"/>
      <color rgb="FFF6F66A"/>
      <color rgb="FFFF9371"/>
      <color rgb="FFCADD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307571</xdr:colOff>
          <xdr:row>0</xdr:row>
          <xdr:rowOff>0</xdr:rowOff>
        </xdr:from>
        <xdr:to>
          <xdr:col>7</xdr:col>
          <xdr:colOff>490451</xdr:colOff>
          <xdr:row>0</xdr:row>
          <xdr:rowOff>482138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349135</xdr:colOff>
          <xdr:row>0</xdr:row>
          <xdr:rowOff>0</xdr:rowOff>
        </xdr:from>
        <xdr:to>
          <xdr:col>12</xdr:col>
          <xdr:colOff>523702</xdr:colOff>
          <xdr:row>0</xdr:row>
          <xdr:rowOff>473825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606829</xdr:colOff>
          <xdr:row>0</xdr:row>
          <xdr:rowOff>0</xdr:rowOff>
        </xdr:from>
        <xdr:to>
          <xdr:col>10</xdr:col>
          <xdr:colOff>174567</xdr:colOff>
          <xdr:row>0</xdr:row>
          <xdr:rowOff>482138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83127</xdr:colOff>
          <xdr:row>0</xdr:row>
          <xdr:rowOff>0</xdr:rowOff>
        </xdr:from>
        <xdr:to>
          <xdr:col>15</xdr:col>
          <xdr:colOff>257695</xdr:colOff>
          <xdr:row>0</xdr:row>
          <xdr:rowOff>482138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1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1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1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2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2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3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3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164A180D-0A56-4B5F-847C-A8C2A494E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10D6ED12-0377-4D2E-AF69-97C2BEBC3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8FA6D2D6-F8C1-4574-BB8B-6D7139232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4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4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4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5" totalsRowShown="0" headerRowDxfId="49" dataDxfId="47" headerRowBorderDxfId="48" tableBorderDxfId="46" totalsRowBorderDxfId="45" headerRowCellStyle="60% - Accent5">
  <autoFilter ref="A1:E5" xr:uid="{7E3155DF-3CB2-4063-8346-D3006162EB2E}"/>
  <sortState xmlns:xlrd2="http://schemas.microsoft.com/office/spreadsheetml/2017/richdata2" ref="A2:E5">
    <sortCondition ref="A1:A5"/>
  </sortState>
  <tableColumns count="5">
    <tableColumn id="1" xr3:uid="{4A3C96D4-74F9-46DA-B54B-0CD347E35136}" name="Surname" dataDxfId="44" dataCellStyle="Hyperlink"/>
    <tableColumn id="2" xr3:uid="{2B90B92F-5F96-4EDA-9BBB-0E797162ECC4}" name="First Name" dataDxfId="43" dataCellStyle="Hyperlink"/>
    <tableColumn id="8" xr3:uid="{CFE0A41F-FE26-4CF3-BAA8-F6CEC7B006D4}" name="Status" dataDxfId="42" dataCellStyle="Hyperlink"/>
    <tableColumn id="3" xr3:uid="{EBBDE5FC-4AD9-4996-A6CE-25D9B52D4D03}" name="Date" dataDxfId="41"/>
    <tableColumn id="4" xr3:uid="{854BBB0E-E50E-4F6C-90CC-6180E0CE5D32}" name="ID" dataDxfId="4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5"/>
  <sheetViews>
    <sheetView workbookViewId="0">
      <selection activeCell="A2" sqref="A2:E5"/>
    </sheetView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5" ht="43.85" customHeight="1" x14ac:dyDescent="0.3">
      <c r="A1" s="7" t="s">
        <v>0</v>
      </c>
      <c r="B1" s="6" t="s">
        <v>2</v>
      </c>
      <c r="C1" s="33" t="s">
        <v>36</v>
      </c>
      <c r="D1" s="6" t="s">
        <v>40</v>
      </c>
      <c r="E1" s="15" t="s">
        <v>41</v>
      </c>
    </row>
    <row r="2" spans="1:5" x14ac:dyDescent="0.3">
      <c r="A2" s="13" t="s">
        <v>131</v>
      </c>
      <c r="B2" s="14" t="s">
        <v>132</v>
      </c>
      <c r="C2" s="32"/>
      <c r="D2" s="48">
        <v>45182.005682870367</v>
      </c>
      <c r="E2" s="49" t="s">
        <v>133</v>
      </c>
    </row>
    <row r="3" spans="1:5" ht="45.2" x14ac:dyDescent="0.3">
      <c r="A3" s="13" t="s">
        <v>89</v>
      </c>
      <c r="B3" s="14" t="s">
        <v>90</v>
      </c>
      <c r="C3" s="32" t="s">
        <v>112</v>
      </c>
      <c r="D3" s="34">
        <v>45181.918796296297</v>
      </c>
      <c r="E3" s="30" t="s">
        <v>91</v>
      </c>
    </row>
    <row r="4" spans="1:5" ht="30.15" x14ac:dyDescent="0.3">
      <c r="A4" s="13" t="s">
        <v>78</v>
      </c>
      <c r="B4" s="14" t="s">
        <v>79</v>
      </c>
      <c r="C4" s="32" t="s">
        <v>120</v>
      </c>
      <c r="D4" s="34">
        <v>45181.939467592594</v>
      </c>
      <c r="E4" s="30" t="s">
        <v>95</v>
      </c>
    </row>
    <row r="5" spans="1:5" x14ac:dyDescent="0.3">
      <c r="A5" s="13" t="s">
        <v>82</v>
      </c>
      <c r="B5" s="14" t="s">
        <v>83</v>
      </c>
      <c r="C5" s="32" t="s">
        <v>111</v>
      </c>
      <c r="D5" s="34">
        <v>45181.91574074074</v>
      </c>
      <c r="E5" s="30" t="s">
        <v>84</v>
      </c>
    </row>
  </sheetData>
  <conditionalFormatting sqref="C2:C5">
    <cfRule type="cellIs" dxfId="55" priority="10" operator="equal">
      <formula>"Returned"</formula>
    </cfRule>
    <cfRule type="cellIs" dxfId="54" priority="7" operator="equal">
      <formula>"Ready To Order"</formula>
    </cfRule>
    <cfRule type="containsText" dxfId="53" priority="1" operator="containsText" text="UNP">
      <formula>NOT(ISERROR(SEARCH("UNP",C2)))</formula>
    </cfRule>
    <cfRule type="containsText" dxfId="52" priority="8" operator="containsText" text="Ordered">
      <formula>NOT(ISERROR(SEARCH("Ordered",C2)))</formula>
    </cfRule>
    <cfRule type="containsText" dxfId="51" priority="2" operator="containsText" text="Pick Up">
      <formula>NOT(ISERROR(SEARCH("Pick Up",C2)))</formula>
    </cfRule>
    <cfRule type="containsText" dxfId="50" priority="9" operator="containsText" text="Complete">
      <formula>NOT(ISERROR(SEARCH("Complete",C2)))</formula>
    </cfRule>
  </conditionalFormatting>
  <hyperlinks>
    <hyperlink ref="A5" location="'Emma_Walker_98ED1A83'!A1" display="Walker" xr:uid="{FE9F71EA-200C-47C3-B428-224107A25F24}"/>
    <hyperlink ref="A3" location="'Ursula_Jackson_EF45A693'!A1" display="Jackson" xr:uid="{A66E3121-1197-430E-8D5B-AA333FC650CC}"/>
    <hyperlink ref="A4" location="'Liam_Miller_4B7267BC'!A1" display="Miller" xr:uid="{90F513B6-2ABA-4574-BAF6-2FFB694AF3EF}"/>
    <hyperlink ref="A2" location="'Peter_Anderson_2247439B'!A1" display="Anderson" xr:uid="{61F08884-2388-4CF8-87A6-7130D5CF51E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307571</xdr:colOff>
                    <xdr:row>0</xdr:row>
                    <xdr:rowOff>0</xdr:rowOff>
                  </from>
                  <to>
                    <xdr:col>7</xdr:col>
                    <xdr:colOff>490451</xdr:colOff>
                    <xdr:row>0</xdr:row>
                    <xdr:rowOff>482138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349135</xdr:colOff>
                    <xdr:row>0</xdr:row>
                    <xdr:rowOff>0</xdr:rowOff>
                  </from>
                  <to>
                    <xdr:col>12</xdr:col>
                    <xdr:colOff>523702</xdr:colOff>
                    <xdr:row>0</xdr:row>
                    <xdr:rowOff>473825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606829</xdr:colOff>
                    <xdr:row>0</xdr:row>
                    <xdr:rowOff>0</xdr:rowOff>
                  </from>
                  <to>
                    <xdr:col>10</xdr:col>
                    <xdr:colOff>174567</xdr:colOff>
                    <xdr:row>0</xdr:row>
                    <xdr:rowOff>482138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83127</xdr:colOff>
                    <xdr:row>0</xdr:row>
                    <xdr:rowOff>0</xdr:rowOff>
                  </from>
                  <to>
                    <xdr:col>15</xdr:col>
                    <xdr:colOff>257695</xdr:colOff>
                    <xdr:row>0</xdr:row>
                    <xdr:rowOff>482138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4286B-D6AC-4641-8A3B-1E9B3509279B}">
  <sheetPr codeName="Sheet8"/>
  <dimension ref="A1:L34"/>
  <sheetViews>
    <sheetView workbookViewId="0">
      <selection activeCell="G12" sqref="G12"/>
    </sheetView>
  </sheetViews>
  <sheetFormatPr defaultRowHeight="15.05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2" t="s">
        <v>42</v>
      </c>
      <c r="B1" s="22" t="s">
        <v>3</v>
      </c>
      <c r="C1" s="37" t="s">
        <v>0</v>
      </c>
      <c r="D1" s="37"/>
      <c r="E1" s="37" t="s">
        <v>2</v>
      </c>
      <c r="F1" s="37"/>
      <c r="G1" s="22" t="s">
        <v>34</v>
      </c>
      <c r="K1" s="22" t="s">
        <v>38</v>
      </c>
      <c r="L1" s="22" t="s">
        <v>10</v>
      </c>
    </row>
    <row r="2" spans="1:12" x14ac:dyDescent="0.3">
      <c r="A2" s="43"/>
      <c r="B2" s="2" t="s">
        <v>43</v>
      </c>
      <c r="C2" s="36" t="s">
        <v>82</v>
      </c>
      <c r="D2" s="36"/>
      <c r="E2" s="36" t="s">
        <v>83</v>
      </c>
      <c r="F2" s="36"/>
      <c r="G2" s="1" t="s">
        <v>84</v>
      </c>
      <c r="K2" s="4" t="s">
        <v>9</v>
      </c>
      <c r="L2" s="4">
        <v>22</v>
      </c>
    </row>
    <row r="3" spans="1:12" x14ac:dyDescent="0.3">
      <c r="A3" s="22" t="s">
        <v>1</v>
      </c>
      <c r="B3" s="44" t="s">
        <v>4</v>
      </c>
      <c r="C3" s="45"/>
      <c r="D3" s="46"/>
      <c r="E3" s="44" t="s">
        <v>56</v>
      </c>
      <c r="F3" s="46"/>
      <c r="G3" s="22" t="s">
        <v>5</v>
      </c>
      <c r="K3" s="1" t="s">
        <v>11</v>
      </c>
      <c r="L3" s="1">
        <v>16</v>
      </c>
    </row>
    <row r="4" spans="1:12" x14ac:dyDescent="0.3">
      <c r="A4" s="1" t="s">
        <v>39</v>
      </c>
      <c r="B4" s="47">
        <v>7345806215</v>
      </c>
      <c r="C4" s="47"/>
      <c r="D4" s="47"/>
      <c r="E4" s="36" t="s">
        <v>80</v>
      </c>
      <c r="F4" s="36"/>
      <c r="G4" s="1" t="s">
        <v>49</v>
      </c>
      <c r="K4" s="4" t="s">
        <v>12</v>
      </c>
      <c r="L4" s="4">
        <v>34</v>
      </c>
    </row>
    <row r="5" spans="1:12" x14ac:dyDescent="0.3">
      <c r="A5" s="22" t="s">
        <v>6</v>
      </c>
      <c r="B5" s="37" t="s">
        <v>7</v>
      </c>
      <c r="C5" s="37"/>
      <c r="D5" s="37"/>
      <c r="E5" s="22" t="s">
        <v>8</v>
      </c>
      <c r="F5" s="22" t="s">
        <v>35</v>
      </c>
      <c r="G5" s="22" t="s">
        <v>36</v>
      </c>
      <c r="K5" s="1" t="s">
        <v>13</v>
      </c>
      <c r="L5" s="1">
        <v>33</v>
      </c>
    </row>
    <row r="6" spans="1:12" x14ac:dyDescent="0.3">
      <c r="A6" s="3" t="s">
        <v>126</v>
      </c>
      <c r="B6" s="35" t="s">
        <v>18</v>
      </c>
      <c r="C6" s="35"/>
      <c r="D6" s="35"/>
      <c r="E6" s="4">
        <v>7044</v>
      </c>
      <c r="F6" s="4">
        <v>1</v>
      </c>
      <c r="G6" s="27" t="s">
        <v>88</v>
      </c>
      <c r="H6" s="31" t="str">
        <f>HYPERLINK("#G6",CHAR(128))</f>
        <v>€</v>
      </c>
      <c r="K6" s="4" t="s">
        <v>14</v>
      </c>
      <c r="L6" s="4">
        <v>30.8</v>
      </c>
    </row>
    <row r="7" spans="1:12" x14ac:dyDescent="0.3">
      <c r="A7" s="2" t="s">
        <v>130</v>
      </c>
      <c r="B7" s="36" t="s">
        <v>21</v>
      </c>
      <c r="C7" s="36"/>
      <c r="D7" s="36"/>
      <c r="E7" s="1" t="s">
        <v>129</v>
      </c>
      <c r="F7" s="18">
        <v>1</v>
      </c>
      <c r="G7" s="27" t="s">
        <v>48</v>
      </c>
      <c r="H7" s="31" t="str">
        <f>HYPERLINK("#G7",CHAR(128))</f>
        <v>€</v>
      </c>
      <c r="K7" s="1" t="s">
        <v>15</v>
      </c>
      <c r="L7" s="1">
        <v>55</v>
      </c>
    </row>
    <row r="8" spans="1:12" x14ac:dyDescent="0.3">
      <c r="A8" s="3" t="s">
        <v>125</v>
      </c>
      <c r="B8" s="35" t="s">
        <v>19</v>
      </c>
      <c r="C8" s="35"/>
      <c r="D8" s="35"/>
      <c r="E8" s="4" t="s">
        <v>45</v>
      </c>
      <c r="F8" s="4">
        <v>1</v>
      </c>
      <c r="G8" s="27" t="s">
        <v>59</v>
      </c>
      <c r="H8" s="31" t="str">
        <f>HYPERLINK("#G8",CHAR(128))</f>
        <v>€</v>
      </c>
      <c r="K8" s="4" t="s">
        <v>16</v>
      </c>
      <c r="L8" s="4">
        <v>311.8</v>
      </c>
    </row>
    <row r="9" spans="1:12" x14ac:dyDescent="0.3">
      <c r="A9" s="2" t="s">
        <v>124</v>
      </c>
      <c r="B9" s="36" t="s">
        <v>20</v>
      </c>
      <c r="C9" s="36"/>
      <c r="D9" s="36"/>
      <c r="E9" s="1" t="s">
        <v>123</v>
      </c>
      <c r="F9" s="18">
        <v>1</v>
      </c>
      <c r="G9" s="27" t="s">
        <v>87</v>
      </c>
      <c r="H9" s="31" t="str">
        <f>HYPERLINK("#G9",CHAR(128))</f>
        <v>€</v>
      </c>
      <c r="I9" s="11"/>
      <c r="K9" s="1" t="s">
        <v>17</v>
      </c>
      <c r="L9" s="1">
        <v>118.2</v>
      </c>
    </row>
    <row r="10" spans="1:12" x14ac:dyDescent="0.3">
      <c r="A10" s="3" t="s">
        <v>65</v>
      </c>
      <c r="B10" s="35" t="s">
        <v>24</v>
      </c>
      <c r="C10" s="35"/>
      <c r="D10" s="35"/>
      <c r="E10" s="8">
        <v>7</v>
      </c>
      <c r="F10" s="4">
        <v>1</v>
      </c>
      <c r="G10" s="27" t="s">
        <v>59</v>
      </c>
      <c r="H10" s="31" t="str">
        <f>HYPERLINK("#G10",CHAR(128))</f>
        <v>€</v>
      </c>
      <c r="K10" s="17" t="s">
        <v>53</v>
      </c>
      <c r="L10" s="17">
        <v>6</v>
      </c>
    </row>
    <row r="11" spans="1:12" x14ac:dyDescent="0.3">
      <c r="A11" s="2" t="s">
        <v>115</v>
      </c>
      <c r="B11" s="36" t="s">
        <v>23</v>
      </c>
      <c r="C11" s="36"/>
      <c r="D11" s="36"/>
      <c r="E11" s="1" t="s">
        <v>114</v>
      </c>
      <c r="F11" s="18">
        <v>1</v>
      </c>
      <c r="G11" s="27" t="s">
        <v>71</v>
      </c>
      <c r="H11" s="31" t="str">
        <f>HYPERLINK("#G11",CHAR(128))</f>
        <v>€</v>
      </c>
    </row>
    <row r="12" spans="1:12" x14ac:dyDescent="0.3">
      <c r="A12" s="5" t="s">
        <v>128</v>
      </c>
      <c r="B12" s="35" t="s">
        <v>25</v>
      </c>
      <c r="C12" s="35"/>
      <c r="D12" s="35"/>
      <c r="E12" s="4" t="s">
        <v>127</v>
      </c>
      <c r="F12" s="4">
        <v>1</v>
      </c>
      <c r="G12" s="27" t="s">
        <v>59</v>
      </c>
      <c r="H12" s="31" t="str">
        <f>HYPERLINK("#G12",CHAR(128))</f>
        <v>€</v>
      </c>
    </row>
    <row r="13" spans="1:12" x14ac:dyDescent="0.3">
      <c r="A13" s="2" t="s">
        <v>62</v>
      </c>
      <c r="B13" s="36" t="s">
        <v>26</v>
      </c>
      <c r="C13" s="36"/>
      <c r="D13" s="36"/>
      <c r="E13" s="1" t="s">
        <v>47</v>
      </c>
      <c r="F13" s="18">
        <v>1</v>
      </c>
      <c r="G13" s="27" t="s">
        <v>71</v>
      </c>
      <c r="H13" s="31" t="str">
        <f>HYPERLINK("#G13",CHAR(128))</f>
        <v>€</v>
      </c>
    </row>
    <row r="14" spans="1:12" x14ac:dyDescent="0.3">
      <c r="A14" s="5" t="s">
        <v>85</v>
      </c>
      <c r="B14" s="35" t="s">
        <v>27</v>
      </c>
      <c r="C14" s="35"/>
      <c r="D14" s="35"/>
      <c r="E14" s="4" t="s">
        <v>58</v>
      </c>
      <c r="F14" s="4">
        <v>1</v>
      </c>
      <c r="G14" s="4" t="s">
        <v>87</v>
      </c>
      <c r="H14" s="31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18"/>
      <c r="G15" s="4"/>
      <c r="H15" s="16"/>
    </row>
    <row r="16" spans="1:12" x14ac:dyDescent="0.3">
      <c r="A16" s="5" t="s">
        <v>52</v>
      </c>
      <c r="B16" s="35" t="s">
        <v>28</v>
      </c>
      <c r="C16" s="35"/>
      <c r="D16" s="35"/>
      <c r="E16" s="4" t="s">
        <v>61</v>
      </c>
      <c r="F16" s="4">
        <v>1</v>
      </c>
      <c r="G16" s="4" t="s">
        <v>71</v>
      </c>
      <c r="H16" s="25" t="str">
        <f>HYPERLINK("#G16",CHAR(128))</f>
        <v>€</v>
      </c>
    </row>
    <row r="17" spans="1:10" x14ac:dyDescent="0.3">
      <c r="A17" s="2" t="s">
        <v>69</v>
      </c>
      <c r="B17" s="36" t="s">
        <v>22</v>
      </c>
      <c r="C17" s="36"/>
      <c r="D17" s="36"/>
      <c r="E17" s="1" t="s">
        <v>50</v>
      </c>
      <c r="F17" s="18">
        <v>1</v>
      </c>
      <c r="G17" s="4" t="s">
        <v>71</v>
      </c>
      <c r="H17" s="25" t="str">
        <f>HYPERLINK("#G17",CHAR(128))</f>
        <v>€</v>
      </c>
    </row>
    <row r="18" spans="1:10" x14ac:dyDescent="0.3">
      <c r="A18" s="5" t="s">
        <v>94</v>
      </c>
      <c r="B18" s="35" t="s">
        <v>29</v>
      </c>
      <c r="C18" s="35"/>
      <c r="D18" s="35"/>
      <c r="E18" s="4">
        <v>7648</v>
      </c>
      <c r="F18" s="4">
        <v>1</v>
      </c>
      <c r="G18" s="4" t="s">
        <v>71</v>
      </c>
      <c r="H18" s="25" t="str">
        <f t="shared" ref="H18:H19" si="0">HYPERLINK("#G17",CHAR(128))</f>
        <v>€</v>
      </c>
    </row>
    <row r="19" spans="1:10" x14ac:dyDescent="0.3">
      <c r="A19" s="2" t="s">
        <v>122</v>
      </c>
      <c r="B19" s="36" t="s">
        <v>30</v>
      </c>
      <c r="C19" s="36"/>
      <c r="D19" s="36"/>
      <c r="E19" s="1" t="s">
        <v>121</v>
      </c>
      <c r="F19" s="18">
        <v>1</v>
      </c>
      <c r="G19" s="4" t="s">
        <v>71</v>
      </c>
      <c r="H19" s="25" t="str">
        <f t="shared" si="0"/>
        <v>€</v>
      </c>
    </row>
    <row r="20" spans="1:10" x14ac:dyDescent="0.3">
      <c r="A20" s="5"/>
      <c r="B20" s="38"/>
      <c r="C20" s="39"/>
      <c r="D20" s="40"/>
      <c r="E20" s="4"/>
      <c r="F20" s="4"/>
      <c r="G20" s="4"/>
      <c r="H20" s="16"/>
    </row>
    <row r="21" spans="1:10" x14ac:dyDescent="0.3">
      <c r="A21" s="2" t="s">
        <v>81</v>
      </c>
      <c r="B21" s="36" t="s">
        <v>33</v>
      </c>
      <c r="C21" s="36"/>
      <c r="D21" s="36"/>
      <c r="E21" s="9">
        <v>6.75</v>
      </c>
      <c r="F21" s="18">
        <v>1</v>
      </c>
      <c r="G21" s="4" t="s">
        <v>87</v>
      </c>
      <c r="H21" s="25" t="str">
        <f>HYPERLINK("#G21",CHAR(128))</f>
        <v>€</v>
      </c>
    </row>
    <row r="22" spans="1:10" x14ac:dyDescent="0.3">
      <c r="A22" s="5" t="s">
        <v>116</v>
      </c>
      <c r="B22" s="35" t="s">
        <v>31</v>
      </c>
      <c r="C22" s="35"/>
      <c r="D22" s="35"/>
      <c r="E22" s="4">
        <v>6744</v>
      </c>
      <c r="F22" s="4">
        <v>1</v>
      </c>
      <c r="G22" s="4" t="s">
        <v>88</v>
      </c>
      <c r="H22" s="25" t="str">
        <f>HYPERLINK("#G22",CHAR(128))</f>
        <v>€</v>
      </c>
    </row>
    <row r="23" spans="1:10" x14ac:dyDescent="0.3">
      <c r="A23" s="2" t="s">
        <v>86</v>
      </c>
      <c r="B23" s="36" t="s">
        <v>55</v>
      </c>
      <c r="C23" s="36"/>
      <c r="D23" s="36"/>
      <c r="E23" s="1">
        <v>7046</v>
      </c>
      <c r="F23" s="18">
        <v>1</v>
      </c>
      <c r="G23" s="4" t="s">
        <v>59</v>
      </c>
      <c r="H23" s="24" t="str">
        <f>HYPERLINK("#G23",CHAR(128))</f>
        <v>€</v>
      </c>
    </row>
    <row r="24" spans="1:10" x14ac:dyDescent="0.3">
      <c r="A24" s="5"/>
      <c r="B24" s="35" t="s">
        <v>32</v>
      </c>
      <c r="C24" s="35"/>
      <c r="D24" s="35"/>
      <c r="E24" s="4"/>
      <c r="F24" s="4">
        <v>1</v>
      </c>
      <c r="G24" s="4" t="s">
        <v>88</v>
      </c>
      <c r="H24" s="24" t="str">
        <f>HYPERLINK("#G24",CHAR(128))</f>
        <v>€</v>
      </c>
    </row>
    <row r="25" spans="1:10" x14ac:dyDescent="0.3">
      <c r="A25" s="2"/>
      <c r="B25" s="36"/>
      <c r="C25" s="36"/>
      <c r="D25" s="36"/>
      <c r="E25" s="1"/>
      <c r="F25" s="18"/>
      <c r="G25" s="4" t="s">
        <v>59</v>
      </c>
      <c r="H25" s="16"/>
      <c r="I25" s="12"/>
    </row>
    <row r="26" spans="1:10" x14ac:dyDescent="0.3">
      <c r="A26" s="5"/>
      <c r="B26" s="35" t="s">
        <v>37</v>
      </c>
      <c r="C26" s="35"/>
      <c r="D26" s="35"/>
      <c r="E26" s="4" t="str">
        <f>C2</f>
        <v>Walker</v>
      </c>
      <c r="F26" s="4">
        <v>1</v>
      </c>
      <c r="G26" s="4" t="s">
        <v>59</v>
      </c>
      <c r="H26" s="26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37" t="s">
        <v>57</v>
      </c>
      <c r="C29" s="37"/>
      <c r="D29" s="37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35"/>
      <c r="C30" s="35"/>
      <c r="D30" s="35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36"/>
      <c r="C31" s="36"/>
      <c r="D31" s="36"/>
      <c r="E31" s="1"/>
      <c r="F31" s="18">
        <v>1</v>
      </c>
      <c r="G31" s="28"/>
      <c r="H31" s="21" t="str">
        <f>HYPERLINK("#G31",CHAR(128))</f>
        <v>€</v>
      </c>
    </row>
    <row r="32" spans="1:10" x14ac:dyDescent="0.3">
      <c r="A32" s="3"/>
      <c r="B32" s="35"/>
      <c r="C32" s="35"/>
      <c r="D32" s="35"/>
      <c r="E32" s="4"/>
      <c r="F32" s="4">
        <v>1</v>
      </c>
      <c r="G32" s="29"/>
      <c r="H32" s="21" t="str">
        <f>HYPERLINK("#G32",CHAR(128))</f>
        <v>€</v>
      </c>
    </row>
    <row r="33" spans="1:8" x14ac:dyDescent="0.3">
      <c r="A33" s="2"/>
      <c r="B33" s="36"/>
      <c r="C33" s="36"/>
      <c r="D33" s="36"/>
      <c r="E33" s="1"/>
      <c r="F33" s="18">
        <v>1</v>
      </c>
      <c r="G33" s="28"/>
      <c r="H33" s="21" t="str">
        <f>HYPERLINK("#G33",CHAR(128))</f>
        <v>€</v>
      </c>
    </row>
    <row r="34" spans="1:8" x14ac:dyDescent="0.3">
      <c r="A34" s="3"/>
      <c r="B34" s="35"/>
      <c r="C34" s="35"/>
      <c r="D34" s="35"/>
      <c r="E34" s="4"/>
      <c r="F34" s="4">
        <v>1</v>
      </c>
      <c r="G34" s="29"/>
      <c r="H34" s="21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39" priority="1" operator="equal">
      <formula>"Returned"</formula>
    </cfRule>
    <cfRule type="cellIs" dxfId="38" priority="4" operator="equal">
      <formula>"Ready To Order"</formula>
    </cfRule>
    <cfRule type="containsText" dxfId="37" priority="5" operator="containsText" text="UNP">
      <formula>NOT(ISERROR(SEARCH("UNP",G6)))</formula>
    </cfRule>
    <cfRule type="containsText" dxfId="36" priority="6" operator="containsText" text="Ordered">
      <formula>NOT(ISERROR(SEARCH("Ordered",G6)))</formula>
    </cfRule>
    <cfRule type="containsText" dxfId="35" priority="7" operator="containsText" text="Pick Up">
      <formula>NOT(ISERROR(SEARCH("Pick Up",G6)))</formula>
    </cfRule>
    <cfRule type="containsText" dxfId="34" priority="8" operator="containsText" text="Complete">
      <formula>NOT(ISERROR(SEARCH("Complete",G6)))</formula>
    </cfRule>
  </conditionalFormatting>
  <conditionalFormatting sqref="G30:G33">
    <cfRule type="containsText" dxfId="33" priority="3" operator="containsText" text="Given">
      <formula>NOT(ISERROR(SEARCH("Given",G30)))</formula>
    </cfRule>
  </conditionalFormatting>
  <conditionalFormatting sqref="G30:G34">
    <cfRule type="containsText" dxfId="3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D3B70145-A91C-43C7-B09E-5B60A4EE89BB}">
      <formula1>"--,Returned, Given"</formula1>
    </dataValidation>
    <dataValidation type="list" allowBlank="1" showInputMessage="1" showErrorMessage="1" sqref="G6:G26" xr:uid="{9D85E255-3892-4AF0-B046-1639E37A538C}">
      <formula1>"UNP, Ready To Order, Ordered, Pick Up, Complete, Returned"</formula1>
    </dataValidation>
    <dataValidation type="decimal" allowBlank="1" showInputMessage="1" showErrorMessage="1" sqref="L2" xr:uid="{A49A1244-2B96-4AF4-9F2E-8A86ED2EB698}">
      <formula1>19</formula1>
      <formula2>26</formula2>
    </dataValidation>
  </dataValidations>
  <hyperlinks>
    <hyperlink ref="A1:A2" location="Menu!A1" display="Back to Menu" xr:uid="{E41B6DDE-6FA1-437B-AD8F-94C2C880A2CC}"/>
  </hyperlink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746-F40D-4881-BFAC-2EDC81E3A4F9}">
  <sheetPr codeName="Sheet9"/>
  <dimension ref="A1:L34"/>
  <sheetViews>
    <sheetView workbookViewId="0">
      <selection activeCell="G18" sqref="G18"/>
    </sheetView>
  </sheetViews>
  <sheetFormatPr defaultRowHeight="15.05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2" t="s">
        <v>42</v>
      </c>
      <c r="B1" s="22" t="s">
        <v>3</v>
      </c>
      <c r="C1" s="37" t="s">
        <v>0</v>
      </c>
      <c r="D1" s="37"/>
      <c r="E1" s="37" t="s">
        <v>2</v>
      </c>
      <c r="F1" s="37"/>
      <c r="G1" s="22" t="s">
        <v>34</v>
      </c>
      <c r="K1" s="22" t="s">
        <v>38</v>
      </c>
      <c r="L1" s="22" t="s">
        <v>10</v>
      </c>
    </row>
    <row r="2" spans="1:12" x14ac:dyDescent="0.3">
      <c r="A2" s="43"/>
      <c r="B2" s="2" t="s">
        <v>43</v>
      </c>
      <c r="C2" s="36" t="s">
        <v>89</v>
      </c>
      <c r="D2" s="36"/>
      <c r="E2" s="36" t="s">
        <v>90</v>
      </c>
      <c r="F2" s="36"/>
      <c r="G2" s="1" t="s">
        <v>91</v>
      </c>
      <c r="K2" s="4" t="s">
        <v>9</v>
      </c>
      <c r="L2" s="4">
        <v>22</v>
      </c>
    </row>
    <row r="3" spans="1:12" x14ac:dyDescent="0.3">
      <c r="A3" s="22" t="s">
        <v>1</v>
      </c>
      <c r="B3" s="44" t="s">
        <v>4</v>
      </c>
      <c r="C3" s="45"/>
      <c r="D3" s="46"/>
      <c r="E3" s="44" t="s">
        <v>56</v>
      </c>
      <c r="F3" s="46"/>
      <c r="G3" s="22" t="s">
        <v>5</v>
      </c>
      <c r="K3" s="1" t="s">
        <v>11</v>
      </c>
      <c r="L3" s="1">
        <v>19.5</v>
      </c>
    </row>
    <row r="4" spans="1:12" x14ac:dyDescent="0.3">
      <c r="A4" s="1" t="s">
        <v>39</v>
      </c>
      <c r="B4" s="47">
        <v>6248507810</v>
      </c>
      <c r="C4" s="47"/>
      <c r="D4" s="47"/>
      <c r="E4" s="36" t="s">
        <v>80</v>
      </c>
      <c r="F4" s="36"/>
      <c r="G4" s="1" t="s">
        <v>44</v>
      </c>
      <c r="K4" s="4" t="s">
        <v>12</v>
      </c>
      <c r="L4" s="4">
        <v>25</v>
      </c>
    </row>
    <row r="5" spans="1:12" x14ac:dyDescent="0.3">
      <c r="A5" s="22" t="s">
        <v>6</v>
      </c>
      <c r="B5" s="37" t="s">
        <v>7</v>
      </c>
      <c r="C5" s="37"/>
      <c r="D5" s="37"/>
      <c r="E5" s="22" t="s">
        <v>8</v>
      </c>
      <c r="F5" s="22" t="s">
        <v>35</v>
      </c>
      <c r="G5" s="22" t="s">
        <v>36</v>
      </c>
      <c r="K5" s="1" t="s">
        <v>13</v>
      </c>
      <c r="L5" s="1">
        <v>30</v>
      </c>
    </row>
    <row r="6" spans="1:12" x14ac:dyDescent="0.3">
      <c r="A6" s="3" t="s">
        <v>104</v>
      </c>
      <c r="B6" s="35" t="s">
        <v>18</v>
      </c>
      <c r="C6" s="35"/>
      <c r="D6" s="35"/>
      <c r="E6" s="4">
        <v>7030</v>
      </c>
      <c r="F6" s="4">
        <v>1</v>
      </c>
      <c r="G6" s="27" t="s">
        <v>48</v>
      </c>
      <c r="H6" s="31" t="str">
        <f>HYPERLINK("#G6",CHAR(128))</f>
        <v>€</v>
      </c>
      <c r="K6" s="4" t="s">
        <v>14</v>
      </c>
      <c r="L6" s="4">
        <v>30</v>
      </c>
    </row>
    <row r="7" spans="1:12" x14ac:dyDescent="0.3">
      <c r="A7" s="2" t="s">
        <v>73</v>
      </c>
      <c r="B7" s="36" t="s">
        <v>21</v>
      </c>
      <c r="C7" s="36"/>
      <c r="D7" s="36"/>
      <c r="E7" s="1" t="s">
        <v>72</v>
      </c>
      <c r="F7" s="18">
        <v>1</v>
      </c>
      <c r="G7" s="27" t="s">
        <v>48</v>
      </c>
      <c r="H7" s="31" t="str">
        <f>HYPERLINK("#G7",CHAR(128))</f>
        <v>€</v>
      </c>
      <c r="K7" s="1" t="s">
        <v>15</v>
      </c>
      <c r="L7" s="1">
        <v>70</v>
      </c>
    </row>
    <row r="8" spans="1:12" x14ac:dyDescent="0.3">
      <c r="A8" s="3" t="s">
        <v>67</v>
      </c>
      <c r="B8" s="35" t="s">
        <v>19</v>
      </c>
      <c r="C8" s="35"/>
      <c r="D8" s="35"/>
      <c r="E8" s="4" t="s">
        <v>46</v>
      </c>
      <c r="F8" s="4">
        <v>1</v>
      </c>
      <c r="G8" s="27" t="s">
        <v>48</v>
      </c>
      <c r="H8" s="31" t="str">
        <f>HYPERLINK("#G8",CHAR(128))</f>
        <v>€</v>
      </c>
      <c r="K8" s="4" t="s">
        <v>16</v>
      </c>
      <c r="L8" s="4">
        <v>324.89999999999998</v>
      </c>
    </row>
    <row r="9" spans="1:12" x14ac:dyDescent="0.3">
      <c r="A9" s="2" t="s">
        <v>108</v>
      </c>
      <c r="B9" s="36" t="s">
        <v>20</v>
      </c>
      <c r="C9" s="36"/>
      <c r="D9" s="36"/>
      <c r="E9" s="1">
        <v>7030</v>
      </c>
      <c r="F9" s="18">
        <v>1</v>
      </c>
      <c r="G9" s="27" t="s">
        <v>48</v>
      </c>
      <c r="H9" s="31" t="str">
        <f>HYPERLINK("#G9",CHAR(128))</f>
        <v>€</v>
      </c>
      <c r="I9" s="11"/>
      <c r="K9" s="1" t="s">
        <v>17</v>
      </c>
      <c r="L9" s="1">
        <v>102.4</v>
      </c>
    </row>
    <row r="10" spans="1:12" x14ac:dyDescent="0.3">
      <c r="A10" s="3" t="s">
        <v>65</v>
      </c>
      <c r="B10" s="35" t="s">
        <v>24</v>
      </c>
      <c r="C10" s="35"/>
      <c r="D10" s="35"/>
      <c r="E10" s="8">
        <v>7</v>
      </c>
      <c r="F10" s="4">
        <v>1</v>
      </c>
      <c r="G10" s="27" t="s">
        <v>48</v>
      </c>
      <c r="H10" s="31" t="str">
        <f>HYPERLINK("#G10",CHAR(128))</f>
        <v>€</v>
      </c>
      <c r="K10" s="17" t="s">
        <v>53</v>
      </c>
      <c r="L10" s="17">
        <v>9</v>
      </c>
    </row>
    <row r="11" spans="1:12" x14ac:dyDescent="0.3">
      <c r="A11" s="2" t="s">
        <v>75</v>
      </c>
      <c r="B11" s="36" t="s">
        <v>23</v>
      </c>
      <c r="C11" s="36"/>
      <c r="D11" s="36"/>
      <c r="E11" s="1" t="s">
        <v>74</v>
      </c>
      <c r="F11" s="18">
        <v>1</v>
      </c>
      <c r="G11" s="27" t="s">
        <v>48</v>
      </c>
      <c r="H11" s="31" t="str">
        <f>HYPERLINK("#G11",CHAR(128))</f>
        <v>€</v>
      </c>
    </row>
    <row r="12" spans="1:12" x14ac:dyDescent="0.3">
      <c r="A12" s="5" t="s">
        <v>106</v>
      </c>
      <c r="B12" s="35" t="s">
        <v>25</v>
      </c>
      <c r="C12" s="35"/>
      <c r="D12" s="35"/>
      <c r="E12" s="4" t="s">
        <v>45</v>
      </c>
      <c r="F12" s="4">
        <v>1</v>
      </c>
      <c r="G12" s="27" t="s">
        <v>48</v>
      </c>
      <c r="H12" s="31" t="str">
        <f>HYPERLINK("#G12",CHAR(128))</f>
        <v>€</v>
      </c>
    </row>
    <row r="13" spans="1:12" x14ac:dyDescent="0.3">
      <c r="A13" s="2" t="s">
        <v>62</v>
      </c>
      <c r="B13" s="36" t="s">
        <v>26</v>
      </c>
      <c r="C13" s="36"/>
      <c r="D13" s="36"/>
      <c r="E13" s="1" t="s">
        <v>47</v>
      </c>
      <c r="F13" s="18">
        <v>1</v>
      </c>
      <c r="G13" s="27" t="s">
        <v>48</v>
      </c>
      <c r="H13" s="31" t="str">
        <f>HYPERLINK("#G13",CHAR(128))</f>
        <v>€</v>
      </c>
    </row>
    <row r="14" spans="1:12" x14ac:dyDescent="0.3">
      <c r="A14" s="5" t="s">
        <v>66</v>
      </c>
      <c r="B14" s="35" t="s">
        <v>27</v>
      </c>
      <c r="C14" s="35"/>
      <c r="D14" s="35"/>
      <c r="E14" s="4" t="s">
        <v>60</v>
      </c>
      <c r="F14" s="4">
        <v>1</v>
      </c>
      <c r="G14" s="4" t="s">
        <v>48</v>
      </c>
      <c r="H14" s="31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18"/>
      <c r="G15" s="4"/>
      <c r="H15" s="16"/>
    </row>
    <row r="16" spans="1:12" x14ac:dyDescent="0.3">
      <c r="A16" s="5" t="s">
        <v>52</v>
      </c>
      <c r="B16" s="35" t="s">
        <v>28</v>
      </c>
      <c r="C16" s="35"/>
      <c r="D16" s="35"/>
      <c r="E16" s="4" t="s">
        <v>61</v>
      </c>
      <c r="F16" s="4">
        <v>1</v>
      </c>
      <c r="G16" s="4" t="s">
        <v>48</v>
      </c>
      <c r="H16" s="25" t="str">
        <f>HYPERLINK("#G16",CHAR(128))</f>
        <v>€</v>
      </c>
    </row>
    <row r="17" spans="1:10" x14ac:dyDescent="0.3">
      <c r="A17" s="2" t="s">
        <v>69</v>
      </c>
      <c r="B17" s="36" t="s">
        <v>22</v>
      </c>
      <c r="C17" s="36"/>
      <c r="D17" s="36"/>
      <c r="E17" s="1" t="s">
        <v>50</v>
      </c>
      <c r="F17" s="18">
        <v>1</v>
      </c>
      <c r="G17" s="4" t="s">
        <v>48</v>
      </c>
      <c r="H17" s="25" t="str">
        <f>HYPERLINK("#G17",CHAR(128))</f>
        <v>€</v>
      </c>
    </row>
    <row r="18" spans="1:10" x14ac:dyDescent="0.3">
      <c r="A18" s="5" t="s">
        <v>92</v>
      </c>
      <c r="B18" s="35" t="s">
        <v>29</v>
      </c>
      <c r="C18" s="35"/>
      <c r="D18" s="35"/>
      <c r="E18" s="4">
        <v>7036</v>
      </c>
      <c r="F18" s="4">
        <v>1</v>
      </c>
      <c r="G18" s="4" t="s">
        <v>48</v>
      </c>
      <c r="H18" s="25" t="str">
        <f>HYPERLINK("#G18",CHAR(128))</f>
        <v>€</v>
      </c>
    </row>
    <row r="19" spans="1:10" x14ac:dyDescent="0.3">
      <c r="A19" s="2" t="s">
        <v>110</v>
      </c>
      <c r="B19" s="36" t="s">
        <v>30</v>
      </c>
      <c r="C19" s="36"/>
      <c r="D19" s="36"/>
      <c r="E19" s="1" t="s">
        <v>109</v>
      </c>
      <c r="F19" s="18">
        <v>1</v>
      </c>
      <c r="G19" s="4" t="s">
        <v>48</v>
      </c>
      <c r="H19" s="25" t="str">
        <f>HYPERLINK("#G19",CHAR(128))</f>
        <v>€</v>
      </c>
    </row>
    <row r="20" spans="1:10" x14ac:dyDescent="0.3">
      <c r="A20" s="5"/>
      <c r="B20" s="38"/>
      <c r="C20" s="39"/>
      <c r="D20" s="40"/>
      <c r="E20" s="4"/>
      <c r="F20" s="4"/>
      <c r="G20" s="4" t="s">
        <v>88</v>
      </c>
      <c r="H20" s="16"/>
    </row>
    <row r="21" spans="1:10" x14ac:dyDescent="0.3">
      <c r="A21" s="2" t="s">
        <v>70</v>
      </c>
      <c r="B21" s="36" t="s">
        <v>33</v>
      </c>
      <c r="C21" s="36"/>
      <c r="D21" s="36"/>
      <c r="E21" s="9">
        <v>7</v>
      </c>
      <c r="F21" s="18">
        <v>1</v>
      </c>
      <c r="G21" s="4" t="s">
        <v>48</v>
      </c>
      <c r="H21" s="25" t="str">
        <f>HYPERLINK("#G21",CHAR(128))</f>
        <v>€</v>
      </c>
    </row>
    <row r="22" spans="1:10" x14ac:dyDescent="0.3">
      <c r="A22" s="5" t="s">
        <v>105</v>
      </c>
      <c r="B22" s="35" t="s">
        <v>31</v>
      </c>
      <c r="C22" s="35"/>
      <c r="D22" s="35"/>
      <c r="E22" s="4">
        <v>7036</v>
      </c>
      <c r="F22" s="4">
        <v>1</v>
      </c>
      <c r="G22" s="4" t="s">
        <v>48</v>
      </c>
      <c r="H22" s="25" t="str">
        <f>HYPERLINK("#G22",CHAR(128))</f>
        <v>€</v>
      </c>
    </row>
    <row r="23" spans="1:10" x14ac:dyDescent="0.3">
      <c r="A23" s="2" t="s">
        <v>107</v>
      </c>
      <c r="B23" s="36" t="s">
        <v>55</v>
      </c>
      <c r="C23" s="36"/>
      <c r="D23" s="36"/>
      <c r="E23" s="1">
        <v>7030</v>
      </c>
      <c r="F23" s="18">
        <v>1</v>
      </c>
      <c r="G23" s="4" t="s">
        <v>48</v>
      </c>
      <c r="H23" s="24" t="str">
        <f>HYPERLINK("#G23",CHAR(128))</f>
        <v>€</v>
      </c>
    </row>
    <row r="24" spans="1:10" x14ac:dyDescent="0.3">
      <c r="A24" s="5"/>
      <c r="B24" s="35" t="s">
        <v>32</v>
      </c>
      <c r="C24" s="35"/>
      <c r="D24" s="35"/>
      <c r="E24" s="4"/>
      <c r="F24" s="4">
        <v>1</v>
      </c>
      <c r="G24" s="4" t="s">
        <v>88</v>
      </c>
      <c r="H24" s="24" t="str">
        <f>HYPERLINK("#G24",CHAR(128))</f>
        <v>€</v>
      </c>
    </row>
    <row r="25" spans="1:10" x14ac:dyDescent="0.3">
      <c r="A25" s="2"/>
      <c r="B25" s="36"/>
      <c r="C25" s="36"/>
      <c r="D25" s="36"/>
      <c r="E25" s="1"/>
      <c r="F25" s="18"/>
      <c r="G25" s="4" t="s">
        <v>88</v>
      </c>
      <c r="H25" s="16"/>
      <c r="I25" s="12"/>
    </row>
    <row r="26" spans="1:10" x14ac:dyDescent="0.3">
      <c r="A26" s="5"/>
      <c r="B26" s="35" t="s">
        <v>37</v>
      </c>
      <c r="C26" s="35"/>
      <c r="D26" s="35"/>
      <c r="E26" s="4" t="str">
        <f>C2</f>
        <v>Jackson</v>
      </c>
      <c r="F26" s="4">
        <v>1</v>
      </c>
      <c r="G26" s="4" t="s">
        <v>88</v>
      </c>
      <c r="H26" s="26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37" t="s">
        <v>57</v>
      </c>
      <c r="C29" s="37"/>
      <c r="D29" s="37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35"/>
      <c r="C30" s="35"/>
      <c r="D30" s="35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36"/>
      <c r="C31" s="36"/>
      <c r="D31" s="36"/>
      <c r="E31" s="1"/>
      <c r="F31" s="18">
        <v>1</v>
      </c>
      <c r="G31" s="28"/>
      <c r="H31" s="21" t="str">
        <f>HYPERLINK("#G31",CHAR(128))</f>
        <v>€</v>
      </c>
    </row>
    <row r="32" spans="1:10" x14ac:dyDescent="0.3">
      <c r="A32" s="3"/>
      <c r="B32" s="35"/>
      <c r="C32" s="35"/>
      <c r="D32" s="35"/>
      <c r="E32" s="4"/>
      <c r="F32" s="4">
        <v>1</v>
      </c>
      <c r="G32" s="29"/>
      <c r="H32" s="21" t="str">
        <f>HYPERLINK("#G32",CHAR(128))</f>
        <v>€</v>
      </c>
    </row>
    <row r="33" spans="1:8" x14ac:dyDescent="0.3">
      <c r="A33" s="2"/>
      <c r="B33" s="36"/>
      <c r="C33" s="36"/>
      <c r="D33" s="36"/>
      <c r="E33" s="1"/>
      <c r="F33" s="18">
        <v>1</v>
      </c>
      <c r="G33" s="28"/>
      <c r="H33" s="21" t="str">
        <f>HYPERLINK("#G33",CHAR(128))</f>
        <v>€</v>
      </c>
    </row>
    <row r="34" spans="1:8" x14ac:dyDescent="0.3">
      <c r="A34" s="3"/>
      <c r="B34" s="35"/>
      <c r="C34" s="35"/>
      <c r="D34" s="35"/>
      <c r="E34" s="4"/>
      <c r="F34" s="4">
        <v>1</v>
      </c>
      <c r="G34" s="29"/>
      <c r="H34" s="21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31" priority="1" operator="equal">
      <formula>"Returned"</formula>
    </cfRule>
    <cfRule type="cellIs" dxfId="30" priority="4" operator="equal">
      <formula>"Ready To Order"</formula>
    </cfRule>
    <cfRule type="containsText" dxfId="29" priority="5" operator="containsText" text="UNP">
      <formula>NOT(ISERROR(SEARCH("UNP",G6)))</formula>
    </cfRule>
    <cfRule type="containsText" dxfId="28" priority="6" operator="containsText" text="Ordered">
      <formula>NOT(ISERROR(SEARCH("Ordered",G6)))</formula>
    </cfRule>
    <cfRule type="containsText" dxfId="27" priority="7" operator="containsText" text="Pick Up">
      <formula>NOT(ISERROR(SEARCH("Pick Up",G6)))</formula>
    </cfRule>
    <cfRule type="containsText" dxfId="26" priority="8" operator="containsText" text="Complete">
      <formula>NOT(ISERROR(SEARCH("Complete",G6)))</formula>
    </cfRule>
  </conditionalFormatting>
  <conditionalFormatting sqref="G30:G33">
    <cfRule type="containsText" dxfId="25" priority="3" operator="containsText" text="Given">
      <formula>NOT(ISERROR(SEARCH("Given",G30)))</formula>
    </cfRule>
  </conditionalFormatting>
  <conditionalFormatting sqref="G30:G34">
    <cfRule type="containsText" dxfId="2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0D1B0F0-A7EA-4E53-BC26-F95CA616CD09}">
      <formula1>"--,Returned, Given"</formula1>
    </dataValidation>
    <dataValidation type="list" allowBlank="1" showInputMessage="1" showErrorMessage="1" sqref="G6:G26" xr:uid="{18200467-416F-4500-9D5B-FD5F8B5684BD}">
      <formula1>"UNP, Ready To Order, Ordered, Pick Up, Complete, Returned"</formula1>
    </dataValidation>
    <dataValidation type="decimal" allowBlank="1" showInputMessage="1" showErrorMessage="1" sqref="L2" xr:uid="{66EF98EC-4673-4187-A716-2D98134783EB}">
      <formula1>19</formula1>
      <formula2>26</formula2>
    </dataValidation>
  </dataValidations>
  <hyperlinks>
    <hyperlink ref="A1:A2" location="Menu!A1" display="Back to Menu" xr:uid="{5C95F691-5BE5-41BD-95C1-991EF9D2694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CCC2-367C-4FE3-93C5-7686CC50758D}">
  <sheetPr codeName="Sheet11"/>
  <dimension ref="A1:L34"/>
  <sheetViews>
    <sheetView workbookViewId="0">
      <selection activeCell="G13" sqref="G13"/>
    </sheetView>
  </sheetViews>
  <sheetFormatPr defaultRowHeight="15.05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2" t="s">
        <v>42</v>
      </c>
      <c r="B1" s="22" t="s">
        <v>3</v>
      </c>
      <c r="C1" s="37" t="s">
        <v>0</v>
      </c>
      <c r="D1" s="37"/>
      <c r="E1" s="37" t="s">
        <v>2</v>
      </c>
      <c r="F1" s="37"/>
      <c r="G1" s="22" t="s">
        <v>34</v>
      </c>
      <c r="K1" s="22" t="s">
        <v>38</v>
      </c>
      <c r="L1" s="22" t="s">
        <v>10</v>
      </c>
    </row>
    <row r="2" spans="1:12" x14ac:dyDescent="0.3">
      <c r="A2" s="43"/>
      <c r="B2" s="2" t="s">
        <v>43</v>
      </c>
      <c r="C2" s="36" t="s">
        <v>78</v>
      </c>
      <c r="D2" s="36"/>
      <c r="E2" s="36" t="s">
        <v>79</v>
      </c>
      <c r="F2" s="36"/>
      <c r="G2" s="1" t="s">
        <v>95</v>
      </c>
      <c r="K2" s="4" t="s">
        <v>9</v>
      </c>
      <c r="L2" s="4">
        <v>26</v>
      </c>
    </row>
    <row r="3" spans="1:12" x14ac:dyDescent="0.3">
      <c r="A3" s="22" t="s">
        <v>1</v>
      </c>
      <c r="B3" s="44" t="s">
        <v>4</v>
      </c>
      <c r="C3" s="45"/>
      <c r="D3" s="46"/>
      <c r="E3" s="44" t="s">
        <v>56</v>
      </c>
      <c r="F3" s="46"/>
      <c r="G3" s="22" t="s">
        <v>5</v>
      </c>
      <c r="K3" s="1" t="s">
        <v>11</v>
      </c>
      <c r="L3" s="1">
        <v>17.899999999999999</v>
      </c>
    </row>
    <row r="4" spans="1:12" x14ac:dyDescent="0.3">
      <c r="A4" s="1" t="s">
        <v>39</v>
      </c>
      <c r="B4" s="47">
        <v>7345806215</v>
      </c>
      <c r="C4" s="47"/>
      <c r="D4" s="47"/>
      <c r="E4" s="36" t="s">
        <v>80</v>
      </c>
      <c r="F4" s="36"/>
      <c r="G4" s="1" t="s">
        <v>49</v>
      </c>
      <c r="K4" s="4" t="s">
        <v>12</v>
      </c>
      <c r="L4" s="4">
        <v>44.1</v>
      </c>
    </row>
    <row r="5" spans="1:12" x14ac:dyDescent="0.3">
      <c r="A5" s="22" t="s">
        <v>6</v>
      </c>
      <c r="B5" s="37" t="s">
        <v>7</v>
      </c>
      <c r="C5" s="37"/>
      <c r="D5" s="37"/>
      <c r="E5" s="22" t="s">
        <v>8</v>
      </c>
      <c r="F5" s="22" t="s">
        <v>35</v>
      </c>
      <c r="G5" s="22" t="s">
        <v>36</v>
      </c>
      <c r="K5" s="1" t="s">
        <v>13</v>
      </c>
      <c r="L5" s="1">
        <v>58</v>
      </c>
    </row>
    <row r="6" spans="1:12" x14ac:dyDescent="0.3">
      <c r="A6" s="3" t="s">
        <v>113</v>
      </c>
      <c r="B6" s="35" t="s">
        <v>18</v>
      </c>
      <c r="C6" s="35"/>
      <c r="D6" s="35"/>
      <c r="E6" s="4">
        <v>6744</v>
      </c>
      <c r="F6" s="4">
        <v>1</v>
      </c>
      <c r="G6" s="27" t="s">
        <v>71</v>
      </c>
      <c r="H6" s="31" t="str">
        <f>HYPERLINK("#G6",CHAR(128))</f>
        <v>€</v>
      </c>
      <c r="K6" s="4" t="s">
        <v>14</v>
      </c>
      <c r="L6" s="4">
        <v>41.5</v>
      </c>
    </row>
    <row r="7" spans="1:12" x14ac:dyDescent="0.3">
      <c r="A7" s="2" t="s">
        <v>64</v>
      </c>
      <c r="B7" s="36" t="s">
        <v>21</v>
      </c>
      <c r="C7" s="36"/>
      <c r="D7" s="36"/>
      <c r="E7" s="1" t="s">
        <v>63</v>
      </c>
      <c r="F7" s="18">
        <v>1</v>
      </c>
      <c r="G7" s="4" t="s">
        <v>88</v>
      </c>
      <c r="H7" s="31" t="str">
        <f>HYPERLINK("#G7",CHAR(128))</f>
        <v>€</v>
      </c>
      <c r="K7" s="1" t="s">
        <v>15</v>
      </c>
      <c r="L7" s="1">
        <v>55.6</v>
      </c>
    </row>
    <row r="8" spans="1:12" x14ac:dyDescent="0.3">
      <c r="A8" s="3" t="s">
        <v>68</v>
      </c>
      <c r="B8" s="35" t="s">
        <v>19</v>
      </c>
      <c r="C8" s="35"/>
      <c r="D8" s="35"/>
      <c r="E8" s="4" t="s">
        <v>51</v>
      </c>
      <c r="F8" s="4">
        <v>1</v>
      </c>
      <c r="G8" s="4" t="s">
        <v>87</v>
      </c>
      <c r="H8" s="31" t="str">
        <f>HYPERLINK("#G8",CHAR(128))</f>
        <v>€</v>
      </c>
      <c r="K8" s="4" t="s">
        <v>16</v>
      </c>
      <c r="L8" s="4">
        <v>269.39999999999998</v>
      </c>
    </row>
    <row r="9" spans="1:12" x14ac:dyDescent="0.3">
      <c r="A9" s="2" t="s">
        <v>97</v>
      </c>
      <c r="B9" s="36" t="s">
        <v>20</v>
      </c>
      <c r="C9" s="36"/>
      <c r="D9" s="36"/>
      <c r="E9" s="1" t="s">
        <v>96</v>
      </c>
      <c r="F9" s="18">
        <v>1</v>
      </c>
      <c r="G9" s="4" t="s">
        <v>88</v>
      </c>
      <c r="H9" s="31" t="str">
        <f>HYPERLINK("#G9",CHAR(128))</f>
        <v>€</v>
      </c>
      <c r="I9" s="11"/>
      <c r="K9" s="1" t="s">
        <v>17</v>
      </c>
      <c r="L9" s="1">
        <v>88.4</v>
      </c>
    </row>
    <row r="10" spans="1:12" x14ac:dyDescent="0.3">
      <c r="A10" s="3" t="s">
        <v>98</v>
      </c>
      <c r="B10" s="35" t="s">
        <v>24</v>
      </c>
      <c r="C10" s="35"/>
      <c r="D10" s="35"/>
      <c r="E10" s="8">
        <v>7.125</v>
      </c>
      <c r="F10" s="4">
        <v>1</v>
      </c>
      <c r="G10" s="4" t="s">
        <v>117</v>
      </c>
      <c r="H10" s="31" t="str">
        <f>HYPERLINK("#G10",CHAR(128))</f>
        <v>€</v>
      </c>
      <c r="K10" s="17" t="s">
        <v>53</v>
      </c>
      <c r="L10" s="17">
        <v>9</v>
      </c>
    </row>
    <row r="11" spans="1:12" x14ac:dyDescent="0.3">
      <c r="A11" s="2" t="s">
        <v>115</v>
      </c>
      <c r="B11" s="36" t="s">
        <v>23</v>
      </c>
      <c r="C11" s="36"/>
      <c r="D11" s="36"/>
      <c r="E11" s="1" t="s">
        <v>114</v>
      </c>
      <c r="F11" s="18">
        <v>1</v>
      </c>
      <c r="G11" s="4" t="s">
        <v>87</v>
      </c>
      <c r="H11" s="31" t="str">
        <f>HYPERLINK("#G11",CHAR(128))</f>
        <v>€</v>
      </c>
    </row>
    <row r="12" spans="1:12" x14ac:dyDescent="0.3">
      <c r="A12" s="5" t="s">
        <v>93</v>
      </c>
      <c r="B12" s="35" t="s">
        <v>25</v>
      </c>
      <c r="C12" s="35"/>
      <c r="D12" s="35"/>
      <c r="E12" s="4" t="s">
        <v>54</v>
      </c>
      <c r="F12" s="4">
        <v>1</v>
      </c>
      <c r="G12" s="4" t="s">
        <v>87</v>
      </c>
      <c r="H12" s="31" t="str">
        <f>HYPERLINK("#G12",CHAR(128))</f>
        <v>€</v>
      </c>
    </row>
    <row r="13" spans="1:12" x14ac:dyDescent="0.3">
      <c r="A13" s="2" t="s">
        <v>77</v>
      </c>
      <c r="B13" s="36" t="s">
        <v>26</v>
      </c>
      <c r="C13" s="36"/>
      <c r="D13" s="36"/>
      <c r="E13" s="1" t="s">
        <v>76</v>
      </c>
      <c r="F13" s="18">
        <v>1</v>
      </c>
      <c r="G13" s="4" t="s">
        <v>87</v>
      </c>
      <c r="H13" s="31" t="str">
        <f>HYPERLINK("#G13",CHAR(128))</f>
        <v>€</v>
      </c>
    </row>
    <row r="14" spans="1:12" x14ac:dyDescent="0.3">
      <c r="A14" s="5" t="s">
        <v>100</v>
      </c>
      <c r="B14" s="35" t="s">
        <v>27</v>
      </c>
      <c r="C14" s="35"/>
      <c r="D14" s="35"/>
      <c r="E14" s="4" t="s">
        <v>99</v>
      </c>
      <c r="F14" s="4">
        <v>1</v>
      </c>
      <c r="G14" s="4" t="s">
        <v>87</v>
      </c>
      <c r="H14" s="31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18"/>
      <c r="G15" s="4"/>
      <c r="H15" s="16"/>
    </row>
    <row r="16" spans="1:12" x14ac:dyDescent="0.3">
      <c r="A16" s="5" t="s">
        <v>52</v>
      </c>
      <c r="B16" s="35" t="s">
        <v>28</v>
      </c>
      <c r="C16" s="35"/>
      <c r="D16" s="35"/>
      <c r="E16" s="4" t="s">
        <v>61</v>
      </c>
      <c r="F16" s="4">
        <v>1</v>
      </c>
      <c r="G16" s="4" t="s">
        <v>48</v>
      </c>
      <c r="H16" s="25" t="str">
        <f>HYPERLINK("#G16",CHAR(128))</f>
        <v>€</v>
      </c>
    </row>
    <row r="17" spans="1:10" x14ac:dyDescent="0.3">
      <c r="A17" s="2" t="s">
        <v>119</v>
      </c>
      <c r="B17" s="36" t="s">
        <v>22</v>
      </c>
      <c r="C17" s="36"/>
      <c r="D17" s="36"/>
      <c r="E17" s="1" t="s">
        <v>118</v>
      </c>
      <c r="F17" s="18">
        <v>1</v>
      </c>
      <c r="G17" s="4" t="s">
        <v>48</v>
      </c>
      <c r="H17" s="25" t="str">
        <f>HYPERLINK("#G17",CHAR(128))</f>
        <v>€</v>
      </c>
    </row>
    <row r="18" spans="1:10" x14ac:dyDescent="0.3">
      <c r="A18" s="5" t="s">
        <v>94</v>
      </c>
      <c r="B18" s="35" t="s">
        <v>29</v>
      </c>
      <c r="C18" s="35"/>
      <c r="D18" s="35"/>
      <c r="E18" s="4">
        <v>7648</v>
      </c>
      <c r="F18" s="4">
        <v>1</v>
      </c>
      <c r="G18" s="4" t="s">
        <v>48</v>
      </c>
      <c r="H18" s="25" t="str">
        <f>HYPERLINK("#G18",CHAR(128))</f>
        <v>€</v>
      </c>
    </row>
    <row r="19" spans="1:10" x14ac:dyDescent="0.3">
      <c r="A19" s="2" t="s">
        <v>110</v>
      </c>
      <c r="B19" s="36" t="s">
        <v>30</v>
      </c>
      <c r="C19" s="36"/>
      <c r="D19" s="36"/>
      <c r="E19" s="1" t="s">
        <v>109</v>
      </c>
      <c r="F19" s="18">
        <v>1</v>
      </c>
      <c r="G19" s="4" t="s">
        <v>48</v>
      </c>
      <c r="H19" s="25" t="str">
        <f>HYPERLINK("#G19",CHAR(128))</f>
        <v>€</v>
      </c>
    </row>
    <row r="20" spans="1:10" x14ac:dyDescent="0.3">
      <c r="A20" s="5"/>
      <c r="B20" s="38"/>
      <c r="C20" s="39"/>
      <c r="D20" s="40"/>
      <c r="E20" s="4"/>
      <c r="F20" s="4"/>
      <c r="G20" s="4"/>
      <c r="H20" s="16"/>
    </row>
    <row r="21" spans="1:10" x14ac:dyDescent="0.3">
      <c r="A21" s="2" t="s">
        <v>101</v>
      </c>
      <c r="B21" s="36" t="s">
        <v>33</v>
      </c>
      <c r="C21" s="36"/>
      <c r="D21" s="36"/>
      <c r="E21" s="9">
        <v>7.125</v>
      </c>
      <c r="F21" s="18">
        <v>1</v>
      </c>
      <c r="G21" s="4" t="s">
        <v>48</v>
      </c>
      <c r="H21" s="25" t="str">
        <f>HYPERLINK("#G21",CHAR(128))</f>
        <v>€</v>
      </c>
    </row>
    <row r="22" spans="1:10" x14ac:dyDescent="0.3">
      <c r="A22" s="5" t="s">
        <v>116</v>
      </c>
      <c r="B22" s="35" t="s">
        <v>31</v>
      </c>
      <c r="C22" s="35"/>
      <c r="D22" s="35"/>
      <c r="E22" s="4">
        <v>6744</v>
      </c>
      <c r="F22" s="4">
        <v>1</v>
      </c>
      <c r="G22" s="4" t="s">
        <v>48</v>
      </c>
      <c r="H22" s="25" t="str">
        <f>HYPERLINK("#G22",CHAR(128))</f>
        <v>€</v>
      </c>
    </row>
    <row r="23" spans="1:10" x14ac:dyDescent="0.3">
      <c r="A23" s="2"/>
      <c r="B23" s="36" t="s">
        <v>55</v>
      </c>
      <c r="C23" s="36"/>
      <c r="D23" s="36"/>
      <c r="E23" s="1"/>
      <c r="F23" s="18">
        <v>1</v>
      </c>
      <c r="G23" s="4" t="s">
        <v>48</v>
      </c>
      <c r="H23" s="24" t="str">
        <f>HYPERLINK("#G23",CHAR(128))</f>
        <v>€</v>
      </c>
    </row>
    <row r="24" spans="1:10" x14ac:dyDescent="0.3">
      <c r="A24" s="5" t="s">
        <v>103</v>
      </c>
      <c r="B24" s="35" t="s">
        <v>32</v>
      </c>
      <c r="C24" s="35"/>
      <c r="D24" s="35"/>
      <c r="E24" s="4" t="s">
        <v>102</v>
      </c>
      <c r="F24" s="4">
        <v>1</v>
      </c>
      <c r="G24" s="4" t="s">
        <v>48</v>
      </c>
      <c r="H24" s="24" t="str">
        <f>HYPERLINK("#G24",CHAR(128))</f>
        <v>€</v>
      </c>
    </row>
    <row r="25" spans="1:10" x14ac:dyDescent="0.3">
      <c r="A25" s="2"/>
      <c r="B25" s="36"/>
      <c r="C25" s="36"/>
      <c r="D25" s="36"/>
      <c r="E25" s="1"/>
      <c r="F25" s="18"/>
      <c r="G25" s="4"/>
      <c r="H25" s="16"/>
      <c r="I25" s="12"/>
    </row>
    <row r="26" spans="1:10" x14ac:dyDescent="0.3">
      <c r="A26" s="5"/>
      <c r="B26" s="35" t="s">
        <v>37</v>
      </c>
      <c r="C26" s="35"/>
      <c r="D26" s="35"/>
      <c r="E26" s="4" t="str">
        <f>C2</f>
        <v>Miller</v>
      </c>
      <c r="F26" s="4">
        <v>1</v>
      </c>
      <c r="G26" s="4" t="s">
        <v>48</v>
      </c>
      <c r="H26" s="26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37" t="s">
        <v>57</v>
      </c>
      <c r="C29" s="37"/>
      <c r="D29" s="37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35"/>
      <c r="C30" s="35"/>
      <c r="D30" s="35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36"/>
      <c r="C31" s="36"/>
      <c r="D31" s="36"/>
      <c r="E31" s="1"/>
      <c r="F31" s="18">
        <v>1</v>
      </c>
      <c r="G31" s="28"/>
      <c r="H31" s="21" t="str">
        <f>HYPERLINK("#G31",CHAR(128))</f>
        <v>€</v>
      </c>
    </row>
    <row r="32" spans="1:10" x14ac:dyDescent="0.3">
      <c r="A32" s="3"/>
      <c r="B32" s="35"/>
      <c r="C32" s="35"/>
      <c r="D32" s="35"/>
      <c r="E32" s="4"/>
      <c r="F32" s="4">
        <v>1</v>
      </c>
      <c r="G32" s="29"/>
      <c r="H32" s="21" t="str">
        <f>HYPERLINK("#G32",CHAR(128))</f>
        <v>€</v>
      </c>
    </row>
    <row r="33" spans="1:8" x14ac:dyDescent="0.3">
      <c r="A33" s="2"/>
      <c r="B33" s="36"/>
      <c r="C33" s="36"/>
      <c r="D33" s="36"/>
      <c r="E33" s="1"/>
      <c r="F33" s="18">
        <v>1</v>
      </c>
      <c r="G33" s="28"/>
      <c r="H33" s="21" t="str">
        <f>HYPERLINK("#G33",CHAR(128))</f>
        <v>€</v>
      </c>
    </row>
    <row r="34" spans="1:8" x14ac:dyDescent="0.3">
      <c r="A34" s="3"/>
      <c r="B34" s="35"/>
      <c r="C34" s="35"/>
      <c r="D34" s="35"/>
      <c r="E34" s="4"/>
      <c r="F34" s="4">
        <v>1</v>
      </c>
      <c r="G34" s="29"/>
      <c r="H34" s="21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23" priority="1" operator="equal">
      <formula>"Returned"</formula>
    </cfRule>
    <cfRule type="cellIs" dxfId="22" priority="4" operator="equal">
      <formula>"Ready To Order"</formula>
    </cfRule>
    <cfRule type="containsText" dxfId="21" priority="5" operator="containsText" text="UNP">
      <formula>NOT(ISERROR(SEARCH("UNP",G6)))</formula>
    </cfRule>
    <cfRule type="containsText" dxfId="20" priority="6" operator="containsText" text="Ordered">
      <formula>NOT(ISERROR(SEARCH("Ordered",G6)))</formula>
    </cfRule>
    <cfRule type="containsText" dxfId="19" priority="7" operator="containsText" text="Pick Up">
      <formula>NOT(ISERROR(SEARCH("Pick Up",G6)))</formula>
    </cfRule>
    <cfRule type="containsText" dxfId="18" priority="8" operator="containsText" text="Complete">
      <formula>NOT(ISERROR(SEARCH("Complete",G6)))</formula>
    </cfRule>
  </conditionalFormatting>
  <conditionalFormatting sqref="G30:G33">
    <cfRule type="containsText" dxfId="17" priority="3" operator="containsText" text="Given">
      <formula>NOT(ISERROR(SEARCH("Given",G30)))</formula>
    </cfRule>
  </conditionalFormatting>
  <conditionalFormatting sqref="G30:G34">
    <cfRule type="containsText" dxfId="1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19F806D0-A0C7-4BF7-9126-F83218CC3302}">
      <formula1>"--,Returned, Given"</formula1>
    </dataValidation>
    <dataValidation type="list" allowBlank="1" showInputMessage="1" showErrorMessage="1" sqref="G6:G26" xr:uid="{9568FF2E-C7C0-43EC-80A4-3AA053DAAF5C}">
      <formula1>"UNP, Ready To Order, Ordered, Pick Up, Complete, Returned"</formula1>
    </dataValidation>
    <dataValidation type="decimal" allowBlank="1" showInputMessage="1" showErrorMessage="1" sqref="L2" xr:uid="{26FC95ED-36C7-4ACE-899B-CD64109C97DC}">
      <formula1>19</formula1>
      <formula2>26</formula2>
    </dataValidation>
  </dataValidations>
  <hyperlinks>
    <hyperlink ref="A1:A2" location="Menu!A1" display="Back to Menu" xr:uid="{6D554FCE-BB6E-4A95-BB94-07DEE6F7CAE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ReCalculat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4270C-F5D6-4BDC-9D18-8FFB4C99D66A}">
  <sheetPr codeName="Sheet3"/>
  <dimension ref="A1:L34"/>
  <sheetViews>
    <sheetView tabSelected="1" workbookViewId="0">
      <selection activeCell="O13" sqref="O13"/>
    </sheetView>
  </sheetViews>
  <sheetFormatPr defaultRowHeight="15.05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2" t="s">
        <v>42</v>
      </c>
      <c r="B1" s="22" t="s">
        <v>3</v>
      </c>
      <c r="C1" s="37" t="s">
        <v>0</v>
      </c>
      <c r="D1" s="37"/>
      <c r="E1" s="37" t="s">
        <v>2</v>
      </c>
      <c r="F1" s="37"/>
      <c r="G1" s="22" t="s">
        <v>34</v>
      </c>
      <c r="K1" s="22" t="s">
        <v>38</v>
      </c>
      <c r="L1" s="22" t="s">
        <v>10</v>
      </c>
    </row>
    <row r="2" spans="1:12" x14ac:dyDescent="0.3">
      <c r="A2" s="43"/>
      <c r="B2" s="2" t="s">
        <v>43</v>
      </c>
      <c r="C2" s="36" t="s">
        <v>131</v>
      </c>
      <c r="D2" s="36"/>
      <c r="E2" s="36" t="s">
        <v>132</v>
      </c>
      <c r="F2" s="36"/>
      <c r="G2" s="1" t="s">
        <v>133</v>
      </c>
      <c r="K2" s="4" t="s">
        <v>9</v>
      </c>
      <c r="L2" s="4">
        <v>19.8</v>
      </c>
    </row>
    <row r="3" spans="1:12" x14ac:dyDescent="0.3">
      <c r="A3" s="22" t="s">
        <v>1</v>
      </c>
      <c r="B3" s="44" t="s">
        <v>4</v>
      </c>
      <c r="C3" s="45"/>
      <c r="D3" s="46"/>
      <c r="E3" s="44" t="s">
        <v>56</v>
      </c>
      <c r="F3" s="46"/>
      <c r="G3" s="22" t="s">
        <v>5</v>
      </c>
      <c r="K3" s="1" t="s">
        <v>11</v>
      </c>
      <c r="L3" s="1">
        <v>12.9</v>
      </c>
    </row>
    <row r="4" spans="1:12" x14ac:dyDescent="0.3">
      <c r="A4" s="1" t="s">
        <v>39</v>
      </c>
      <c r="B4" s="47">
        <v>7345806215</v>
      </c>
      <c r="C4" s="47"/>
      <c r="D4" s="47"/>
      <c r="E4" s="36" t="s">
        <v>80</v>
      </c>
      <c r="F4" s="36"/>
      <c r="G4" s="1" t="s">
        <v>49</v>
      </c>
      <c r="K4" s="4" t="s">
        <v>12</v>
      </c>
      <c r="L4" s="4">
        <v>32.4</v>
      </c>
    </row>
    <row r="5" spans="1:12" x14ac:dyDescent="0.3">
      <c r="A5" s="22" t="s">
        <v>6</v>
      </c>
      <c r="B5" s="37" t="s">
        <v>7</v>
      </c>
      <c r="C5" s="37"/>
      <c r="D5" s="37"/>
      <c r="E5" s="22" t="s">
        <v>8</v>
      </c>
      <c r="F5" s="22" t="s">
        <v>35</v>
      </c>
      <c r="G5" s="22" t="s">
        <v>36</v>
      </c>
      <c r="K5" s="1" t="s">
        <v>13</v>
      </c>
      <c r="L5" s="1">
        <v>55.3</v>
      </c>
    </row>
    <row r="6" spans="1:12" x14ac:dyDescent="0.3">
      <c r="A6" s="3" t="s">
        <v>138</v>
      </c>
      <c r="B6" s="35" t="s">
        <v>18</v>
      </c>
      <c r="C6" s="35"/>
      <c r="D6" s="35"/>
      <c r="E6" s="4">
        <v>8032</v>
      </c>
      <c r="F6" s="4">
        <v>1</v>
      </c>
      <c r="G6" s="27" t="s">
        <v>48</v>
      </c>
      <c r="H6" s="31" t="str">
        <f>HYPERLINK("#G6",CHAR(128))</f>
        <v>€</v>
      </c>
      <c r="K6" s="4" t="s">
        <v>14</v>
      </c>
      <c r="L6" s="4">
        <v>36.299999999999997</v>
      </c>
    </row>
    <row r="7" spans="1:12" x14ac:dyDescent="0.3">
      <c r="A7" s="2" t="s">
        <v>140</v>
      </c>
      <c r="B7" s="36" t="s">
        <v>21</v>
      </c>
      <c r="C7" s="36"/>
      <c r="D7" s="36"/>
      <c r="E7" s="1" t="s">
        <v>139</v>
      </c>
      <c r="F7" s="18">
        <v>1</v>
      </c>
      <c r="G7" s="4" t="s">
        <v>48</v>
      </c>
      <c r="H7" s="31" t="str">
        <f>HYPERLINK("#G7",CHAR(128))</f>
        <v>€</v>
      </c>
      <c r="K7" s="1" t="s">
        <v>15</v>
      </c>
      <c r="L7" s="1">
        <v>77.5</v>
      </c>
    </row>
    <row r="8" spans="1:12" x14ac:dyDescent="0.3">
      <c r="A8" s="3" t="s">
        <v>125</v>
      </c>
      <c r="B8" s="35" t="s">
        <v>19</v>
      </c>
      <c r="C8" s="35"/>
      <c r="D8" s="35"/>
      <c r="E8" s="4" t="s">
        <v>45</v>
      </c>
      <c r="F8" s="4">
        <v>1</v>
      </c>
      <c r="G8" s="4" t="s">
        <v>48</v>
      </c>
      <c r="H8" s="31" t="str">
        <f>HYPERLINK("#G8",CHAR(128))</f>
        <v>€</v>
      </c>
      <c r="K8" s="4" t="s">
        <v>16</v>
      </c>
      <c r="L8" s="4">
        <v>309</v>
      </c>
    </row>
    <row r="9" spans="1:12" x14ac:dyDescent="0.3">
      <c r="A9" s="2" t="s">
        <v>142</v>
      </c>
      <c r="B9" s="36" t="s">
        <v>20</v>
      </c>
      <c r="C9" s="36"/>
      <c r="D9" s="36"/>
      <c r="E9" s="1" t="s">
        <v>141</v>
      </c>
      <c r="F9" s="18">
        <v>1</v>
      </c>
      <c r="G9" s="4" t="s">
        <v>48</v>
      </c>
      <c r="H9" s="31" t="str">
        <f>HYPERLINK("#G9",CHAR(128))</f>
        <v>€</v>
      </c>
      <c r="I9" s="11"/>
      <c r="K9" s="1" t="s">
        <v>17</v>
      </c>
      <c r="L9" s="1">
        <v>127</v>
      </c>
    </row>
    <row r="10" spans="1:12" x14ac:dyDescent="0.3">
      <c r="A10" s="3" t="s">
        <v>134</v>
      </c>
      <c r="B10" s="35" t="s">
        <v>24</v>
      </c>
      <c r="C10" s="35"/>
      <c r="D10" s="35"/>
      <c r="E10" s="8">
        <v>6.375</v>
      </c>
      <c r="F10" s="4">
        <v>1</v>
      </c>
      <c r="G10" s="4" t="s">
        <v>48</v>
      </c>
      <c r="H10" s="31" t="str">
        <f>HYPERLINK("#G10",CHAR(128))</f>
        <v>€</v>
      </c>
      <c r="K10" s="17" t="s">
        <v>53</v>
      </c>
      <c r="L10" s="17">
        <v>8.1</v>
      </c>
    </row>
    <row r="11" spans="1:12" x14ac:dyDescent="0.3">
      <c r="A11" s="2" t="s">
        <v>144</v>
      </c>
      <c r="B11" s="36" t="s">
        <v>23</v>
      </c>
      <c r="C11" s="36"/>
      <c r="D11" s="36"/>
      <c r="E11" s="1" t="s">
        <v>143</v>
      </c>
      <c r="F11" s="18">
        <v>1</v>
      </c>
      <c r="G11" s="4" t="s">
        <v>48</v>
      </c>
      <c r="H11" s="31" t="str">
        <f>HYPERLINK("#G11",CHAR(128))</f>
        <v>€</v>
      </c>
    </row>
    <row r="12" spans="1:12" x14ac:dyDescent="0.3">
      <c r="A12" s="5" t="s">
        <v>93</v>
      </c>
      <c r="B12" s="35" t="s">
        <v>25</v>
      </c>
      <c r="C12" s="35"/>
      <c r="D12" s="35"/>
      <c r="E12" s="4" t="s">
        <v>54</v>
      </c>
      <c r="F12" s="4">
        <v>1</v>
      </c>
      <c r="G12" s="4" t="s">
        <v>48</v>
      </c>
      <c r="H12" s="31" t="str">
        <f>HYPERLINK("#G12",CHAR(128))</f>
        <v>€</v>
      </c>
    </row>
    <row r="13" spans="1:12" x14ac:dyDescent="0.3">
      <c r="A13" s="2" t="s">
        <v>62</v>
      </c>
      <c r="B13" s="36" t="s">
        <v>26</v>
      </c>
      <c r="C13" s="36"/>
      <c r="D13" s="36"/>
      <c r="E13" s="1" t="s">
        <v>47</v>
      </c>
      <c r="F13" s="18">
        <v>1</v>
      </c>
      <c r="G13" s="4" t="s">
        <v>48</v>
      </c>
      <c r="H13" s="31" t="str">
        <f>HYPERLINK("#G13",CHAR(128))</f>
        <v>€</v>
      </c>
    </row>
    <row r="14" spans="1:12" x14ac:dyDescent="0.3">
      <c r="A14" s="5" t="s">
        <v>66</v>
      </c>
      <c r="B14" s="35" t="s">
        <v>27</v>
      </c>
      <c r="C14" s="35"/>
      <c r="D14" s="35"/>
      <c r="E14" s="4" t="s">
        <v>60</v>
      </c>
      <c r="F14" s="4">
        <v>1</v>
      </c>
      <c r="G14" s="4" t="s">
        <v>48</v>
      </c>
      <c r="H14" s="31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18"/>
      <c r="G15" s="4"/>
      <c r="H15" s="16"/>
    </row>
    <row r="16" spans="1:12" x14ac:dyDescent="0.3">
      <c r="A16" s="5" t="s">
        <v>52</v>
      </c>
      <c r="B16" s="35" t="s">
        <v>28</v>
      </c>
      <c r="C16" s="35"/>
      <c r="D16" s="35"/>
      <c r="E16" s="4" t="s">
        <v>61</v>
      </c>
      <c r="F16" s="4">
        <v>1</v>
      </c>
      <c r="G16" s="4" t="s">
        <v>48</v>
      </c>
      <c r="H16" s="25" t="str">
        <f>HYPERLINK("#G16",CHAR(128))</f>
        <v>€</v>
      </c>
    </row>
    <row r="17" spans="1:10" x14ac:dyDescent="0.3">
      <c r="A17" s="2" t="s">
        <v>135</v>
      </c>
      <c r="B17" s="36" t="s">
        <v>22</v>
      </c>
      <c r="C17" s="36"/>
      <c r="D17" s="36"/>
      <c r="E17" s="1" t="s">
        <v>46</v>
      </c>
      <c r="F17" s="18">
        <v>1</v>
      </c>
      <c r="G17" s="4" t="s">
        <v>48</v>
      </c>
      <c r="H17" s="25" t="str">
        <f>HYPERLINK("#G17",CHAR(128))</f>
        <v>€</v>
      </c>
    </row>
    <row r="18" spans="1:10" x14ac:dyDescent="0.3">
      <c r="A18" s="5" t="s">
        <v>145</v>
      </c>
      <c r="B18" s="35" t="s">
        <v>29</v>
      </c>
      <c r="C18" s="35"/>
      <c r="D18" s="35"/>
      <c r="E18" s="4">
        <v>7640</v>
      </c>
      <c r="F18" s="4">
        <v>1</v>
      </c>
      <c r="G18" s="4" t="s">
        <v>48</v>
      </c>
      <c r="H18" s="25" t="str">
        <f>HYPERLINK("#G18",CHAR(128))</f>
        <v>€</v>
      </c>
    </row>
    <row r="19" spans="1:10" x14ac:dyDescent="0.3">
      <c r="A19" s="2" t="s">
        <v>110</v>
      </c>
      <c r="B19" s="36" t="s">
        <v>30</v>
      </c>
      <c r="C19" s="36"/>
      <c r="D19" s="36"/>
      <c r="E19" s="1" t="s">
        <v>109</v>
      </c>
      <c r="F19" s="18">
        <v>1</v>
      </c>
      <c r="G19" s="4" t="s">
        <v>48</v>
      </c>
      <c r="H19" s="25" t="str">
        <f>HYPERLINK("#G19",CHAR(128))</f>
        <v>€</v>
      </c>
    </row>
    <row r="20" spans="1:10" x14ac:dyDescent="0.3">
      <c r="A20" s="5"/>
      <c r="B20" s="38"/>
      <c r="C20" s="39"/>
      <c r="D20" s="40"/>
      <c r="E20" s="4"/>
      <c r="F20" s="4"/>
      <c r="G20" s="4"/>
      <c r="H20" s="16"/>
    </row>
    <row r="21" spans="1:10" x14ac:dyDescent="0.3">
      <c r="A21" s="2" t="s">
        <v>136</v>
      </c>
      <c r="B21" s="36" t="s">
        <v>33</v>
      </c>
      <c r="C21" s="36"/>
      <c r="D21" s="36"/>
      <c r="E21" s="9">
        <v>6.375</v>
      </c>
      <c r="F21" s="18">
        <v>1</v>
      </c>
      <c r="G21" s="4" t="s">
        <v>48</v>
      </c>
      <c r="H21" s="25" t="str">
        <f>HYPERLINK("#G21",CHAR(128))</f>
        <v>€</v>
      </c>
    </row>
    <row r="22" spans="1:10" x14ac:dyDescent="0.3">
      <c r="A22" s="5" t="s">
        <v>137</v>
      </c>
      <c r="B22" s="35" t="s">
        <v>31</v>
      </c>
      <c r="C22" s="35"/>
      <c r="D22" s="35"/>
      <c r="E22" s="4">
        <v>6432</v>
      </c>
      <c r="F22" s="4">
        <v>1</v>
      </c>
      <c r="G22" s="4" t="s">
        <v>48</v>
      </c>
      <c r="H22" s="25" t="str">
        <f>HYPERLINK("#G22",CHAR(128))</f>
        <v>€</v>
      </c>
    </row>
    <row r="23" spans="1:10" x14ac:dyDescent="0.3">
      <c r="A23" s="2"/>
      <c r="B23" s="36" t="s">
        <v>55</v>
      </c>
      <c r="C23" s="36"/>
      <c r="D23" s="36"/>
      <c r="E23" s="1"/>
      <c r="F23" s="18">
        <v>1</v>
      </c>
      <c r="G23" s="4" t="s">
        <v>48</v>
      </c>
      <c r="H23" s="24" t="str">
        <f>HYPERLINK("#G23",CHAR(128))</f>
        <v>€</v>
      </c>
    </row>
    <row r="24" spans="1:10" x14ac:dyDescent="0.3">
      <c r="A24" s="5"/>
      <c r="B24" s="35" t="s">
        <v>32</v>
      </c>
      <c r="C24" s="35"/>
      <c r="D24" s="35"/>
      <c r="E24" s="4"/>
      <c r="F24" s="4">
        <v>1</v>
      </c>
      <c r="G24" s="4" t="s">
        <v>48</v>
      </c>
      <c r="H24" s="24" t="str">
        <f>HYPERLINK("#G24",CHAR(128))</f>
        <v>€</v>
      </c>
    </row>
    <row r="25" spans="1:10" x14ac:dyDescent="0.3">
      <c r="A25" s="2"/>
      <c r="B25" s="36"/>
      <c r="C25" s="36"/>
      <c r="D25" s="36"/>
      <c r="E25" s="1"/>
      <c r="F25" s="18"/>
      <c r="G25" s="4"/>
      <c r="H25" s="16"/>
      <c r="I25" s="12"/>
    </row>
    <row r="26" spans="1:10" x14ac:dyDescent="0.3">
      <c r="A26" s="5"/>
      <c r="B26" s="35" t="s">
        <v>37</v>
      </c>
      <c r="C26" s="35"/>
      <c r="D26" s="35"/>
      <c r="E26" s="4" t="str">
        <f>C2</f>
        <v>Anderson</v>
      </c>
      <c r="F26" s="4">
        <v>1</v>
      </c>
      <c r="G26" s="4" t="s">
        <v>48</v>
      </c>
      <c r="H26" s="26" t="str">
        <f>HYPERLINK("#G26",CHAR(128))</f>
        <v>€</v>
      </c>
    </row>
    <row r="28" spans="1:10" x14ac:dyDescent="0.3">
      <c r="J28" s="20"/>
    </row>
    <row r="29" spans="1:10" x14ac:dyDescent="0.3">
      <c r="A29" s="22"/>
      <c r="B29" s="37" t="s">
        <v>57</v>
      </c>
      <c r="C29" s="37"/>
      <c r="D29" s="37"/>
      <c r="E29" s="22" t="s">
        <v>8</v>
      </c>
      <c r="F29" s="22" t="s">
        <v>35</v>
      </c>
      <c r="G29" s="23" t="s">
        <v>36</v>
      </c>
    </row>
    <row r="30" spans="1:10" x14ac:dyDescent="0.3">
      <c r="A30" s="3"/>
      <c r="B30" s="35"/>
      <c r="C30" s="35"/>
      <c r="D30" s="35"/>
      <c r="E30" s="4"/>
      <c r="F30" s="10">
        <v>1</v>
      </c>
      <c r="G30" s="19"/>
      <c r="H30" s="21" t="str">
        <f>HYPERLINK("#G30",CHAR(128))</f>
        <v>€</v>
      </c>
    </row>
    <row r="31" spans="1:10" x14ac:dyDescent="0.3">
      <c r="A31" s="2"/>
      <c r="B31" s="36"/>
      <c r="C31" s="36"/>
      <c r="D31" s="36"/>
      <c r="E31" s="1"/>
      <c r="F31" s="18">
        <v>1</v>
      </c>
      <c r="G31" s="28"/>
      <c r="H31" s="21" t="str">
        <f>HYPERLINK("#G31",CHAR(128))</f>
        <v>€</v>
      </c>
    </row>
    <row r="32" spans="1:10" x14ac:dyDescent="0.3">
      <c r="A32" s="3"/>
      <c r="B32" s="35"/>
      <c r="C32" s="35"/>
      <c r="D32" s="35"/>
      <c r="E32" s="4"/>
      <c r="F32" s="4">
        <v>1</v>
      </c>
      <c r="G32" s="29"/>
      <c r="H32" s="21" t="str">
        <f>HYPERLINK("#G32",CHAR(128))</f>
        <v>€</v>
      </c>
    </row>
    <row r="33" spans="1:8" x14ac:dyDescent="0.3">
      <c r="A33" s="2"/>
      <c r="B33" s="36"/>
      <c r="C33" s="36"/>
      <c r="D33" s="36"/>
      <c r="E33" s="1"/>
      <c r="F33" s="18">
        <v>1</v>
      </c>
      <c r="G33" s="28"/>
      <c r="H33" s="21" t="str">
        <f>HYPERLINK("#G33",CHAR(128))</f>
        <v>€</v>
      </c>
    </row>
    <row r="34" spans="1:8" x14ac:dyDescent="0.3">
      <c r="A34" s="3"/>
      <c r="B34" s="35"/>
      <c r="C34" s="35"/>
      <c r="D34" s="35"/>
      <c r="E34" s="4"/>
      <c r="F34" s="4">
        <v>1</v>
      </c>
      <c r="G34" s="29"/>
      <c r="H34" s="21" t="str">
        <f>HYPERLINK("#G34",CHAR(128))</f>
        <v>€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7" priority="1" operator="equal">
      <formula>"Returned"</formula>
    </cfRule>
    <cfRule type="cellIs" dxfId="6" priority="4" operator="equal">
      <formula>"Ready To Order"</formula>
    </cfRule>
    <cfRule type="containsText" dxfId="5" priority="5" operator="containsText" text="UNP">
      <formula>NOT(ISERROR(SEARCH("UNP",G6)))</formula>
    </cfRule>
    <cfRule type="containsText" dxfId="4" priority="6" operator="containsText" text="Ordered">
      <formula>NOT(ISERROR(SEARCH("Ordered",G6)))</formula>
    </cfRule>
    <cfRule type="containsText" dxfId="3" priority="7" operator="containsText" text="Pick Up">
      <formula>NOT(ISERROR(SEARCH("Pick Up",G6)))</formula>
    </cfRule>
    <cfRule type="containsText" dxfId="2" priority="8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B8AA3D6B-AEF9-44A2-8C9B-C525F5B4E171}">
      <formula1>"--,Returned, Given"</formula1>
    </dataValidation>
    <dataValidation type="list" allowBlank="1" showInputMessage="1" showErrorMessage="1" sqref="G6:G26" xr:uid="{435D3A63-BFE5-4BF5-86CF-2A81E2BDBE88}">
      <formula1>"UNP, Ready To Order, Ordered, Pick Up, Complete, Returned"</formula1>
    </dataValidation>
    <dataValidation type="decimal" allowBlank="1" showInputMessage="1" showErrorMessage="1" sqref="L2" xr:uid="{D29224AC-4B20-4778-B44E-D2F3A93A8872}">
      <formula1>19</formula1>
      <formula2>26</formula2>
    </dataValidation>
  </dataValidations>
  <hyperlinks>
    <hyperlink ref="A1:A2" location="Menu!A1" display="Back to Menu" xr:uid="{CE357533-4A51-4284-AB2B-6BF27688925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sqref="A1:L36"/>
    </sheetView>
  </sheetViews>
  <sheetFormatPr defaultRowHeight="15.05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" customHeight="1" x14ac:dyDescent="0.3">
      <c r="A1" s="42" t="s">
        <v>42</v>
      </c>
      <c r="B1" s="22" t="s">
        <v>3</v>
      </c>
      <c r="C1" s="37" t="s">
        <v>0</v>
      </c>
      <c r="D1" s="37"/>
      <c r="E1" s="37" t="s">
        <v>2</v>
      </c>
      <c r="F1" s="37"/>
      <c r="G1" s="22" t="s">
        <v>34</v>
      </c>
      <c r="K1" s="22" t="s">
        <v>38</v>
      </c>
      <c r="L1" s="22" t="s">
        <v>10</v>
      </c>
    </row>
    <row r="2" spans="1:12" ht="17.2" customHeight="1" x14ac:dyDescent="0.3">
      <c r="A2" s="43"/>
      <c r="B2" s="2"/>
      <c r="C2" s="36"/>
      <c r="D2" s="36"/>
      <c r="E2" s="36"/>
      <c r="F2" s="36"/>
      <c r="G2" s="1"/>
      <c r="K2" s="4" t="s">
        <v>9</v>
      </c>
      <c r="L2" s="4"/>
    </row>
    <row r="3" spans="1:12" ht="17.2" customHeight="1" x14ac:dyDescent="0.3">
      <c r="A3" s="22" t="s">
        <v>1</v>
      </c>
      <c r="B3" s="44" t="s">
        <v>4</v>
      </c>
      <c r="C3" s="45"/>
      <c r="D3" s="46"/>
      <c r="E3" s="44" t="s">
        <v>56</v>
      </c>
      <c r="F3" s="46"/>
      <c r="G3" s="22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47"/>
      <c r="C4" s="47"/>
      <c r="D4" s="47"/>
      <c r="E4" s="36"/>
      <c r="F4" s="36"/>
      <c r="G4" s="1"/>
      <c r="K4" s="4" t="s">
        <v>12</v>
      </c>
      <c r="L4" s="4"/>
    </row>
    <row r="5" spans="1:12" ht="17.2" customHeight="1" x14ac:dyDescent="0.3">
      <c r="A5" s="22" t="s">
        <v>6</v>
      </c>
      <c r="B5" s="37" t="s">
        <v>7</v>
      </c>
      <c r="C5" s="37"/>
      <c r="D5" s="37"/>
      <c r="E5" s="22" t="s">
        <v>8</v>
      </c>
      <c r="F5" s="22" t="s">
        <v>35</v>
      </c>
      <c r="G5" s="22" t="s">
        <v>36</v>
      </c>
      <c r="K5" s="1" t="s">
        <v>13</v>
      </c>
      <c r="L5" s="1"/>
    </row>
    <row r="6" spans="1:12" ht="17.2" customHeight="1" x14ac:dyDescent="0.3">
      <c r="A6" s="3"/>
      <c r="B6" s="35" t="s">
        <v>18</v>
      </c>
      <c r="C6" s="35"/>
      <c r="D6" s="35"/>
      <c r="E6" s="4"/>
      <c r="F6" s="4">
        <v>1</v>
      </c>
      <c r="G6" s="27" t="s">
        <v>48</v>
      </c>
      <c r="H6" s="31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36" t="s">
        <v>21</v>
      </c>
      <c r="C7" s="36"/>
      <c r="D7" s="36"/>
      <c r="E7" s="1"/>
      <c r="F7" s="18">
        <v>1</v>
      </c>
      <c r="G7" s="4" t="s">
        <v>48</v>
      </c>
      <c r="H7" s="31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35" t="s">
        <v>19</v>
      </c>
      <c r="C8" s="35"/>
      <c r="D8" s="35"/>
      <c r="E8" s="4"/>
      <c r="F8" s="4">
        <v>1</v>
      </c>
      <c r="G8" s="4" t="s">
        <v>48</v>
      </c>
      <c r="H8" s="31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36" t="s">
        <v>20</v>
      </c>
      <c r="C9" s="36"/>
      <c r="D9" s="36"/>
      <c r="E9" s="1"/>
      <c r="F9" s="18">
        <v>1</v>
      </c>
      <c r="G9" s="4" t="s">
        <v>48</v>
      </c>
      <c r="H9" s="31" t="str">
        <f>HYPERLINK("#G9",CHAR(128))</f>
        <v>€</v>
      </c>
      <c r="I9" s="11"/>
      <c r="K9" s="1" t="s">
        <v>17</v>
      </c>
      <c r="L9" s="1"/>
    </row>
    <row r="10" spans="1:12" ht="17.2" customHeight="1" x14ac:dyDescent="0.3">
      <c r="A10" s="3"/>
      <c r="B10" s="35" t="s">
        <v>24</v>
      </c>
      <c r="C10" s="35"/>
      <c r="D10" s="35"/>
      <c r="E10" s="8"/>
      <c r="F10" s="4">
        <v>1</v>
      </c>
      <c r="G10" s="4" t="s">
        <v>48</v>
      </c>
      <c r="H10" s="31" t="str">
        <f>HYPERLINK("#G10",CHAR(128))</f>
        <v>€</v>
      </c>
      <c r="K10" s="17" t="s">
        <v>53</v>
      </c>
      <c r="L10" s="17"/>
    </row>
    <row r="11" spans="1:12" ht="17.2" customHeight="1" x14ac:dyDescent="0.3">
      <c r="A11" s="2"/>
      <c r="B11" s="36" t="s">
        <v>23</v>
      </c>
      <c r="C11" s="36"/>
      <c r="D11" s="36"/>
      <c r="E11" s="1"/>
      <c r="F11" s="18">
        <v>1</v>
      </c>
      <c r="G11" s="4" t="s">
        <v>48</v>
      </c>
      <c r="H11" s="31" t="str">
        <f>HYPERLINK("#G11",CHAR(128))</f>
        <v>€</v>
      </c>
    </row>
    <row r="12" spans="1:12" ht="17.2" customHeight="1" x14ac:dyDescent="0.3">
      <c r="A12" s="5"/>
      <c r="B12" s="35" t="s">
        <v>25</v>
      </c>
      <c r="C12" s="35"/>
      <c r="D12" s="35"/>
      <c r="E12" s="4"/>
      <c r="F12" s="4">
        <v>1</v>
      </c>
      <c r="G12" s="4" t="s">
        <v>48</v>
      </c>
      <c r="H12" s="31" t="str">
        <f>HYPERLINK("#G12",CHAR(128))</f>
        <v>€</v>
      </c>
    </row>
    <row r="13" spans="1:12" ht="17.2" customHeight="1" x14ac:dyDescent="0.3">
      <c r="A13" s="2"/>
      <c r="B13" s="36" t="s">
        <v>26</v>
      </c>
      <c r="C13" s="36"/>
      <c r="D13" s="36"/>
      <c r="E13" s="1"/>
      <c r="F13" s="18">
        <v>1</v>
      </c>
      <c r="G13" s="4" t="s">
        <v>48</v>
      </c>
      <c r="H13" s="31" t="str">
        <f>HYPERLINK("#G13",CHAR(128))</f>
        <v>€</v>
      </c>
    </row>
    <row r="14" spans="1:12" ht="17.2" customHeight="1" x14ac:dyDescent="0.3">
      <c r="A14" s="5"/>
      <c r="B14" s="35" t="s">
        <v>27</v>
      </c>
      <c r="C14" s="35"/>
      <c r="D14" s="35"/>
      <c r="E14" s="4"/>
      <c r="F14" s="4">
        <v>1</v>
      </c>
      <c r="G14" s="4" t="s">
        <v>48</v>
      </c>
      <c r="H14" s="31" t="str">
        <f>HYPERLINK("#G14",CHAR(128))</f>
        <v>€</v>
      </c>
    </row>
    <row r="15" spans="1:12" ht="17.2" customHeight="1" x14ac:dyDescent="0.3">
      <c r="A15" s="2"/>
      <c r="B15" s="41"/>
      <c r="C15" s="41"/>
      <c r="D15" s="41"/>
      <c r="E15" s="1"/>
      <c r="F15" s="18"/>
      <c r="G15" s="4"/>
      <c r="H15" s="16"/>
    </row>
    <row r="16" spans="1:12" ht="17.2" customHeight="1" x14ac:dyDescent="0.3">
      <c r="A16" s="5"/>
      <c r="B16" s="35" t="s">
        <v>28</v>
      </c>
      <c r="C16" s="35"/>
      <c r="D16" s="35"/>
      <c r="E16" s="4"/>
      <c r="F16" s="4">
        <v>1</v>
      </c>
      <c r="G16" s="4" t="s">
        <v>48</v>
      </c>
      <c r="H16" s="25" t="str">
        <f>HYPERLINK("#G16",CHAR(128))</f>
        <v>€</v>
      </c>
    </row>
    <row r="17" spans="1:14" ht="17.2" customHeight="1" x14ac:dyDescent="0.3">
      <c r="A17" s="2"/>
      <c r="B17" s="36" t="s">
        <v>22</v>
      </c>
      <c r="C17" s="36"/>
      <c r="D17" s="36"/>
      <c r="E17" s="1"/>
      <c r="F17" s="18">
        <v>1</v>
      </c>
      <c r="G17" s="4" t="s">
        <v>48</v>
      </c>
      <c r="H17" s="25" t="str">
        <f>HYPERLINK("#G17",CHAR(128))</f>
        <v>€</v>
      </c>
    </row>
    <row r="18" spans="1:14" ht="17.2" customHeight="1" x14ac:dyDescent="0.3">
      <c r="A18" s="5"/>
      <c r="B18" s="35" t="s">
        <v>29</v>
      </c>
      <c r="C18" s="35"/>
      <c r="D18" s="35"/>
      <c r="E18" s="4"/>
      <c r="F18" s="4">
        <v>1</v>
      </c>
      <c r="G18" s="4" t="s">
        <v>48</v>
      </c>
      <c r="H18" s="25" t="str">
        <f>HYPERLINK("#G18",CHAR(128))</f>
        <v>€</v>
      </c>
    </row>
    <row r="19" spans="1:14" ht="17.2" customHeight="1" x14ac:dyDescent="0.3">
      <c r="A19" s="2"/>
      <c r="B19" s="36" t="s">
        <v>30</v>
      </c>
      <c r="C19" s="36"/>
      <c r="D19" s="36"/>
      <c r="E19" s="1"/>
      <c r="F19" s="18">
        <v>1</v>
      </c>
      <c r="G19" s="4" t="s">
        <v>48</v>
      </c>
      <c r="H19" s="25" t="str">
        <f>HYPERLINK("#G19",CHAR(128))</f>
        <v>€</v>
      </c>
    </row>
    <row r="20" spans="1:14" ht="17.2" customHeight="1" x14ac:dyDescent="0.3">
      <c r="A20" s="5"/>
      <c r="B20" s="38"/>
      <c r="C20" s="39"/>
      <c r="D20" s="40"/>
      <c r="E20" s="4"/>
      <c r="F20" s="4"/>
      <c r="G20" s="4"/>
      <c r="H20" s="16"/>
    </row>
    <row r="21" spans="1:14" ht="14.4" x14ac:dyDescent="0.3">
      <c r="A21" s="2"/>
      <c r="B21" s="36" t="s">
        <v>33</v>
      </c>
      <c r="C21" s="36"/>
      <c r="D21" s="36"/>
      <c r="E21" s="9"/>
      <c r="F21" s="18">
        <v>1</v>
      </c>
      <c r="G21" s="4" t="s">
        <v>48</v>
      </c>
      <c r="H21" s="25" t="str">
        <f>HYPERLINK("#G21",CHAR(128))</f>
        <v>€</v>
      </c>
    </row>
    <row r="22" spans="1:14" ht="14.4" x14ac:dyDescent="0.3">
      <c r="A22" s="5"/>
      <c r="B22" s="35" t="s">
        <v>31</v>
      </c>
      <c r="C22" s="35"/>
      <c r="D22" s="35"/>
      <c r="E22" s="4"/>
      <c r="F22" s="4">
        <v>1</v>
      </c>
      <c r="G22" s="4" t="s">
        <v>48</v>
      </c>
      <c r="H22" s="25" t="str">
        <f>HYPERLINK("#G22",CHAR(128))</f>
        <v>€</v>
      </c>
      <c r="N22" s="2"/>
    </row>
    <row r="23" spans="1:14" ht="14.4" x14ac:dyDescent="0.3">
      <c r="A23" s="2"/>
      <c r="B23" s="36" t="s">
        <v>55</v>
      </c>
      <c r="C23" s="36"/>
      <c r="D23" s="36"/>
      <c r="E23" s="1"/>
      <c r="F23" s="18">
        <v>1</v>
      </c>
      <c r="G23" s="4" t="s">
        <v>48</v>
      </c>
      <c r="H23" s="24" t="str">
        <f>HYPERLINK("#G23",CHAR(128))</f>
        <v>€</v>
      </c>
    </row>
    <row r="24" spans="1:14" ht="14.4" x14ac:dyDescent="0.3">
      <c r="A24" s="5"/>
      <c r="B24" s="35" t="s">
        <v>32</v>
      </c>
      <c r="C24" s="35"/>
      <c r="D24" s="35"/>
      <c r="E24" s="4"/>
      <c r="F24" s="4">
        <v>1</v>
      </c>
      <c r="G24" s="4" t="s">
        <v>48</v>
      </c>
      <c r="H24" s="24" t="str">
        <f>HYPERLINK("#G24",CHAR(128))</f>
        <v>€</v>
      </c>
    </row>
    <row r="25" spans="1:14" ht="14.4" x14ac:dyDescent="0.3">
      <c r="A25" s="2"/>
      <c r="B25" s="36"/>
      <c r="C25" s="36"/>
      <c r="D25" s="36"/>
      <c r="E25" s="1"/>
      <c r="F25" s="18"/>
      <c r="G25" s="4"/>
      <c r="H25" s="16"/>
      <c r="I25" s="12"/>
    </row>
    <row r="26" spans="1:14" ht="14.4" x14ac:dyDescent="0.3">
      <c r="A26" s="5"/>
      <c r="B26" s="35" t="s">
        <v>37</v>
      </c>
      <c r="C26" s="35"/>
      <c r="D26" s="35"/>
      <c r="E26" s="4">
        <f>C2</f>
        <v>0</v>
      </c>
      <c r="F26" s="4">
        <v>1</v>
      </c>
      <c r="G26" s="4" t="s">
        <v>48</v>
      </c>
      <c r="H26" s="26" t="str">
        <f>HYPERLINK("#G26",CHAR(128))</f>
        <v>€</v>
      </c>
    </row>
    <row r="28" spans="1:14" ht="14.4" x14ac:dyDescent="0.3">
      <c r="J28" s="20"/>
    </row>
    <row r="29" spans="1:14" ht="14.4" x14ac:dyDescent="0.3">
      <c r="A29" s="22"/>
      <c r="B29" s="37" t="s">
        <v>57</v>
      </c>
      <c r="C29" s="37"/>
      <c r="D29" s="37"/>
      <c r="E29" s="22" t="s">
        <v>8</v>
      </c>
      <c r="F29" s="22" t="s">
        <v>35</v>
      </c>
      <c r="G29" s="23" t="s">
        <v>36</v>
      </c>
    </row>
    <row r="30" spans="1:14" ht="14.4" x14ac:dyDescent="0.3">
      <c r="A30" s="3"/>
      <c r="B30" s="35"/>
      <c r="C30" s="35"/>
      <c r="D30" s="35"/>
      <c r="E30" s="4"/>
      <c r="F30" s="10">
        <v>1</v>
      </c>
      <c r="G30" s="19"/>
      <c r="H30" s="21" t="str">
        <f>HYPERLINK("#G30",CHAR(128))</f>
        <v>€</v>
      </c>
    </row>
    <row r="31" spans="1:14" ht="14.4" x14ac:dyDescent="0.3">
      <c r="A31" s="2"/>
      <c r="B31" s="36"/>
      <c r="C31" s="36"/>
      <c r="D31" s="36"/>
      <c r="E31" s="1"/>
      <c r="F31" s="18">
        <v>1</v>
      </c>
      <c r="G31" s="28"/>
      <c r="H31" s="21" t="str">
        <f>HYPERLINK("#G31",CHAR(128))</f>
        <v>€</v>
      </c>
    </row>
    <row r="32" spans="1:14" ht="14.4" x14ac:dyDescent="0.3">
      <c r="A32" s="3"/>
      <c r="B32" s="35"/>
      <c r="C32" s="35"/>
      <c r="D32" s="35"/>
      <c r="E32" s="4"/>
      <c r="F32" s="4">
        <v>1</v>
      </c>
      <c r="G32" s="29"/>
      <c r="H32" s="21" t="str">
        <f>HYPERLINK("#G32",CHAR(128))</f>
        <v>€</v>
      </c>
    </row>
    <row r="33" spans="1:8" ht="14.4" x14ac:dyDescent="0.3">
      <c r="A33" s="2"/>
      <c r="B33" s="36"/>
      <c r="C33" s="36"/>
      <c r="D33" s="36"/>
      <c r="E33" s="1"/>
      <c r="F33" s="18">
        <v>1</v>
      </c>
      <c r="G33" s="28"/>
      <c r="H33" s="21" t="str">
        <f>HYPERLINK("#G33",CHAR(128))</f>
        <v>€</v>
      </c>
    </row>
    <row r="34" spans="1:8" ht="14.4" x14ac:dyDescent="0.3">
      <c r="A34" s="3"/>
      <c r="B34" s="35"/>
      <c r="C34" s="35"/>
      <c r="D34" s="35"/>
      <c r="E34" s="4"/>
      <c r="F34" s="4">
        <v>1</v>
      </c>
      <c r="G34" s="29"/>
      <c r="H34" s="21" t="str">
        <f>HYPERLINK("#G34",CHAR(128))</f>
        <v>€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26">
    <cfRule type="cellIs" dxfId="15" priority="1" operator="equal">
      <formula>"Returned"</formula>
    </cfRule>
    <cfRule type="cellIs" dxfId="14" priority="11" operator="equal">
      <formula>"Ready To Order"</formula>
    </cfRule>
    <cfRule type="containsText" dxfId="13" priority="12" operator="containsText" text="UNP">
      <formula>NOT(ISERROR(SEARCH("UNP",G6)))</formula>
    </cfRule>
    <cfRule type="containsText" dxfId="12" priority="13" operator="containsText" text="Ordered">
      <formula>NOT(ISERROR(SEARCH("Ordered",G6)))</formula>
    </cfRule>
    <cfRule type="containsText" dxfId="11" priority="14" operator="containsText" text="Pick Up">
      <formula>NOT(ISERROR(SEARCH("Pick Up",G6)))</formula>
    </cfRule>
    <cfRule type="containsText" dxfId="10" priority="15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</vt:lpstr>
      <vt:lpstr>Emma_Walker_98ED1A83</vt:lpstr>
      <vt:lpstr>Ursula_Jackson_EF45A693</vt:lpstr>
      <vt:lpstr>Liam_Miller_4B7267BC</vt:lpstr>
      <vt:lpstr>Peter_Anderson_2247439B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ma luhan</cp:lastModifiedBy>
  <dcterms:created xsi:type="dcterms:W3CDTF">2023-08-20T19:28:09Z</dcterms:created>
  <dcterms:modified xsi:type="dcterms:W3CDTF">2023-09-13T06:09:54Z</dcterms:modified>
</cp:coreProperties>
</file>