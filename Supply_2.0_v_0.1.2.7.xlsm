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598" documentId="13_ncr:1_{D4410292-5E02-4947-B7E2-A38FF2783F2F}" xr6:coauthVersionLast="47" xr6:coauthVersionMax="47" xr10:uidLastSave="{D07ED968-3575-4B71-9A76-4CFE49DB8746}"/>
  <bookViews>
    <workbookView xWindow="-108" yWindow="-108" windowWidth="23256" windowHeight="12456" tabRatio="856" xr2:uid="{01218C0E-FF84-42AC-8993-DD76AC11461D}"/>
  </bookViews>
  <sheets>
    <sheet name="Menu" sheetId="48" r:id="rId1"/>
    <sheet name="Importing" sheetId="124" r:id="rId2"/>
    <sheet name="Pickup" sheetId="181" r:id="rId3"/>
    <sheet name="Mia_Wilson_795DB783" sheetId="212" r:id="rId4"/>
    <sheet name="aaaa_aaa_F3E668A6" sheetId="213" r:id="rId5"/>
    <sheet name="Frank_Thomas_215B12B4" sheetId="214" r:id="rId6"/>
    <sheet name="Quinn_Anderson_BF947EB3" sheetId="215" r:id="rId7"/>
    <sheet name="Liam_Miller_A33FCEBC" sheetId="222" r:id="rId8"/>
    <sheet name="Samuel_Taylor_EF949E87" sheetId="224" r:id="rId9"/>
    <sheet name="Template" sheetId="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24" l="1"/>
  <c r="H33" i="224"/>
  <c r="H32" i="224"/>
  <c r="H31" i="224"/>
  <c r="H30" i="224"/>
  <c r="H26" i="224"/>
  <c r="E26" i="224"/>
  <c r="H24" i="224"/>
  <c r="H23" i="224"/>
  <c r="H22" i="224"/>
  <c r="H21" i="224"/>
  <c r="H19" i="224"/>
  <c r="H18" i="224"/>
  <c r="H17" i="224"/>
  <c r="H16" i="224"/>
  <c r="H14" i="224"/>
  <c r="H13" i="224"/>
  <c r="H12" i="224"/>
  <c r="H11" i="224"/>
  <c r="H10" i="224"/>
  <c r="H9" i="224"/>
  <c r="H8" i="224"/>
  <c r="H7" i="224"/>
  <c r="H6" i="224"/>
  <c r="H34" i="222"/>
  <c r="H33" i="222"/>
  <c r="H32" i="222"/>
  <c r="H31" i="222"/>
  <c r="H30" i="222"/>
  <c r="H26" i="222"/>
  <c r="E26" i="222"/>
  <c r="H24" i="222"/>
  <c r="H23" i="222"/>
  <c r="H22" i="222"/>
  <c r="H21" i="222"/>
  <c r="H19" i="222"/>
  <c r="H18" i="222"/>
  <c r="H17" i="222"/>
  <c r="H16" i="222"/>
  <c r="H14" i="222"/>
  <c r="H13" i="222"/>
  <c r="H12" i="222"/>
  <c r="H11" i="222"/>
  <c r="H10" i="222"/>
  <c r="H9" i="222"/>
  <c r="H8" i="222"/>
  <c r="H7" i="222"/>
  <c r="H6" i="222"/>
  <c r="H34" i="215"/>
  <c r="H33" i="215"/>
  <c r="H32" i="215"/>
  <c r="H31" i="215"/>
  <c r="H30" i="215"/>
  <c r="H26" i="215"/>
  <c r="E26" i="215"/>
  <c r="H24" i="215"/>
  <c r="H23" i="215"/>
  <c r="H22" i="215"/>
  <c r="H21" i="215"/>
  <c r="H19" i="215"/>
  <c r="H18" i="215"/>
  <c r="H17" i="215"/>
  <c r="H16" i="215"/>
  <c r="H14" i="215"/>
  <c r="H13" i="215"/>
  <c r="H12" i="215"/>
  <c r="H11" i="215"/>
  <c r="H10" i="215"/>
  <c r="H9" i="215"/>
  <c r="H8" i="215"/>
  <c r="H7" i="215"/>
  <c r="H6" i="215"/>
  <c r="H34" i="214"/>
  <c r="H33" i="214"/>
  <c r="H32" i="214"/>
  <c r="H31" i="214"/>
  <c r="H30" i="214"/>
  <c r="H26" i="214"/>
  <c r="E26" i="214"/>
  <c r="H24" i="214"/>
  <c r="H23" i="214"/>
  <c r="H22" i="214"/>
  <c r="H21" i="214"/>
  <c r="H19" i="214"/>
  <c r="H18" i="214"/>
  <c r="H17" i="214"/>
  <c r="H16" i="214"/>
  <c r="H14" i="214"/>
  <c r="H13" i="214"/>
  <c r="H12" i="214"/>
  <c r="H11" i="214"/>
  <c r="H10" i="214"/>
  <c r="H9" i="214"/>
  <c r="H8" i="214"/>
  <c r="H7" i="214"/>
  <c r="H6" i="214"/>
  <c r="H34" i="213"/>
  <c r="H33" i="213"/>
  <c r="H32" i="213"/>
  <c r="H31" i="213"/>
  <c r="H30" i="213"/>
  <c r="H26" i="213"/>
  <c r="H24" i="213"/>
  <c r="H23" i="213"/>
  <c r="H22" i="213"/>
  <c r="H21" i="213"/>
  <c r="H19" i="213"/>
  <c r="H18" i="213"/>
  <c r="H17" i="213"/>
  <c r="H16" i="213"/>
  <c r="H14" i="213"/>
  <c r="H13" i="213"/>
  <c r="H12" i="213"/>
  <c r="H11" i="213"/>
  <c r="H10" i="213"/>
  <c r="H9" i="213"/>
  <c r="H8" i="213"/>
  <c r="H7" i="213"/>
  <c r="H6" i="213"/>
  <c r="H34" i="212"/>
  <c r="H33" i="212"/>
  <c r="H32" i="212"/>
  <c r="H31" i="212"/>
  <c r="H30" i="212"/>
  <c r="H26" i="212"/>
  <c r="E26" i="212"/>
  <c r="H24" i="212"/>
  <c r="H23" i="212"/>
  <c r="H22" i="212"/>
  <c r="H21" i="212"/>
  <c r="H19" i="212"/>
  <c r="H18" i="212"/>
  <c r="H17" i="212"/>
  <c r="H16" i="212"/>
  <c r="H14" i="212"/>
  <c r="H13" i="212"/>
  <c r="H12" i="212"/>
  <c r="H11" i="212"/>
  <c r="H10" i="212"/>
  <c r="H9" i="212"/>
  <c r="H8" i="212"/>
  <c r="H7" i="212"/>
  <c r="H6" i="21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<sst xmlns="http://schemas.openxmlformats.org/spreadsheetml/2006/main" count="728" uniqueCount="167">
  <si>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</si>
  <si>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</si>
  <si>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</si>
  <si>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</si>
  <si>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</si>
  <si>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</si>
  <si>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</si>
  <si>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</si>
  <si>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</si>
  <si>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</si>
  <si>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</si>
  <si>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</si>
  <si>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</si>
  <si>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</si>
  <si>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</si>
  <si>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</si>
  <si>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</si>
  <si>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</si>
  <si>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</si>
  <si>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</si>
  <si>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</si>
  <si>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</si>
  <si>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</si>
  <si>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</si>
  <si>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</si>
  <si>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</si>
  <si>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</si>
  <si>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</si>
  <si>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</si>
  <si>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</si>
  <si>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</si>
  <si>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</si>
  <si>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</si>
  <si>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</si>
  <si>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</si>
  <si>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</si>
  <si>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</si>
  <si>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</si>
  <si>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</si>
  <si>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</si>
  <si>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</si>
  <si>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</si>
  <si>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</si>
  <si>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</si>
  <si>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</si>
  <si>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</si>
  <si>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</si>
  <si>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</si>
  <si>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</si>
  <si>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</si>
  <si>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</si>
  <si>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</si>
  <si>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</si>
  <si>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</si>
  <si>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</si>
  <si>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</si>
  <si>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</si>
  <si>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</si>
  <si>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</si>
  <si>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</si>
  <si>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</si>
  <si>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</si>
  <si>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</si>
  <si>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</si>
  <si>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</si>
  <si>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</si>
  <si>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</si>
  <si>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</si>
  <si>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S</t>
  </si>
  <si>
    <t>New Size</t>
  </si>
  <si>
    <t>REG</t>
  </si>
  <si>
    <t>8440-20-008-7936</t>
  </si>
  <si>
    <t>Anderson</t>
  </si>
  <si>
    <t>8405-20-001-4513</t>
  </si>
  <si>
    <t>1000-21-070-7060</t>
  </si>
  <si>
    <t>4XL</t>
  </si>
  <si>
    <t>1000-21-264-2550</t>
  </si>
  <si>
    <t>Pick Up</t>
  </si>
  <si>
    <t>Thomas</t>
  </si>
  <si>
    <t>XL/TG</t>
  </si>
  <si>
    <t>8440-20-006-6068</t>
  </si>
  <si>
    <t>(JR / JR)</t>
  </si>
  <si>
    <t>8415-20-006-8915</t>
  </si>
  <si>
    <t>UNP, In Stock</t>
  </si>
  <si>
    <t>Wilson</t>
  </si>
  <si>
    <t>Mia</t>
  </si>
  <si>
    <t>795DB783</t>
  </si>
  <si>
    <t>8405-20-001-4516</t>
  </si>
  <si>
    <t>XXXL</t>
  </si>
  <si>
    <t>8420-20-001-0735</t>
  </si>
  <si>
    <t>1000-21-070-7652</t>
  </si>
  <si>
    <t>XL (60 inch)</t>
  </si>
  <si>
    <t>8440-20-005-2931</t>
  </si>
  <si>
    <t>8440-20-006-6070</t>
  </si>
  <si>
    <t>250/94</t>
  </si>
  <si>
    <t>8430-20-006-2520</t>
  </si>
  <si>
    <t>8405-20-001-1049</t>
  </si>
  <si>
    <t>(L/XL - G/TG)</t>
  </si>
  <si>
    <t>8415-20-006-8917</t>
  </si>
  <si>
    <t>8405-20-004-7503</t>
  </si>
  <si>
    <t>7D</t>
  </si>
  <si>
    <t>8430-20-A0X-9048</t>
  </si>
  <si>
    <t>ac</t>
  </si>
  <si>
    <t>aaa</t>
  </si>
  <si>
    <t>aaaa</t>
  </si>
  <si>
    <t>F3E668A6</t>
  </si>
  <si>
    <t>1000-21-059-6140</t>
  </si>
  <si>
    <t>L</t>
  </si>
  <si>
    <t>---------</t>
  </si>
  <si>
    <t>Completed</t>
  </si>
  <si>
    <t>Frank</t>
  </si>
  <si>
    <t>215B12B4</t>
  </si>
  <si>
    <t>1000-21-059-6148</t>
  </si>
  <si>
    <t>8420-20-001-0734</t>
  </si>
  <si>
    <t>1000-21-070-6448</t>
  </si>
  <si>
    <t>8405-20-003-5841</t>
  </si>
  <si>
    <t>295/112</t>
  </si>
  <si>
    <t>8430-20-006-2563</t>
  </si>
  <si>
    <t>8405-21-920-7101</t>
  </si>
  <si>
    <t>8405-20-013-1471</t>
  </si>
  <si>
    <t>8405-20-004-7489</t>
  </si>
  <si>
    <t>8405-20-004-7508</t>
  </si>
  <si>
    <t>15EEE</t>
  </si>
  <si>
    <t>8430-20-A0X-9354</t>
  </si>
  <si>
    <t>S.O.S</t>
  </si>
  <si>
    <t>Wilson, Mia</t>
  </si>
  <si>
    <t>aaa, aaaa</t>
  </si>
  <si>
    <t xml:space="preserve">S </t>
  </si>
  <si>
    <t>Quinn</t>
  </si>
  <si>
    <t>BF947EB3</t>
  </si>
  <si>
    <t>1000-21-059-7054</t>
  </si>
  <si>
    <t>18-1/2</t>
  </si>
  <si>
    <t>8405-20-001-4517</t>
  </si>
  <si>
    <t>8405-20-003-5842</t>
  </si>
  <si>
    <t>265/112</t>
  </si>
  <si>
    <t>8430-20-006-2538</t>
  </si>
  <si>
    <t>8405-21-920-7279</t>
  </si>
  <si>
    <t>8405-20-013-1472</t>
  </si>
  <si>
    <t>8405-21-920-7276</t>
  </si>
  <si>
    <t>Pick Up, Complete</t>
  </si>
  <si>
    <t>Taylor</t>
  </si>
  <si>
    <t>C:\Users\david\OneDrive\Desktop\Coding\Supply Excel Github\SupplyExcel\Supply_Physical_Inventory.xlsm</t>
  </si>
  <si>
    <t>Miller</t>
  </si>
  <si>
    <t>Liam</t>
  </si>
  <si>
    <t>Female</t>
  </si>
  <si>
    <t>A33FCEBC</t>
  </si>
  <si>
    <t>8405-21-905-7820</t>
  </si>
  <si>
    <t>8L</t>
  </si>
  <si>
    <t>1000-21-165-723</t>
  </si>
  <si>
    <t>8420-20-001-0728</t>
  </si>
  <si>
    <t>8405-20-003-5845</t>
  </si>
  <si>
    <t>310/122</t>
  </si>
  <si>
    <t>8430-20-006-2568</t>
  </si>
  <si>
    <t>XL</t>
  </si>
  <si>
    <t>8405-21-920-7280</t>
  </si>
  <si>
    <t>8405-21-920-7094</t>
  </si>
  <si>
    <t>8405-20-013-1475</t>
  </si>
  <si>
    <t>8405-20-004-7486</t>
  </si>
  <si>
    <t>15D</t>
  </si>
  <si>
    <t>8430-20-A0X-9360</t>
  </si>
  <si>
    <t>7 2/3</t>
  </si>
  <si>
    <t>UNP, Pick Up</t>
  </si>
  <si>
    <t>Samuel</t>
  </si>
  <si>
    <t>EF949E87</t>
  </si>
  <si>
    <t>1000-21-059-7058</t>
  </si>
  <si>
    <t>36 M</t>
  </si>
  <si>
    <t>1000-21-165-3600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</si>
</sst>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0FFB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0" xfId="0" applyNumberFormat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0" borderId="0" xfId="0" applyFill="1"/>
    <xf numFmtId="0" fontId="0" fillId="2" borderId="1" xfId="1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49" fontId="0" fillId="0" borderId="0" xfId="0" applyNumberFormat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5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2"/>
      <tableStyleElement type="headerRow" dxfId="11"/>
      <tableStyleElement type="firstRowStripe" dxfId="10"/>
      <tableStyleElement type="secondRowStripe" dxfId="9"/>
    </tableStyle>
  </tableStyles>
  <colors>
    <mruColors>
      <color rgb="FFFBA3FB"/>
      <color rgb="FF66FF99"/>
      <color rgb="FFC39BE1"/>
      <color rgb="FF70AE8C"/>
      <color rgb="FFDAA100"/>
      <color rgb="FF03E4DF"/>
      <color rgb="FF699BFF"/>
      <color rgb="FFFB873F"/>
      <color rgb="FFFF7575"/>
      <color rgb="FFF6F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277908</xdr:colOff>
      <xdr:row>0</xdr:row>
      <xdr:rowOff>251011</xdr:rowOff>
    </xdr:from>
    <xdr:to>
      <xdr:col>7</xdr:col>
      <xdr:colOff>421342</xdr:colOff>
      <xdr:row>1</xdr:row>
      <xdr:rowOff>125506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B866B9-7AC8-4509-AE11-6476998B59F4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3</xdr:row>
      <xdr:rowOff>89646</xdr:rowOff>
    </xdr:from>
    <xdr:to>
      <xdr:col>7</xdr:col>
      <xdr:colOff>439272</xdr:colOff>
      <xdr:row>5</xdr:row>
      <xdr:rowOff>161365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A15470-9E18-4968-A219-00C690950C1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11</xdr:row>
      <xdr:rowOff>125503</xdr:rowOff>
    </xdr:from>
    <xdr:to>
      <xdr:col>7</xdr:col>
      <xdr:colOff>448235</xdr:colOff>
      <xdr:row>14</xdr:row>
      <xdr:rowOff>17928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5B446C4-1B6E-4CE6-A615-26E34FC888DB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7</xdr:row>
      <xdr:rowOff>107575</xdr:rowOff>
    </xdr:from>
    <xdr:to>
      <xdr:col>7</xdr:col>
      <xdr:colOff>430306</xdr:colOff>
      <xdr:row>9</xdr:row>
      <xdr:rowOff>179293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693AD1E-541F-4159-AB66-5313F1EA9754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161364</xdr:colOff>
      <xdr:row>0</xdr:row>
      <xdr:rowOff>89644</xdr:rowOff>
    </xdr:from>
    <xdr:to>
      <xdr:col>16</xdr:col>
      <xdr:colOff>179294</xdr:colOff>
      <xdr:row>0</xdr:row>
      <xdr:rowOff>519951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E32CBD3-C4AE-4514-916B-5AD4CC4BEAC3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0</xdr:row>
          <xdr:rowOff>68580</xdr:rowOff>
        </xdr:from>
        <xdr:to>
          <xdr:col>22</xdr:col>
          <xdr:colOff>502920</xdr:colOff>
          <xdr:row>0</xdr:row>
          <xdr:rowOff>441960</xdr:rowOff>
        </xdr:to>
        <xdr:sp macro="" textlink="">
          <xdr:nvSpPr>
            <xdr:cNvPr id="163873" name="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02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5" name="Complete" hidden="1">
              <a:extLst>
                <a:ext uri="{63B3BB69-23CF-44E3-9099-C40C66FF867C}">
                  <a14:compatExt spid="_x0000_s163875"/>
                </a:ext>
                <a:ext uri="{FF2B5EF4-FFF2-40B4-BE49-F238E27FC236}">
                  <a16:creationId xmlns:a16="http://schemas.microsoft.com/office/drawing/2014/main" id="{00000000-0008-0000-0200-00002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7" name="Complete" hidden="1">
              <a:extLst>
                <a:ext uri="{63B3BB69-23CF-44E3-9099-C40C66FF867C}">
                  <a14:compatExt spid="_x0000_s163877"/>
                </a:ext>
                <a:ext uri="{FF2B5EF4-FFF2-40B4-BE49-F238E27FC236}">
                  <a16:creationId xmlns:a16="http://schemas.microsoft.com/office/drawing/2014/main" id="{00000000-0008-0000-0200-00002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78" name="Complete" hidden="1">
              <a:extLst>
                <a:ext uri="{63B3BB69-23CF-44E3-9099-C40C66FF867C}">
                  <a14:compatExt spid="_x0000_s163878"/>
                </a:ext>
                <a:ext uri="{FF2B5EF4-FFF2-40B4-BE49-F238E27FC236}">
                  <a16:creationId xmlns:a16="http://schemas.microsoft.com/office/drawing/2014/main" id="{00000000-0008-0000-0200-00002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163879" name="Complete" hidden="1">
              <a:extLst>
                <a:ext uri="{63B3BB69-23CF-44E3-9099-C40C66FF867C}">
                  <a14:compatExt spid="_x0000_s163879"/>
                </a:ext>
                <a:ext uri="{FF2B5EF4-FFF2-40B4-BE49-F238E27FC236}">
                  <a16:creationId xmlns:a16="http://schemas.microsoft.com/office/drawing/2014/main" id="{00000000-0008-0000-0200-00002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80" name="Complete" hidden="1">
              <a:extLst>
                <a:ext uri="{63B3BB69-23CF-44E3-9099-C40C66FF867C}">
                  <a14:compatExt spid="_x0000_s163880"/>
                </a:ext>
                <a:ext uri="{FF2B5EF4-FFF2-40B4-BE49-F238E27FC236}">
                  <a16:creationId xmlns:a16="http://schemas.microsoft.com/office/drawing/2014/main" id="{00000000-0008-0000-0200-00002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163881" name="Complete" hidden="1">
              <a:extLst>
                <a:ext uri="{63B3BB69-23CF-44E3-9099-C40C66FF867C}">
                  <a14:compatExt spid="_x0000_s163881"/>
                </a:ext>
                <a:ext uri="{FF2B5EF4-FFF2-40B4-BE49-F238E27FC236}">
                  <a16:creationId xmlns:a16="http://schemas.microsoft.com/office/drawing/2014/main" id="{00000000-0008-0000-0200-00002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63882" name="Complete" hidden="1">
              <a:extLst>
                <a:ext uri="{63B3BB69-23CF-44E3-9099-C40C66FF867C}">
                  <a14:compatExt spid="_x0000_s163882"/>
                </a:ext>
                <a:ext uri="{FF2B5EF4-FFF2-40B4-BE49-F238E27FC236}">
                  <a16:creationId xmlns:a16="http://schemas.microsoft.com/office/drawing/2014/main" id="{00000000-0008-0000-0200-00002A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163883" name="Complete" hidden="1">
              <a:extLst>
                <a:ext uri="{63B3BB69-23CF-44E3-9099-C40C66FF867C}">
                  <a14:compatExt spid="_x0000_s163883"/>
                </a:ext>
                <a:ext uri="{FF2B5EF4-FFF2-40B4-BE49-F238E27FC236}">
                  <a16:creationId xmlns:a16="http://schemas.microsoft.com/office/drawing/2014/main" id="{00000000-0008-0000-0200-00002B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3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3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3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00000000-0008-0000-0300-00000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5829" name="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00000000-0008-0000-0300-00000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5830" name="Button 6" hidden="1">
              <a:extLst>
                <a:ext uri="{63B3BB69-23CF-44E3-9099-C40C66FF867C}">
                  <a14:compatExt spid="_x0000_s205830"/>
                </a:ext>
                <a:ext uri="{FF2B5EF4-FFF2-40B4-BE49-F238E27FC236}">
                  <a16:creationId xmlns:a16="http://schemas.microsoft.com/office/drawing/2014/main" id="{00000000-0008-0000-0300-00000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4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4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4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4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00000000-0008-0000-0400-00000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6854" name="Button 6" hidden="1">
              <a:extLst>
                <a:ext uri="{63B3BB69-23CF-44E3-9099-C40C66FF867C}">
                  <a14:compatExt spid="_x0000_s206854"/>
                </a:ext>
                <a:ext uri="{FF2B5EF4-FFF2-40B4-BE49-F238E27FC236}">
                  <a16:creationId xmlns:a16="http://schemas.microsoft.com/office/drawing/2014/main" id="{00000000-0008-0000-0400-00000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05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05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00000000-0008-0000-0500-00000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00000000-0008-0000-0500-00000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7877" name="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0000000-0008-0000-0500-00000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7878" name="Button 6" hidden="1">
              <a:extLst>
                <a:ext uri="{63B3BB69-23CF-44E3-9099-C40C66FF867C}">
                  <a14:compatExt spid="_x0000_s207878"/>
                </a:ext>
                <a:ext uri="{FF2B5EF4-FFF2-40B4-BE49-F238E27FC236}">
                  <a16:creationId xmlns:a16="http://schemas.microsoft.com/office/drawing/2014/main" id="{00000000-0008-0000-0500-00000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6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6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6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00000000-0008-0000-0600-00000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00000000-0008-0000-0600-00000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08902" name="Button 6" hidden="1">
              <a:extLst>
                <a:ext uri="{63B3BB69-23CF-44E3-9099-C40C66FF867C}">
                  <a14:compatExt spid="_x0000_s208902"/>
                </a:ext>
                <a:ext uri="{FF2B5EF4-FFF2-40B4-BE49-F238E27FC236}">
                  <a16:creationId xmlns:a16="http://schemas.microsoft.com/office/drawing/2014/main" id="{00000000-0008-0000-0600-00000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A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18114" name="Button 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A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18115" name="Button 3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00000000-0008-0000-0A00-00000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18116" name="Button 4" hidden="1">
              <a:extLst>
                <a:ext uri="{63B3BB69-23CF-44E3-9099-C40C66FF867C}">
                  <a14:compatExt spid="_x0000_s218116"/>
                </a:ext>
                <a:ext uri="{FF2B5EF4-FFF2-40B4-BE49-F238E27FC236}">
                  <a16:creationId xmlns:a16="http://schemas.microsoft.com/office/drawing/2014/main" id="{00000000-0008-0000-0A00-00000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8117" name="Button 5" hidden="1">
              <a:extLst>
                <a:ext uri="{63B3BB69-23CF-44E3-9099-C40C66FF867C}">
                  <a14:compatExt spid="_x0000_s218117"/>
                </a:ext>
                <a:ext uri="{FF2B5EF4-FFF2-40B4-BE49-F238E27FC236}">
                  <a16:creationId xmlns:a16="http://schemas.microsoft.com/office/drawing/2014/main" id="{00000000-0008-0000-0A00-00000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18118" name="Button 6" hidden="1">
              <a:extLst>
                <a:ext uri="{63B3BB69-23CF-44E3-9099-C40C66FF867C}">
                  <a14:compatExt spid="_x0000_s218118"/>
                </a:ext>
                <a:ext uri="{FF2B5EF4-FFF2-40B4-BE49-F238E27FC236}">
                  <a16:creationId xmlns:a16="http://schemas.microsoft.com/office/drawing/2014/main" id="{00000000-0008-0000-0A00-00000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9668CDD7-5351-4101-B47B-70F439E22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221186" name="Button 2" hidden="1">
              <a:extLst>
                <a:ext uri="{63B3BB69-23CF-44E3-9099-C40C66FF867C}">
                  <a14:compatExt spid="_x0000_s221186"/>
                </a:ext>
                <a:ext uri="{FF2B5EF4-FFF2-40B4-BE49-F238E27FC236}">
                  <a16:creationId xmlns:a16="http://schemas.microsoft.com/office/drawing/2014/main" id="{12390E0F-37C7-4A61-92BE-B21FF5A13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21187" name="Button 3" hidden="1">
              <a:extLst>
                <a:ext uri="{63B3BB69-23CF-44E3-9099-C40C66FF867C}">
                  <a14:compatExt spid="_x0000_s221187"/>
                </a:ext>
                <a:ext uri="{FF2B5EF4-FFF2-40B4-BE49-F238E27FC236}">
                  <a16:creationId xmlns:a16="http://schemas.microsoft.com/office/drawing/2014/main" id="{002056FB-F11F-4F52-BCA2-DC06CA32E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21188" name="Button 4" hidden="1">
              <a:extLst>
                <a:ext uri="{63B3BB69-23CF-44E3-9099-C40C66FF867C}">
                  <a14:compatExt spid="_x0000_s221188"/>
                </a:ext>
                <a:ext uri="{FF2B5EF4-FFF2-40B4-BE49-F238E27FC236}">
                  <a16:creationId xmlns:a16="http://schemas.microsoft.com/office/drawing/2014/main" id="{F9692EB1-2A20-4D40-8AD8-D4168DEF5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1189" name="Button 5" hidden="1">
              <a:extLst>
                <a:ext uri="{63B3BB69-23CF-44E3-9099-C40C66FF867C}">
                  <a14:compatExt spid="_x0000_s221189"/>
                </a:ext>
                <a:ext uri="{FF2B5EF4-FFF2-40B4-BE49-F238E27FC236}">
                  <a16:creationId xmlns:a16="http://schemas.microsoft.com/office/drawing/2014/main" id="{B836B456-0086-4F3E-916B-05BE1B953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21190" name="Button 6" hidden="1">
              <a:extLst>
                <a:ext uri="{63B3BB69-23CF-44E3-9099-C40C66FF867C}">
                  <a14:compatExt spid="_x0000_s221190"/>
                </a:ext>
                <a:ext uri="{FF2B5EF4-FFF2-40B4-BE49-F238E27FC236}">
                  <a16:creationId xmlns:a16="http://schemas.microsoft.com/office/drawing/2014/main" id="{391BD0C4-8B90-461C-A157-430C21DD4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8" totalsRowShown="0" headerRowDxfId="84" dataDxfId="82" headerRowBorderDxfId="83" tableBorderDxfId="81" totalsRowBorderDxfId="80" headerRowCellStyle="60% - Accent5">
  <autoFilter ref="A1:E8" xr:uid="{7E3155DF-3CB2-4063-8346-D3006162EB2E}"/>
  <sortState xmlns:xlrd2="http://schemas.microsoft.com/office/spreadsheetml/2017/richdata2" ref="A2:E8">
    <sortCondition ref="A1:A8"/>
  </sortState>
  <tableColumns count="5">
    <tableColumn id="1" xr3:uid="{4A3C96D4-74F9-46DA-B54B-0CD347E35136}" name="Surname" dataDxfId="79" dataCellStyle="Hyperlink"/>
    <tableColumn id="2" xr3:uid="{2B90B92F-5F96-4EDA-9BBB-0E797162ECC4}" name="First Name" dataDxfId="78" dataCellStyle="Hyperlink"/>
    <tableColumn id="8" xr3:uid="{CFE0A41F-FE26-4CF3-BAA8-F6CEC7B006D4}" name="Status" dataDxfId="77" dataCellStyle="Hyperlink"/>
    <tableColumn id="3" xr3:uid="{EBBDE5FC-4AD9-4996-A6CE-25D9B52D4D03}" name="Date" dataDxfId="76"/>
    <tableColumn id="4" xr3:uid="{854BBB0E-E50E-4F6C-90CC-6180E0CE5D32}" name="ID" dataDxfId="7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E4FF29-238F-4282-BF0D-2AE6E318C4D2}" name="Mia_Wilson_795DB783ExchangeTable" displayName="Mia_Wilson_795DB783ExchangeTable" ref="A37:D39" totalsRowShown="0">
  <autoFilter ref="A37:D39" xr:uid="{6FE4FF29-238F-4282-BF0D-2AE6E318C4D2}"/>
  <tableColumns count="4">
    <tableColumn id="1" xr3:uid="{A273C31D-8974-4B1C-B818-5D68CE626B6C}" name="Date"/>
    <tableColumn id="2" xr3:uid="{D68340BE-E5C3-46F5-9F4E-B12BC40E0A43}" name="Item"/>
    <tableColumn id="3" xr3:uid="{DB3A997A-942E-4771-830A-92579AAB258F}" name="Old Size"/>
    <tableColumn id="4" xr3:uid="{DDDE9B8C-2EE8-405C-88A9-2B19EC23F569}" name="New Size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644CD-AC6E-4079-9073-937A6C916236}" name="aaaa_aaa_F3E668A6ExchangeTable" displayName="aaaa_aaa_F3E668A6ExchangeTable" ref="A37:D38" totalsRowShown="0">
  <autoFilter ref="A37:D38" xr:uid="{65D644CD-AC6E-4079-9073-937A6C916236}"/>
  <tableColumns count="4">
    <tableColumn id="1" xr3:uid="{B45FD0D5-3323-4313-A905-FE5D5A2D7375}" name="Date"/>
    <tableColumn id="2" xr3:uid="{C470C874-E413-4C2D-A48D-9B2B68A28C30}" name="Item"/>
    <tableColumn id="3" xr3:uid="{B21B9665-E936-4815-B8A2-926E8E570397}" name="Old Size"/>
    <tableColumn id="4" xr3:uid="{44A76371-C4ED-49AE-A16E-FE2E7B0C2873}" name="New Size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77FEB2-A574-4699-A9AE-355CBD4B64E0}" name="Frank_Thomas_215B12B4ExchangeTable" displayName="Frank_Thomas_215B12B4ExchangeTable" ref="A37:D38" insertRow="1" totalsRowShown="0">
  <autoFilter ref="A37:D38" xr:uid="{9777FEB2-A574-4699-A9AE-355CBD4B64E0}"/>
  <tableColumns count="4">
    <tableColumn id="1" xr3:uid="{77774DBD-B138-491C-89DD-2E309835BCDE}" name="Date"/>
    <tableColumn id="2" xr3:uid="{93630F4F-4D70-4674-B489-EF2407F8947F}" name="Item"/>
    <tableColumn id="3" xr3:uid="{797DA114-6F3B-40A9-8E42-3ACF4FF5036B}" name="Old Size"/>
    <tableColumn id="4" xr3:uid="{FF7181D8-8B11-4DE9-8CD3-1D14FD27CC68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95624B-5AF6-46AC-B2DA-EC86E277F28D}" name="Quinn_Anderson_BF947EB3ExchangeTable" displayName="Quinn_Anderson_BF947EB3ExchangeTable" ref="A37:D38" totalsRowShown="0">
  <autoFilter ref="A37:D38" xr:uid="{CC95624B-5AF6-46AC-B2DA-EC86E277F28D}"/>
  <tableColumns count="4">
    <tableColumn id="1" xr3:uid="{BF076273-6F88-4F1A-99F3-34B35F939A6A}" name="Date"/>
    <tableColumn id="2" xr3:uid="{E4966B22-4CB8-4281-B7F8-6CF313BEE831}" name="Item"/>
    <tableColumn id="3" xr3:uid="{FB4104A9-694E-4816-8539-AE0F7AC19815}" name="Old Size"/>
    <tableColumn id="4" xr3:uid="{211E4848-DE82-40FC-90AD-39E240A9CB30}" name="New Size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E9AA11-1132-4D7A-B1CC-231355B19241}" name="Liam_Miller_A33FCEBCExchangeTable" displayName="Liam_Miller_A33FCEBCExchangeTable" ref="A37:D38" insertRow="1" totalsRowShown="0">
  <autoFilter ref="A37:D38" xr:uid="{7BE9AA11-1132-4D7A-B1CC-231355B19241}"/>
  <tableColumns count="4">
    <tableColumn id="1" xr3:uid="{F6E73920-74C2-4EEA-903C-7B1912223F64}" name="Date"/>
    <tableColumn id="2" xr3:uid="{3360DB5A-0E55-4666-933A-8B0187479A92}" name="Item"/>
    <tableColumn id="3" xr3:uid="{A31BEBF8-B2B9-4600-8966-4029F15404B6}" name="Old Size"/>
    <tableColumn id="4" xr3:uid="{1888082C-1F5E-4691-9654-1A4CA214CEE2}" name="New Size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0F8660-4D51-4C26-9D9F-DABE45E712EE}" name="Samuel_Taylor_EF949E87ExchangeTable" displayName="Samuel_Taylor_EF949E87ExchangeTable" ref="A37:D38" insertRow="1" totalsRowShown="0">
  <autoFilter ref="A37:D38" xr:uid="{A70F8660-4D51-4C26-9D9F-DABE45E712EE}"/>
  <tableColumns count="4">
    <tableColumn id="1" xr3:uid="{129E7ED6-9F20-42EC-AC80-028003094A01}" name="Date"/>
    <tableColumn id="2" xr3:uid="{5BA4CD81-715B-4896-AA21-4F793221C5E6}" name="Item"/>
    <tableColumn id="3" xr3:uid="{E882F2F3-95F5-4589-A86A-94B8816BC84B}" name="Old Size"/>
    <tableColumn id="4" xr3:uid="{80075720-DDBC-4369-B47A-6BEDB53A684A}" name="New Size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CW8"/>
  <sheetViews>
    <sheetView tabSelected="1" zoomScale="85" zoomScaleNormal="85" workbookViewId="0">
      <selection activeCell="K4" sqref="K4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01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66</v>
      </c>
      <c r="CW1" t="s">
        <v>141</v>
      </c>
    </row>
    <row r="2" spans="1:101" x14ac:dyDescent="0.3">
      <c r="A2" s="32" t="s">
        <v>103</v>
      </c>
      <c r="B2" s="30" t="s">
        <v>104</v>
      </c>
      <c r="C2" s="31" t="s">
        <v>139</v>
      </c>
      <c r="D2" s="34">
        <v>45287.871180555558</v>
      </c>
      <c r="E2" s="35" t="s">
        <v>105</v>
      </c>
    </row>
    <row r="3" spans="1:101" x14ac:dyDescent="0.3">
      <c r="A3" s="32" t="s">
        <v>72</v>
      </c>
      <c r="B3" s="30" t="s">
        <v>128</v>
      </c>
      <c r="C3" s="31" t="s">
        <v>83</v>
      </c>
      <c r="D3" s="34">
        <v>45287.92046296296</v>
      </c>
      <c r="E3" s="35" t="s">
        <v>129</v>
      </c>
    </row>
    <row r="4" spans="1:101" x14ac:dyDescent="0.3">
      <c r="A4" s="32" t="s">
        <v>142</v>
      </c>
      <c r="B4" s="30" t="s">
        <v>143</v>
      </c>
      <c r="C4" s="31" t="s">
        <v>45</v>
      </c>
      <c r="D4" s="34">
        <v>45290.647974537038</v>
      </c>
      <c r="E4" s="35" t="s">
        <v>145</v>
      </c>
    </row>
    <row r="5" spans="1:101" x14ac:dyDescent="0.3">
      <c r="A5" s="32" t="s">
        <v>78</v>
      </c>
      <c r="B5" s="30" t="s">
        <v>110</v>
      </c>
      <c r="C5" s="31" t="s">
        <v>124</v>
      </c>
      <c r="D5" s="34">
        <v>45287.871516203704</v>
      </c>
      <c r="E5" s="35" t="s">
        <v>111</v>
      </c>
    </row>
    <row r="6" spans="1:101" x14ac:dyDescent="0.3">
      <c r="A6" s="32" t="s">
        <v>84</v>
      </c>
      <c r="B6" s="30" t="s">
        <v>85</v>
      </c>
      <c r="C6" s="31" t="s">
        <v>161</v>
      </c>
      <c r="D6" s="34">
        <v>45287.865833333337</v>
      </c>
      <c r="E6" s="35" t="s">
        <v>86</v>
      </c>
    </row>
    <row r="7" spans="1:101" x14ac:dyDescent="0.3">
      <c r="A7" s="32"/>
      <c r="B7" s="30"/>
      <c r="C7" s="31"/>
      <c r="D7" s="34"/>
      <c r="E7" s="35"/>
    </row>
    <row r="8" spans="1:101" x14ac:dyDescent="0.3">
      <c r="A8" s="32"/>
      <c r="B8" s="30"/>
      <c r="C8" s="31"/>
      <c r="D8" s="34"/>
      <c r="E8" s="35"/>
    </row>
  </sheetData>
  <conditionalFormatting sqref="C2:C8">
    <cfRule type="cellIs" dxfId="74" priority="1" operator="equal">
      <formula>"S.O.S"</formula>
    </cfRule>
    <cfRule type="containsText" dxfId="73" priority="2" operator="containsText" text="UNP">
      <formula>NOT(ISERROR(SEARCH("UNP",C2)))</formula>
    </cfRule>
    <cfRule type="cellIs" dxfId="72" priority="3" operator="equal">
      <formula>"In Stock"</formula>
    </cfRule>
    <cfRule type="containsText" dxfId="71" priority="4" operator="containsText" text="Pick Up">
      <formula>NOT(ISERROR(SEARCH("Pick Up",C2)))</formula>
    </cfRule>
    <cfRule type="cellIs" dxfId="70" priority="9" operator="equal">
      <formula>"Ready To Order"</formula>
    </cfRule>
    <cfRule type="containsText" dxfId="69" priority="10" operator="containsText" text="Ordered">
      <formula>NOT(ISERROR(SEARCH("Ordered",C2)))</formula>
    </cfRule>
    <cfRule type="containsText" dxfId="68" priority="11" operator="containsText" text="Complete">
      <formula>NOT(ISERROR(SEARCH("Complete",C2)))</formula>
    </cfRule>
    <cfRule type="cellIs" dxfId="67" priority="12" operator="equal">
      <formula>"Returned"</formula>
    </cfRule>
  </conditionalFormatting>
  <hyperlinks>
    <hyperlink ref="A6" location="'Mia_Wilson_795DB783'!A1" display="Wilson" xr:uid="{87DDCC41-71EC-4317-9D96-407828C7634C}"/>
    <hyperlink ref="A2" location="'aaaa_aaa_F3E668A6'!A1" display="aaa" xr:uid="{A711CC3A-AAAC-44BC-8206-F6B3CB104A53}"/>
    <hyperlink ref="A5" location="'Frank_Thomas_215B12B4'!A1" display="Thomas" xr:uid="{E17C77DD-5BDD-4855-B566-AC40D78F0C70}"/>
    <hyperlink ref="A3" location="'Quinn_Anderson_BF947EB3'!A1" display="Anderson" xr:uid="{E3D264E0-ABB3-49DB-9EF6-6684ACB43E1E}"/>
    <hyperlink ref="A4" location="'Liam_Miller_A33FCEBC'!A1" display="Miller" xr:uid="{B9BBEB94-D196-4C2A-9A86-C492549C560B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M3" sqref="M3"/>
    </sheetView>
  </sheetViews>
  <sheetFormatPr defaultRowHeight="14.4" x14ac:dyDescent="0.3"/>
  <sheetData>
    <row r="1" spans="1:13" ht="37.950000000000003" customHeight="1" x14ac:dyDescent="0.3">
      <c r="A1" s="37" t="s">
        <v>49</v>
      </c>
      <c r="B1" s="37" t="s">
        <v>53</v>
      </c>
      <c r="C1" s="37" t="s">
        <v>2</v>
      </c>
      <c r="D1" s="37" t="s">
        <v>54</v>
      </c>
      <c r="E1" s="37" t="s">
        <v>9</v>
      </c>
      <c r="F1" s="37" t="s">
        <v>11</v>
      </c>
      <c r="G1" s="37" t="s">
        <v>12</v>
      </c>
      <c r="H1" s="37" t="s">
        <v>13</v>
      </c>
      <c r="I1" s="37" t="s">
        <v>55</v>
      </c>
      <c r="J1" s="37" t="s">
        <v>15</v>
      </c>
      <c r="K1" s="37" t="s">
        <v>56</v>
      </c>
      <c r="L1" s="37" t="s">
        <v>57</v>
      </c>
      <c r="M1" s="37" t="s">
        <v>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X3"/>
  <sheetViews>
    <sheetView workbookViewId="0">
      <selection activeCell="F17" sqref="F17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0.4414062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0.44140625" customWidth="1"/>
    <col min="17" max="17" width="6.109375" customWidth="1"/>
    <col min="24" max="24" width="0.21875" customWidth="1"/>
  </cols>
  <sheetData>
    <row r="1" spans="1:24" ht="41.7" customHeight="1" x14ac:dyDescent="0.3">
      <c r="A1" s="38" t="s">
        <v>64</v>
      </c>
      <c r="B1" s="38" t="s">
        <v>18</v>
      </c>
      <c r="C1" s="38" t="s">
        <v>21</v>
      </c>
      <c r="D1" s="38" t="s">
        <v>19</v>
      </c>
      <c r="E1" s="38" t="s">
        <v>20</v>
      </c>
      <c r="F1" s="38" t="s">
        <v>24</v>
      </c>
      <c r="G1" s="38" t="s">
        <v>23</v>
      </c>
      <c r="H1" s="38" t="s">
        <v>25</v>
      </c>
      <c r="I1" s="38" t="s">
        <v>26</v>
      </c>
      <c r="J1" s="38" t="s">
        <v>27</v>
      </c>
      <c r="K1" s="38"/>
      <c r="L1" s="38" t="s">
        <v>28</v>
      </c>
      <c r="M1" s="38" t="s">
        <v>22</v>
      </c>
      <c r="N1" s="38" t="s">
        <v>29</v>
      </c>
      <c r="O1" s="38" t="s">
        <v>30</v>
      </c>
      <c r="P1" s="38"/>
      <c r="Q1" s="38" t="s">
        <v>33</v>
      </c>
      <c r="R1" s="38" t="s">
        <v>31</v>
      </c>
      <c r="S1" s="38" t="s">
        <v>48</v>
      </c>
      <c r="T1" s="38" t="s">
        <v>32</v>
      </c>
      <c r="U1" s="33"/>
      <c r="V1" s="33"/>
      <c r="W1" s="33"/>
      <c r="X1" s="33"/>
    </row>
    <row r="2" spans="1:24" x14ac:dyDescent="0.3">
      <c r="A2" t="s">
        <v>125</v>
      </c>
      <c r="B2" s="39">
        <v>8052</v>
      </c>
      <c r="C2" s="39">
        <v>18</v>
      </c>
      <c r="D2" s="39" t="s">
        <v>88</v>
      </c>
      <c r="E2" s="39">
        <v>7652</v>
      </c>
      <c r="F2" s="39">
        <v>7.5</v>
      </c>
      <c r="G2" s="39" t="s">
        <v>91</v>
      </c>
      <c r="H2" s="39" t="s">
        <v>58</v>
      </c>
      <c r="I2" s="39" t="s">
        <v>127</v>
      </c>
      <c r="J2" s="39" t="s">
        <v>94</v>
      </c>
      <c r="L2" s="39" t="s">
        <v>51</v>
      </c>
      <c r="M2" s="39" t="s">
        <v>75</v>
      </c>
      <c r="N2" s="39">
        <v>7656</v>
      </c>
      <c r="O2" s="39" t="s">
        <v>97</v>
      </c>
      <c r="Q2" s="39">
        <v>7.666666666666667</v>
      </c>
      <c r="R2" s="39">
        <v>7652</v>
      </c>
      <c r="S2" s="39">
        <v>7047</v>
      </c>
      <c r="T2" s="39" t="s">
        <v>100</v>
      </c>
    </row>
    <row r="3" spans="1:24" x14ac:dyDescent="0.3">
      <c r="A3" t="s">
        <v>126</v>
      </c>
      <c r="B3" s="39">
        <v>6140</v>
      </c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3" r:id="rId4" name="Button 33">
              <controlPr defaultSize="0" print="0" autoFill="0" autoPict="0" macro="[0]!pickup">
                <anchor moveWithCells="1" sizeWithCells="1">
                  <from>
                    <xdr:col>20</xdr:col>
                    <xdr:colOff>68580</xdr:colOff>
                    <xdr:row>0</xdr:row>
                    <xdr:rowOff>68580</xdr:rowOff>
                  </from>
                  <to>
                    <xdr:col>22</xdr:col>
                    <xdr:colOff>502920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5" r:id="rId5" name="Complete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7" r:id="rId6" name="Button 37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8" r:id="rId7" name="Button 38">
              <controlPr defaultSize="0" print="0" autoFill="0" autoPict="0" macro="[0]!'markPickUpAsComplete &quot;Mia_Wilson_795DB783&quot;, 1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9" r:id="rId8" name="Button 39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0" r:id="rId9" name="Button 40">
              <controlPr defaultSize="0" print="0" autoFill="0" autoPict="0" macro="[0]!'markPickUpAsComplete &quot;Mia_Wilson_795DB783&quot;, 1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1" r:id="rId10" name="Button 41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2" r:id="rId11" name="Button 42">
              <controlPr defaultSize="0" print="0" autoFill="0" autoPict="0" macro="[0]!'markPickUpAsComplete &quot;Mia_Wilson_795DB783&quot;, 1'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3" r:id="rId12" name="Button 43">
              <controlPr defaultSize="0" print="0" autoFill="0" autoPict="0" macro="[0]!'markPickUpAsComplete &quot;aaaa_aaa_F3E668A6&quot;, 2'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D42BA-C064-4EC6-A94F-79B86C5C4A1F}">
  <sheetPr codeName="Sheet5"/>
  <dimension ref="A1:L39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42" t="s">
        <v>84</v>
      </c>
      <c r="D2" s="42"/>
      <c r="E2" s="42" t="s">
        <v>85</v>
      </c>
      <c r="F2" s="42"/>
      <c r="G2" s="1" t="s">
        <v>86</v>
      </c>
      <c r="K2" s="4" t="s">
        <v>9</v>
      </c>
      <c r="L2" s="4">
        <v>22</v>
      </c>
    </row>
    <row r="3" spans="1:12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>
        <v>17.3</v>
      </c>
    </row>
    <row r="4" spans="1:12" x14ac:dyDescent="0.3">
      <c r="A4" s="1" t="s">
        <v>39</v>
      </c>
      <c r="B4" s="53">
        <v>7345806215</v>
      </c>
      <c r="C4" s="53"/>
      <c r="D4" s="53"/>
      <c r="E4" s="42" t="s">
        <v>52</v>
      </c>
      <c r="F4" s="42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>
        <v>51</v>
      </c>
    </row>
    <row r="6" spans="1:12" x14ac:dyDescent="0.3">
      <c r="A6" s="3" t="s">
        <v>146</v>
      </c>
      <c r="B6" s="41" t="s">
        <v>18</v>
      </c>
      <c r="C6" s="41"/>
      <c r="D6" s="41"/>
      <c r="E6" s="4">
        <v>6732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36.5</v>
      </c>
    </row>
    <row r="7" spans="1:12" x14ac:dyDescent="0.3">
      <c r="A7" s="2" t="s">
        <v>87</v>
      </c>
      <c r="B7" s="42" t="s">
        <v>21</v>
      </c>
      <c r="C7" s="42"/>
      <c r="D7" s="42"/>
      <c r="E7" s="1">
        <v>18</v>
      </c>
      <c r="F7" s="16">
        <v>1</v>
      </c>
      <c r="G7" s="25" t="s">
        <v>77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89</v>
      </c>
      <c r="B8" s="41" t="s">
        <v>19</v>
      </c>
      <c r="C8" s="41"/>
      <c r="D8" s="41"/>
      <c r="E8" s="4" t="s">
        <v>88</v>
      </c>
      <c r="F8" s="4">
        <v>1</v>
      </c>
      <c r="G8" s="25" t="s">
        <v>77</v>
      </c>
      <c r="H8" s="28" t="str">
        <f>HYPERLINK("#G8",CHAR(128))</f>
        <v>€</v>
      </c>
      <c r="K8" s="4" t="s">
        <v>16</v>
      </c>
      <c r="L8" s="4">
        <v>248.5</v>
      </c>
    </row>
    <row r="9" spans="1:12" x14ac:dyDescent="0.3">
      <c r="A9" s="2" t="s">
        <v>90</v>
      </c>
      <c r="B9" s="42" t="s">
        <v>20</v>
      </c>
      <c r="C9" s="42"/>
      <c r="D9" s="42"/>
      <c r="E9" s="1">
        <v>7652</v>
      </c>
      <c r="F9" s="16">
        <v>1</v>
      </c>
      <c r="G9" s="25" t="s">
        <v>77</v>
      </c>
      <c r="H9" s="28" t="str">
        <f>HYPERLINK("#G9",CHAR(128))</f>
        <v>€</v>
      </c>
      <c r="I9" s="11"/>
      <c r="K9" s="1" t="s">
        <v>17</v>
      </c>
      <c r="L9" s="1">
        <v>90.1</v>
      </c>
    </row>
    <row r="10" spans="1:12" x14ac:dyDescent="0.3">
      <c r="A10" s="3"/>
      <c r="B10" s="41" t="s">
        <v>24</v>
      </c>
      <c r="C10" s="41"/>
      <c r="D10" s="41"/>
      <c r="E10" s="8">
        <v>7.5</v>
      </c>
      <c r="F10" s="4">
        <v>1</v>
      </c>
      <c r="G10" s="25" t="s">
        <v>77</v>
      </c>
      <c r="H10" s="28" t="str">
        <f>HYPERLINK("#G10",CHAR(128))</f>
        <v>€</v>
      </c>
      <c r="K10" s="15" t="s">
        <v>47</v>
      </c>
      <c r="L10" s="15">
        <v>9.3000000000000007</v>
      </c>
    </row>
    <row r="11" spans="1:12" x14ac:dyDescent="0.3">
      <c r="A11" s="2" t="s">
        <v>92</v>
      </c>
      <c r="B11" s="42" t="s">
        <v>23</v>
      </c>
      <c r="C11" s="42"/>
      <c r="D11" s="42"/>
      <c r="E11" s="1" t="s">
        <v>91</v>
      </c>
      <c r="F11" s="16">
        <v>1</v>
      </c>
      <c r="G11" s="25" t="s">
        <v>77</v>
      </c>
      <c r="H11" s="28" t="str">
        <f>HYPERLINK("#G11",CHAR(128))</f>
        <v>€</v>
      </c>
    </row>
    <row r="12" spans="1:12" x14ac:dyDescent="0.3">
      <c r="A12" s="5" t="s">
        <v>59</v>
      </c>
      <c r="B12" s="41" t="s">
        <v>25</v>
      </c>
      <c r="C12" s="41"/>
      <c r="D12" s="41"/>
      <c r="E12" s="4" t="s">
        <v>58</v>
      </c>
      <c r="F12" s="4">
        <v>1</v>
      </c>
      <c r="G12" s="25" t="s">
        <v>77</v>
      </c>
      <c r="H12" s="28" t="str">
        <f>HYPERLINK("#G12",CHAR(128))</f>
        <v>€</v>
      </c>
    </row>
    <row r="13" spans="1:12" x14ac:dyDescent="0.3">
      <c r="A13" s="2" t="s">
        <v>93</v>
      </c>
      <c r="B13" s="42" t="s">
        <v>26</v>
      </c>
      <c r="C13" s="42"/>
      <c r="D13" s="42"/>
      <c r="E13" s="1" t="s">
        <v>127</v>
      </c>
      <c r="F13" s="16">
        <v>1</v>
      </c>
      <c r="G13" s="25" t="s">
        <v>77</v>
      </c>
      <c r="H13" s="28" t="str">
        <f>HYPERLINK("#G13",CHAR(128))</f>
        <v>€</v>
      </c>
    </row>
    <row r="14" spans="1:12" x14ac:dyDescent="0.3">
      <c r="A14" s="5" t="s">
        <v>95</v>
      </c>
      <c r="B14" s="41" t="s">
        <v>27</v>
      </c>
      <c r="C14" s="41"/>
      <c r="D14" s="41"/>
      <c r="E14" s="4" t="s">
        <v>94</v>
      </c>
      <c r="F14" s="4">
        <v>1</v>
      </c>
      <c r="G14" s="25" t="s">
        <v>77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/>
      <c r="F15" s="16"/>
      <c r="G15" s="25" t="s">
        <v>77</v>
      </c>
      <c r="H15" s="14"/>
    </row>
    <row r="16" spans="1:12" x14ac:dyDescent="0.3">
      <c r="A16" s="5" t="s">
        <v>46</v>
      </c>
      <c r="B16" s="41" t="s">
        <v>28</v>
      </c>
      <c r="C16" s="41"/>
      <c r="D16" s="41"/>
      <c r="E16" s="4" t="s">
        <v>51</v>
      </c>
      <c r="F16" s="4">
        <v>1</v>
      </c>
      <c r="G16" s="25" t="s">
        <v>77</v>
      </c>
      <c r="H16" s="23" t="str">
        <f>HYPERLINK("#G16",CHAR(128))</f>
        <v>€</v>
      </c>
    </row>
    <row r="17" spans="1:10" x14ac:dyDescent="0.3">
      <c r="A17" s="2" t="s">
        <v>76</v>
      </c>
      <c r="B17" s="42" t="s">
        <v>22</v>
      </c>
      <c r="C17" s="42"/>
      <c r="D17" s="42"/>
      <c r="E17" s="1" t="s">
        <v>75</v>
      </c>
      <c r="F17" s="16">
        <v>1</v>
      </c>
      <c r="G17" s="25" t="s">
        <v>77</v>
      </c>
      <c r="H17" s="23" t="str">
        <f>HYPERLINK("#G17",CHAR(128))</f>
        <v>€</v>
      </c>
    </row>
    <row r="18" spans="1:10" x14ac:dyDescent="0.3">
      <c r="A18" s="5" t="s">
        <v>96</v>
      </c>
      <c r="B18" s="41" t="s">
        <v>29</v>
      </c>
      <c r="C18" s="41"/>
      <c r="D18" s="41"/>
      <c r="E18" s="4">
        <v>7656</v>
      </c>
      <c r="F18" s="4">
        <v>1</v>
      </c>
      <c r="G18" s="25" t="s">
        <v>77</v>
      </c>
      <c r="H18" s="23" t="str">
        <f>HYPERLINK("#G18",CHAR(128))</f>
        <v>€</v>
      </c>
    </row>
    <row r="19" spans="1:10" x14ac:dyDescent="0.3">
      <c r="A19" s="2" t="s">
        <v>98</v>
      </c>
      <c r="B19" s="42" t="s">
        <v>30</v>
      </c>
      <c r="C19" s="42"/>
      <c r="D19" s="42"/>
      <c r="E19" s="1" t="s">
        <v>97</v>
      </c>
      <c r="F19" s="16">
        <v>1</v>
      </c>
      <c r="G19" s="25" t="s">
        <v>77</v>
      </c>
      <c r="H19" s="23" t="str">
        <f>HYPERLINK("#G19",CHAR(128))</f>
        <v>€</v>
      </c>
    </row>
    <row r="20" spans="1:10" x14ac:dyDescent="0.3">
      <c r="A20" s="5"/>
      <c r="B20" s="44"/>
      <c r="C20" s="45"/>
      <c r="D20" s="46"/>
      <c r="E20" s="4"/>
      <c r="F20" s="4"/>
      <c r="G20" s="25" t="s">
        <v>77</v>
      </c>
      <c r="H20" s="14"/>
    </row>
    <row r="21" spans="1:10" x14ac:dyDescent="0.3">
      <c r="A21" s="2" t="s">
        <v>137</v>
      </c>
      <c r="B21" s="42" t="s">
        <v>33</v>
      </c>
      <c r="C21" s="42"/>
      <c r="D21" s="42"/>
      <c r="E21" s="9">
        <v>7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99</v>
      </c>
      <c r="B22" s="41" t="s">
        <v>31</v>
      </c>
      <c r="C22" s="41"/>
      <c r="D22" s="41"/>
      <c r="E22" s="4">
        <v>7652</v>
      </c>
      <c r="F22" s="4">
        <v>1</v>
      </c>
      <c r="G22" s="25" t="s">
        <v>77</v>
      </c>
      <c r="H22" s="23" t="str">
        <f>HYPERLINK("#G22",CHAR(128))</f>
        <v>€</v>
      </c>
    </row>
    <row r="23" spans="1:10" x14ac:dyDescent="0.3">
      <c r="A23" s="2"/>
      <c r="B23" s="42" t="s">
        <v>48</v>
      </c>
      <c r="C23" s="42"/>
      <c r="D23" s="42"/>
      <c r="E23" s="1">
        <v>7047</v>
      </c>
      <c r="F23" s="16">
        <v>1</v>
      </c>
      <c r="G23" s="25" t="s">
        <v>77</v>
      </c>
      <c r="H23" s="22" t="str">
        <f>HYPERLINK("#G23",CHAR(128))</f>
        <v>€</v>
      </c>
    </row>
    <row r="24" spans="1:10" x14ac:dyDescent="0.3">
      <c r="A24" s="5" t="s">
        <v>101</v>
      </c>
      <c r="B24" s="41" t="s">
        <v>32</v>
      </c>
      <c r="C24" s="41"/>
      <c r="D24" s="41"/>
      <c r="E24" s="4" t="s">
        <v>100</v>
      </c>
      <c r="F24" s="4">
        <v>1</v>
      </c>
      <c r="G24" s="25" t="s">
        <v>77</v>
      </c>
      <c r="H24" s="22" t="str">
        <f>HYPERLINK("#G24",CHAR(128))</f>
        <v>€</v>
      </c>
    </row>
    <row r="25" spans="1:10" x14ac:dyDescent="0.3">
      <c r="A25" s="2"/>
      <c r="B25" s="42"/>
      <c r="C25" s="42"/>
      <c r="D25" s="42"/>
      <c r="E25" s="1"/>
      <c r="F25" s="16"/>
      <c r="G25" s="25" t="s">
        <v>77</v>
      </c>
      <c r="H25" s="14"/>
      <c r="I25" s="12"/>
    </row>
    <row r="26" spans="1:10" x14ac:dyDescent="0.3">
      <c r="A26" s="5"/>
      <c r="B26" s="41" t="s">
        <v>37</v>
      </c>
      <c r="C26" s="41"/>
      <c r="D26" s="41"/>
      <c r="E26" s="4" t="str">
        <f>C2</f>
        <v>Wilson</v>
      </c>
      <c r="F26" s="4">
        <v>1</v>
      </c>
      <c r="G26" s="25" t="s">
        <v>77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s="56" t="s">
        <v>67</v>
      </c>
      <c r="D37" t="s">
        <v>69</v>
      </c>
    </row>
    <row r="38" spans="1:8" x14ac:dyDescent="0.3">
      <c r="A38" s="36">
        <v>45290</v>
      </c>
      <c r="B38" t="s">
        <v>33</v>
      </c>
      <c r="C38" s="56" t="s">
        <v>160</v>
      </c>
      <c r="D38">
        <v>7</v>
      </c>
    </row>
    <row r="39" spans="1:8" x14ac:dyDescent="0.3">
      <c r="A39" s="36">
        <v>45290</v>
      </c>
      <c r="B39" t="s">
        <v>18</v>
      </c>
      <c r="C39">
        <v>8052</v>
      </c>
      <c r="D39">
        <v>6732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66" priority="2" operator="equal">
      <formula>"Returned"</formula>
    </cfRule>
    <cfRule type="cellIs" dxfId="65" priority="5" operator="equal">
      <formula>"Ready To Order"</formula>
    </cfRule>
    <cfRule type="cellIs" dxfId="64" priority="6" operator="equal">
      <formula>"UNP"</formula>
    </cfRule>
    <cfRule type="containsText" dxfId="63" priority="7" operator="containsText" text="Ordered">
      <formula>NOT(ISERROR(SEARCH("Ordered",G6)))</formula>
    </cfRule>
    <cfRule type="containsText" dxfId="62" priority="8" operator="containsText" text="Pick Up">
      <formula>NOT(ISERROR(SEARCH("Pick Up",G6)))</formula>
    </cfRule>
    <cfRule type="containsText" dxfId="61" priority="9" operator="containsText" text="Complete">
      <formula>NOT(ISERROR(SEARCH("Complete",G6)))</formula>
    </cfRule>
  </conditionalFormatting>
  <conditionalFormatting sqref="G30:G33">
    <cfRule type="containsText" dxfId="60" priority="4" operator="containsText" text="Given">
      <formula>NOT(ISERROR(SEARCH("Given",G30)))</formula>
    </cfRule>
  </conditionalFormatting>
  <conditionalFormatting sqref="G30:G34">
    <cfRule type="containsText" dxfId="59" priority="3" operator="containsText" text="Returned">
      <formula>NOT(ISERROR(SEARCH("Returned",G30)))</formula>
    </cfRule>
  </conditionalFormatting>
  <conditionalFormatting sqref="G6:G26">
    <cfRule type="cellIs" dxfId="58" priority="1" operator="equal">
      <formula>"In Stock"</formula>
    </cfRule>
  </conditionalFormatting>
  <dataValidations count="3">
    <dataValidation type="list" allowBlank="1" showInputMessage="1" showErrorMessage="1" sqref="G30:G34" xr:uid="{2B62E819-9219-41C3-996B-3F5786D06890}">
      <formula1>"--,Returned, Given"</formula1>
    </dataValidation>
    <dataValidation type="list" allowBlank="1" showInputMessage="1" showErrorMessage="1" sqref="G6:G26" xr:uid="{EADC0533-6E83-4F85-93C6-C6AB50BB6941}">
      <formula1>"UNP, Ready To Order, Ordered, In Stock, Pick Up, Complete, Returned"</formula1>
    </dataValidation>
    <dataValidation type="decimal" allowBlank="1" showInputMessage="1" showErrorMessage="1" sqref="L2" xr:uid="{6BFEC26B-DDB7-4B3F-8284-034BAF44735D}">
      <formula1>19</formula1>
      <formula2>26</formula2>
    </dataValidation>
  </dataValidations>
  <hyperlinks>
    <hyperlink ref="A1:A2" location="Menu!A1" display="Back to Menu" xr:uid="{9104947B-DA43-4337-B6D1-AD4616C6D6D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D5F7-0485-43E4-B39C-F180B3C340E0}">
  <sheetPr codeName="Sheet6"/>
  <dimension ref="A1:L38"/>
  <sheetViews>
    <sheetView topLeftCell="A13" workbookViewId="0">
      <selection activeCell="I14" sqref="I14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102</v>
      </c>
      <c r="C2" s="42" t="s">
        <v>103</v>
      </c>
      <c r="D2" s="42"/>
      <c r="E2" s="42" t="s">
        <v>104</v>
      </c>
      <c r="F2" s="42"/>
      <c r="G2" s="1" t="s">
        <v>105</v>
      </c>
      <c r="K2" s="4" t="s">
        <v>9</v>
      </c>
      <c r="L2" s="4"/>
    </row>
    <row r="3" spans="1:12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53"/>
      <c r="C4" s="53"/>
      <c r="D4" s="53"/>
      <c r="E4" s="42"/>
      <c r="F4" s="42"/>
      <c r="G4" s="1" t="s">
        <v>44</v>
      </c>
      <c r="K4" s="4" t="s">
        <v>12</v>
      </c>
      <c r="L4" s="4">
        <v>40</v>
      </c>
    </row>
    <row r="5" spans="1:12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 t="s">
        <v>106</v>
      </c>
      <c r="B6" s="41" t="s">
        <v>18</v>
      </c>
      <c r="C6" s="41"/>
      <c r="D6" s="41"/>
      <c r="E6" s="4">
        <v>6140</v>
      </c>
      <c r="F6" s="4">
        <v>1</v>
      </c>
      <c r="G6" s="25" t="s">
        <v>77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42" t="s">
        <v>21</v>
      </c>
      <c r="C7" s="42"/>
      <c r="D7" s="42"/>
      <c r="E7" s="1" t="s">
        <v>108</v>
      </c>
      <c r="F7" s="16">
        <v>1</v>
      </c>
      <c r="G7" s="25" t="s">
        <v>109</v>
      </c>
      <c r="H7" s="28" t="str">
        <f>HYPERLINK("#G7",CHAR(128))</f>
        <v>€</v>
      </c>
      <c r="K7" s="1" t="s">
        <v>15</v>
      </c>
      <c r="L7" s="1">
        <v>60</v>
      </c>
    </row>
    <row r="8" spans="1:12" x14ac:dyDescent="0.3">
      <c r="A8" s="3"/>
      <c r="B8" s="41" t="s">
        <v>19</v>
      </c>
      <c r="C8" s="41"/>
      <c r="D8" s="41"/>
      <c r="E8" s="4" t="s">
        <v>108</v>
      </c>
      <c r="F8" s="4">
        <v>1</v>
      </c>
      <c r="G8" s="25" t="s">
        <v>109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42" t="s">
        <v>20</v>
      </c>
      <c r="C9" s="42"/>
      <c r="D9" s="42"/>
      <c r="E9" s="1" t="s">
        <v>108</v>
      </c>
      <c r="F9" s="16">
        <v>1</v>
      </c>
      <c r="G9" s="25" t="s">
        <v>109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41" t="s">
        <v>24</v>
      </c>
      <c r="C10" s="41"/>
      <c r="D10" s="41"/>
      <c r="E10" s="8" t="s">
        <v>108</v>
      </c>
      <c r="F10" s="4">
        <v>1</v>
      </c>
      <c r="G10" s="25" t="s">
        <v>109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42" t="s">
        <v>23</v>
      </c>
      <c r="C11" s="42"/>
      <c r="D11" s="42"/>
      <c r="E11" s="1" t="s">
        <v>108</v>
      </c>
      <c r="F11" s="16">
        <v>1</v>
      </c>
      <c r="G11" s="25" t="s">
        <v>109</v>
      </c>
      <c r="H11" s="28" t="str">
        <f>HYPERLINK("#G11",CHAR(128))</f>
        <v>€</v>
      </c>
    </row>
    <row r="12" spans="1:12" x14ac:dyDescent="0.3">
      <c r="A12" s="5"/>
      <c r="B12" s="41" t="s">
        <v>25</v>
      </c>
      <c r="C12" s="41"/>
      <c r="D12" s="41"/>
      <c r="E12" s="4" t="s">
        <v>108</v>
      </c>
      <c r="F12" s="4">
        <v>1</v>
      </c>
      <c r="G12" s="25" t="s">
        <v>109</v>
      </c>
      <c r="H12" s="28" t="str">
        <f>HYPERLINK("#G12",CHAR(128))</f>
        <v>€</v>
      </c>
    </row>
    <row r="13" spans="1:12" x14ac:dyDescent="0.3">
      <c r="A13" s="2"/>
      <c r="B13" s="42" t="s">
        <v>26</v>
      </c>
      <c r="C13" s="42"/>
      <c r="D13" s="42"/>
      <c r="E13" s="1" t="s">
        <v>108</v>
      </c>
      <c r="F13" s="16">
        <v>1</v>
      </c>
      <c r="G13" s="25" t="s">
        <v>109</v>
      </c>
      <c r="H13" s="28" t="str">
        <f>HYPERLINK("#G13",CHAR(128))</f>
        <v>€</v>
      </c>
    </row>
    <row r="14" spans="1:12" x14ac:dyDescent="0.3">
      <c r="A14" s="5"/>
      <c r="B14" s="41" t="s">
        <v>27</v>
      </c>
      <c r="C14" s="41"/>
      <c r="D14" s="41"/>
      <c r="E14" s="4" t="s">
        <v>108</v>
      </c>
      <c r="F14" s="4">
        <v>1</v>
      </c>
      <c r="G14" s="25" t="s">
        <v>109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 t="s">
        <v>108</v>
      </c>
      <c r="F15" s="16"/>
      <c r="G15" s="16" t="s">
        <v>109</v>
      </c>
      <c r="H15" s="14"/>
    </row>
    <row r="16" spans="1:12" x14ac:dyDescent="0.3">
      <c r="A16" s="5"/>
      <c r="B16" s="41" t="s">
        <v>28</v>
      </c>
      <c r="C16" s="41"/>
      <c r="D16" s="41"/>
      <c r="E16" s="4" t="s">
        <v>108</v>
      </c>
      <c r="F16" s="4">
        <v>1</v>
      </c>
      <c r="G16" s="25" t="s">
        <v>109</v>
      </c>
      <c r="H16" s="23" t="str">
        <f>HYPERLINK("#G16",CHAR(128))</f>
        <v>€</v>
      </c>
    </row>
    <row r="17" spans="1:10" x14ac:dyDescent="0.3">
      <c r="A17" s="2"/>
      <c r="B17" s="42" t="s">
        <v>22</v>
      </c>
      <c r="C17" s="42"/>
      <c r="D17" s="42"/>
      <c r="E17" s="1" t="s">
        <v>108</v>
      </c>
      <c r="F17" s="16">
        <v>1</v>
      </c>
      <c r="G17" s="25" t="s">
        <v>109</v>
      </c>
      <c r="H17" s="23" t="str">
        <f>HYPERLINK("#G17",CHAR(128))</f>
        <v>€</v>
      </c>
    </row>
    <row r="18" spans="1:10" x14ac:dyDescent="0.3">
      <c r="A18" s="5"/>
      <c r="B18" s="41" t="s">
        <v>29</v>
      </c>
      <c r="C18" s="41"/>
      <c r="D18" s="41"/>
      <c r="E18" s="4" t="s">
        <v>108</v>
      </c>
      <c r="F18" s="4">
        <v>1</v>
      </c>
      <c r="G18" s="25" t="s">
        <v>109</v>
      </c>
      <c r="H18" s="23" t="str">
        <f>HYPERLINK("#G18",CHAR(128))</f>
        <v>€</v>
      </c>
    </row>
    <row r="19" spans="1:10" x14ac:dyDescent="0.3">
      <c r="A19" s="2"/>
      <c r="B19" s="42" t="s">
        <v>30</v>
      </c>
      <c r="C19" s="42"/>
      <c r="D19" s="42"/>
      <c r="E19" s="1" t="s">
        <v>108</v>
      </c>
      <c r="F19" s="16">
        <v>1</v>
      </c>
      <c r="G19" s="25" t="s">
        <v>109</v>
      </c>
      <c r="H19" s="23" t="str">
        <f>HYPERLINK("#G19",CHAR(128))</f>
        <v>€</v>
      </c>
    </row>
    <row r="20" spans="1:10" x14ac:dyDescent="0.3">
      <c r="A20" s="5"/>
      <c r="B20" s="44"/>
      <c r="C20" s="45"/>
      <c r="D20" s="46"/>
      <c r="E20" s="4" t="s">
        <v>108</v>
      </c>
      <c r="F20" s="4"/>
      <c r="G20" s="4" t="s">
        <v>109</v>
      </c>
      <c r="H20" s="14"/>
    </row>
    <row r="21" spans="1:10" x14ac:dyDescent="0.3">
      <c r="A21" s="2"/>
      <c r="B21" s="42" t="s">
        <v>33</v>
      </c>
      <c r="C21" s="42"/>
      <c r="D21" s="42"/>
      <c r="E21" s="9" t="s">
        <v>108</v>
      </c>
      <c r="F21" s="16">
        <v>1</v>
      </c>
      <c r="G21" s="25" t="s">
        <v>109</v>
      </c>
      <c r="H21" s="23" t="str">
        <f>HYPERLINK("#G21",CHAR(128))</f>
        <v>€</v>
      </c>
    </row>
    <row r="22" spans="1:10" x14ac:dyDescent="0.3">
      <c r="A22" s="5"/>
      <c r="B22" s="41" t="s">
        <v>31</v>
      </c>
      <c r="C22" s="41"/>
      <c r="D22" s="41"/>
      <c r="E22" s="4" t="s">
        <v>108</v>
      </c>
      <c r="F22" s="4">
        <v>1</v>
      </c>
      <c r="G22" s="25" t="s">
        <v>109</v>
      </c>
      <c r="H22" s="23" t="str">
        <f>HYPERLINK("#G22",CHAR(128))</f>
        <v>€</v>
      </c>
    </row>
    <row r="23" spans="1:10" x14ac:dyDescent="0.3">
      <c r="A23" s="2"/>
      <c r="B23" s="42" t="s">
        <v>48</v>
      </c>
      <c r="C23" s="42"/>
      <c r="D23" s="42"/>
      <c r="E23" s="1" t="s">
        <v>108</v>
      </c>
      <c r="F23" s="16">
        <v>1</v>
      </c>
      <c r="G23" s="25" t="s">
        <v>109</v>
      </c>
      <c r="H23" s="22" t="str">
        <f>HYPERLINK("#G23",CHAR(128))</f>
        <v>€</v>
      </c>
    </row>
    <row r="24" spans="1:10" x14ac:dyDescent="0.3">
      <c r="A24" s="5"/>
      <c r="B24" s="41" t="s">
        <v>32</v>
      </c>
      <c r="C24" s="41"/>
      <c r="D24" s="41"/>
      <c r="E24" s="4" t="s">
        <v>108</v>
      </c>
      <c r="F24" s="4">
        <v>1</v>
      </c>
      <c r="G24" s="25" t="s">
        <v>109</v>
      </c>
      <c r="H24" s="22" t="str">
        <f>HYPERLINK("#G24",CHAR(128))</f>
        <v>€</v>
      </c>
    </row>
    <row r="25" spans="1:10" x14ac:dyDescent="0.3">
      <c r="A25" s="2"/>
      <c r="B25" s="42"/>
      <c r="C25" s="42"/>
      <c r="D25" s="42"/>
      <c r="E25" s="1" t="s">
        <v>108</v>
      </c>
      <c r="F25" s="16"/>
      <c r="G25" s="16" t="s">
        <v>109</v>
      </c>
      <c r="H25" s="14"/>
      <c r="I25" s="12"/>
    </row>
    <row r="26" spans="1:10" x14ac:dyDescent="0.3">
      <c r="A26" s="5"/>
      <c r="B26" s="41" t="s">
        <v>37</v>
      </c>
      <c r="C26" s="41"/>
      <c r="D26" s="41"/>
      <c r="E26" s="4" t="s">
        <v>108</v>
      </c>
      <c r="F26" s="4">
        <v>1</v>
      </c>
      <c r="G26" s="25" t="s">
        <v>109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45287</v>
      </c>
      <c r="B38" t="s">
        <v>18</v>
      </c>
      <c r="C38">
        <v>7037</v>
      </c>
      <c r="D38">
        <v>6140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7" priority="2" operator="equal">
      <formula>"Returned"</formula>
    </cfRule>
    <cfRule type="cellIs" dxfId="56" priority="5" operator="equal">
      <formula>"Ready To Order"</formula>
    </cfRule>
    <cfRule type="cellIs" dxfId="55" priority="6" operator="equal">
      <formula>"UNP"</formula>
    </cfRule>
    <cfRule type="containsText" dxfId="54" priority="7" operator="containsText" text="Ordered">
      <formula>NOT(ISERROR(SEARCH("Ordered",G6)))</formula>
    </cfRule>
    <cfRule type="containsText" dxfId="53" priority="8" operator="containsText" text="Pick Up">
      <formula>NOT(ISERROR(SEARCH("Pick Up",G6)))</formula>
    </cfRule>
    <cfRule type="containsText" dxfId="52" priority="9" operator="containsText" text="Complete">
      <formula>NOT(ISERROR(SEARCH("Complete",G6)))</formula>
    </cfRule>
  </conditionalFormatting>
  <conditionalFormatting sqref="G30:G33">
    <cfRule type="containsText" dxfId="51" priority="4" operator="containsText" text="Given">
      <formula>NOT(ISERROR(SEARCH("Given",G30)))</formula>
    </cfRule>
  </conditionalFormatting>
  <conditionalFormatting sqref="G30:G34">
    <cfRule type="containsText" dxfId="50" priority="3" operator="containsText" text="Returned">
      <formula>NOT(ISERROR(SEARCH("Returned",G30)))</formula>
    </cfRule>
  </conditionalFormatting>
  <conditionalFormatting sqref="G6:G14 G21:G26 G16:G19">
    <cfRule type="cellIs" dxfId="49" priority="1" operator="equal">
      <formula>"In Stock"</formula>
    </cfRule>
  </conditionalFormatting>
  <dataValidations count="3">
    <dataValidation type="list" allowBlank="1" showInputMessage="1" showErrorMessage="1" sqref="G30:G34" xr:uid="{2B8101E0-AF7B-4B88-9634-06080FB6AAF0}">
      <formula1>"--,Returned, Given"</formula1>
    </dataValidation>
    <dataValidation type="list" allowBlank="1" showInputMessage="1" showErrorMessage="1" sqref="G16:G19 G21:G24 G26 G6:G14" xr:uid="{214128F4-3127-43F0-886D-E1DE8B5B808F}">
      <formula1>"UNP, Ready To Order, Ordered, In Stock, Pick Up, Complete, Returned"</formula1>
    </dataValidation>
    <dataValidation type="decimal" allowBlank="1" showInputMessage="1" showErrorMessage="1" sqref="L2" xr:uid="{B7D99183-2E87-4EB0-AEF8-C6BC8D2B39FB}">
      <formula1>19</formula1>
      <formula2>26</formula2>
    </dataValidation>
  </dataValidations>
  <hyperlinks>
    <hyperlink ref="A1:A2" location="Menu!A1" display="Back to Menu" xr:uid="{065DC45D-ECEF-4248-B1B2-DE7EF593B86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7044-DADF-4713-B17D-D5FD76EC194A}">
  <sheetPr codeName="Sheet7"/>
  <dimension ref="A1:L37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42" t="s">
        <v>78</v>
      </c>
      <c r="D2" s="42"/>
      <c r="E2" s="42" t="s">
        <v>110</v>
      </c>
      <c r="F2" s="42"/>
      <c r="G2" s="1" t="s">
        <v>111</v>
      </c>
      <c r="K2" s="4" t="s">
        <v>9</v>
      </c>
      <c r="L2" s="4">
        <v>21.3</v>
      </c>
    </row>
    <row r="3" spans="1:12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>
        <v>15.8</v>
      </c>
    </row>
    <row r="4" spans="1:12" x14ac:dyDescent="0.3">
      <c r="A4" s="1" t="s">
        <v>39</v>
      </c>
      <c r="B4" s="53">
        <v>1262197210</v>
      </c>
      <c r="C4" s="53"/>
      <c r="D4" s="53"/>
      <c r="E4" s="42" t="s">
        <v>52</v>
      </c>
      <c r="F4" s="42"/>
      <c r="G4" s="1" t="s">
        <v>44</v>
      </c>
      <c r="K4" s="4" t="s">
        <v>12</v>
      </c>
      <c r="L4" s="4">
        <v>47.4</v>
      </c>
    </row>
    <row r="5" spans="1:12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>
        <v>32.1</v>
      </c>
    </row>
    <row r="6" spans="1:12" x14ac:dyDescent="0.3">
      <c r="A6" s="3" t="s">
        <v>112</v>
      </c>
      <c r="B6" s="41" t="s">
        <v>18</v>
      </c>
      <c r="C6" s="41"/>
      <c r="D6" s="41"/>
      <c r="E6" s="4">
        <v>6148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52.8</v>
      </c>
    </row>
    <row r="7" spans="1:12" x14ac:dyDescent="0.3">
      <c r="A7" s="2" t="s">
        <v>73</v>
      </c>
      <c r="B7" s="42" t="s">
        <v>21</v>
      </c>
      <c r="C7" s="42"/>
      <c r="D7" s="42"/>
      <c r="E7" s="1">
        <v>17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113</v>
      </c>
      <c r="B8" s="41" t="s">
        <v>19</v>
      </c>
      <c r="C8" s="41"/>
      <c r="D8" s="41"/>
      <c r="E8" s="4" t="s">
        <v>58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294.3</v>
      </c>
    </row>
    <row r="9" spans="1:12" x14ac:dyDescent="0.3">
      <c r="A9" s="2" t="s">
        <v>114</v>
      </c>
      <c r="B9" s="42" t="s">
        <v>20</v>
      </c>
      <c r="C9" s="42"/>
      <c r="D9" s="42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111.7</v>
      </c>
    </row>
    <row r="10" spans="1:12" x14ac:dyDescent="0.3">
      <c r="A10" s="3" t="s">
        <v>115</v>
      </c>
      <c r="B10" s="41" t="s">
        <v>24</v>
      </c>
      <c r="C10" s="41"/>
      <c r="D10" s="41"/>
      <c r="E10" s="8">
        <v>6.875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</v>
      </c>
    </row>
    <row r="11" spans="1:12" x14ac:dyDescent="0.3">
      <c r="A11" s="2" t="s">
        <v>63</v>
      </c>
      <c r="B11" s="42" t="s">
        <v>23</v>
      </c>
      <c r="C11" s="42"/>
      <c r="D11" s="4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41" t="s">
        <v>25</v>
      </c>
      <c r="C12" s="41"/>
      <c r="D12" s="41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80</v>
      </c>
      <c r="B13" s="42" t="s">
        <v>26</v>
      </c>
      <c r="C13" s="42"/>
      <c r="D13" s="42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117</v>
      </c>
      <c r="B14" s="41" t="s">
        <v>27</v>
      </c>
      <c r="C14" s="41"/>
      <c r="D14" s="41"/>
      <c r="E14" s="4" t="s">
        <v>116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/>
      <c r="F15" s="16"/>
      <c r="G15" s="16"/>
      <c r="H15" s="14"/>
    </row>
    <row r="16" spans="1:12" x14ac:dyDescent="0.3">
      <c r="A16" s="5" t="s">
        <v>46</v>
      </c>
      <c r="B16" s="41" t="s">
        <v>28</v>
      </c>
      <c r="C16" s="41"/>
      <c r="D16" s="4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138</v>
      </c>
      <c r="B17" s="42" t="s">
        <v>22</v>
      </c>
      <c r="C17" s="42"/>
      <c r="D17" s="42"/>
      <c r="E17" s="1" t="s">
        <v>68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118</v>
      </c>
      <c r="B18" s="41" t="s">
        <v>29</v>
      </c>
      <c r="C18" s="41"/>
      <c r="D18" s="41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82</v>
      </c>
      <c r="B19" s="42" t="s">
        <v>30</v>
      </c>
      <c r="C19" s="42"/>
      <c r="D19" s="42"/>
      <c r="E19" s="1" t="s">
        <v>81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44"/>
      <c r="C20" s="45"/>
      <c r="D20" s="46"/>
      <c r="E20" s="4"/>
      <c r="F20" s="4"/>
      <c r="G20" s="4"/>
      <c r="H20" s="14"/>
    </row>
    <row r="21" spans="1:10" x14ac:dyDescent="0.3">
      <c r="A21" s="2" t="s">
        <v>119</v>
      </c>
      <c r="B21" s="42" t="s">
        <v>33</v>
      </c>
      <c r="C21" s="42"/>
      <c r="D21" s="42"/>
      <c r="E21" s="9">
        <v>6.875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120</v>
      </c>
      <c r="B22" s="41" t="s">
        <v>31</v>
      </c>
      <c r="C22" s="41"/>
      <c r="D22" s="41"/>
      <c r="E22" s="4">
        <v>6748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121</v>
      </c>
      <c r="B23" s="42" t="s">
        <v>48</v>
      </c>
      <c r="C23" s="42"/>
      <c r="D23" s="42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123</v>
      </c>
      <c r="B24" s="41" t="s">
        <v>32</v>
      </c>
      <c r="C24" s="41"/>
      <c r="D24" s="41"/>
      <c r="E24" s="4" t="s">
        <v>122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42"/>
      <c r="C25" s="42"/>
      <c r="D25" s="42"/>
      <c r="E25" s="1"/>
      <c r="F25" s="16"/>
      <c r="G25" s="16"/>
      <c r="H25" s="14"/>
      <c r="I25" s="12"/>
    </row>
    <row r="26" spans="1:10" x14ac:dyDescent="0.3">
      <c r="A26" s="5"/>
      <c r="B26" s="41" t="s">
        <v>37</v>
      </c>
      <c r="C26" s="41"/>
      <c r="D26" s="41"/>
      <c r="E26" s="4" t="str">
        <f>C2</f>
        <v>Thomas</v>
      </c>
      <c r="F26" s="4">
        <v>1</v>
      </c>
      <c r="G26" s="25" t="s">
        <v>45</v>
      </c>
      <c r="H26" s="24" t="str">
        <f>HYPERLINK("#G26",CHAR(128))</f>
        <v>€</v>
      </c>
    </row>
    <row r="27" spans="1:10" x14ac:dyDescent="0.3">
      <c r="G27" s="54" t="s">
        <v>124</v>
      </c>
    </row>
    <row r="28" spans="1:10" x14ac:dyDescent="0.3">
      <c r="G28" s="55"/>
      <c r="J28" s="18"/>
    </row>
    <row r="29" spans="1:10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8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3:D33"/>
    <mergeCell ref="B34:D34"/>
    <mergeCell ref="B21:D21"/>
    <mergeCell ref="B22:D22"/>
    <mergeCell ref="B23:D23"/>
    <mergeCell ref="B24:D24"/>
    <mergeCell ref="B25:D25"/>
    <mergeCell ref="B26:D26"/>
    <mergeCell ref="G27:G28"/>
    <mergeCell ref="B29:D29"/>
    <mergeCell ref="B30:D30"/>
    <mergeCell ref="B31:D31"/>
    <mergeCell ref="B32:D32"/>
  </mergeCells>
  <conditionalFormatting sqref="G6:G14 G21:G26 G16:G19">
    <cfRule type="cellIs" dxfId="48" priority="2" operator="equal">
      <formula>"Returned"</formula>
    </cfRule>
    <cfRule type="cellIs" dxfId="47" priority="5" operator="equal">
      <formula>"Ready To Order"</formula>
    </cfRule>
    <cfRule type="cellIs" dxfId="46" priority="6" operator="equal">
      <formula>"UNP"</formula>
    </cfRule>
    <cfRule type="containsText" dxfId="45" priority="7" operator="containsText" text="Ordered">
      <formula>NOT(ISERROR(SEARCH("Ordered",G6)))</formula>
    </cfRule>
    <cfRule type="containsText" dxfId="44" priority="8" operator="containsText" text="Pick Up">
      <formula>NOT(ISERROR(SEARCH("Pick Up",G6)))</formula>
    </cfRule>
    <cfRule type="containsText" dxfId="43" priority="9" operator="containsText" text="Complete">
      <formula>NOT(ISERROR(SEARCH("Complete",G6)))</formula>
    </cfRule>
  </conditionalFormatting>
  <conditionalFormatting sqref="G30:G33">
    <cfRule type="containsText" dxfId="42" priority="4" operator="containsText" text="Given">
      <formula>NOT(ISERROR(SEARCH("Given",G30)))</formula>
    </cfRule>
  </conditionalFormatting>
  <conditionalFormatting sqref="G30:G34">
    <cfRule type="containsText" dxfId="41" priority="3" operator="containsText" text="Returned">
      <formula>NOT(ISERROR(SEARCH("Returned",G30)))</formula>
    </cfRule>
  </conditionalFormatting>
  <conditionalFormatting sqref="G6:G14 G21:G26 G16:G19">
    <cfRule type="cellIs" dxfId="40" priority="1" operator="equal">
      <formula>"In Stock"</formula>
    </cfRule>
  </conditionalFormatting>
  <dataValidations count="3">
    <dataValidation type="list" allowBlank="1" showInputMessage="1" showErrorMessage="1" sqref="G30:G34" xr:uid="{EB1830CB-3AD6-47FB-A03B-78E7F82FA12F}">
      <formula1>"--,Returned, Given"</formula1>
    </dataValidation>
    <dataValidation type="list" allowBlank="1" showInputMessage="1" showErrorMessage="1" sqref="G16:G19 G21:G24 G26 G6:G14" xr:uid="{52136314-50FE-42D5-B550-73849E6200B1}">
      <formula1>"UNP, Ready To Order, Ordered, In Stock, Pick Up, Complete, Returned"</formula1>
    </dataValidation>
    <dataValidation type="decimal" allowBlank="1" showInputMessage="1" showErrorMessage="1" sqref="L2" xr:uid="{908C3F30-6FB3-44BF-A4BB-E73BAFABB747}">
      <formula1>19</formula1>
      <formula2>26</formula2>
    </dataValidation>
  </dataValidations>
  <hyperlinks>
    <hyperlink ref="A1:A2" location="Menu!A1" display="Back to Menu" xr:uid="{504A2FCB-9FA9-4499-A6F6-EC55BD29335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9789-564E-4C85-96C8-3D856731E567}">
  <sheetPr codeName="Sheet8"/>
  <dimension ref="A1:L38"/>
  <sheetViews>
    <sheetView topLeftCell="A10" workbookViewId="0">
      <selection activeCell="I6" sqref="I6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42" t="s">
        <v>72</v>
      </c>
      <c r="D2" s="42"/>
      <c r="E2" s="42" t="s">
        <v>128</v>
      </c>
      <c r="F2" s="42"/>
      <c r="G2" s="1" t="s">
        <v>129</v>
      </c>
      <c r="K2" s="4" t="s">
        <v>9</v>
      </c>
      <c r="L2" s="4">
        <v>22</v>
      </c>
    </row>
    <row r="3" spans="1:12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53">
        <v>7345806215</v>
      </c>
      <c r="C4" s="53"/>
      <c r="D4" s="53"/>
      <c r="E4" s="42" t="s">
        <v>52</v>
      </c>
      <c r="F4" s="42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>
        <v>59.4</v>
      </c>
    </row>
    <row r="6" spans="1:12" x14ac:dyDescent="0.3">
      <c r="A6" s="3" t="s">
        <v>130</v>
      </c>
      <c r="B6" s="41" t="s">
        <v>18</v>
      </c>
      <c r="C6" s="41"/>
      <c r="D6" s="41"/>
      <c r="E6" s="4">
        <v>7054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53.5</v>
      </c>
    </row>
    <row r="7" spans="1:12" x14ac:dyDescent="0.3">
      <c r="A7" s="2" t="s">
        <v>132</v>
      </c>
      <c r="B7" s="42" t="s">
        <v>21</v>
      </c>
      <c r="C7" s="42"/>
      <c r="D7" s="42"/>
      <c r="E7" s="1" t="s">
        <v>131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149</v>
      </c>
      <c r="B8" s="41" t="s">
        <v>19</v>
      </c>
      <c r="C8" s="41"/>
      <c r="D8" s="41"/>
      <c r="E8" s="40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240.8</v>
      </c>
    </row>
    <row r="9" spans="1:12" x14ac:dyDescent="0.3">
      <c r="A9" s="2" t="s">
        <v>74</v>
      </c>
      <c r="B9" s="42" t="s">
        <v>20</v>
      </c>
      <c r="C9" s="42"/>
      <c r="D9" s="42"/>
      <c r="E9" s="1">
        <v>7060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111.6</v>
      </c>
    </row>
    <row r="10" spans="1:12" x14ac:dyDescent="0.3">
      <c r="A10" s="3" t="s">
        <v>133</v>
      </c>
      <c r="B10" s="41" t="s">
        <v>24</v>
      </c>
      <c r="C10" s="41"/>
      <c r="D10" s="41"/>
      <c r="E10" s="8">
        <v>7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63</v>
      </c>
      <c r="B11" s="42" t="s">
        <v>23</v>
      </c>
      <c r="C11" s="42"/>
      <c r="D11" s="42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/>
      <c r="B12" s="41" t="s">
        <v>25</v>
      </c>
      <c r="C12" s="41"/>
      <c r="D12" s="4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93</v>
      </c>
      <c r="B13" s="42" t="s">
        <v>26</v>
      </c>
      <c r="C13" s="42"/>
      <c r="D13" s="42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135</v>
      </c>
      <c r="B14" s="41" t="s">
        <v>27</v>
      </c>
      <c r="C14" s="41"/>
      <c r="D14" s="41"/>
      <c r="E14" s="4" t="s">
        <v>134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/>
      <c r="F15" s="16"/>
      <c r="G15" s="16"/>
      <c r="H15" s="14"/>
    </row>
    <row r="16" spans="1:12" x14ac:dyDescent="0.3">
      <c r="A16" s="5" t="s">
        <v>46</v>
      </c>
      <c r="B16" s="41" t="s">
        <v>28</v>
      </c>
      <c r="C16" s="41"/>
      <c r="D16" s="41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136</v>
      </c>
      <c r="B17" s="42" t="s">
        <v>22</v>
      </c>
      <c r="C17" s="42"/>
      <c r="D17" s="42"/>
      <c r="E17" s="1" t="s">
        <v>107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96</v>
      </c>
      <c r="B18" s="41" t="s">
        <v>29</v>
      </c>
      <c r="C18" s="41"/>
      <c r="D18" s="41"/>
      <c r="E18" s="4">
        <v>7656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98</v>
      </c>
      <c r="B19" s="42" t="s">
        <v>30</v>
      </c>
      <c r="C19" s="42"/>
      <c r="D19" s="42"/>
      <c r="E19" s="1" t="s">
        <v>97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44"/>
      <c r="C20" s="45"/>
      <c r="D20" s="46"/>
      <c r="E20" s="4"/>
      <c r="F20" s="4"/>
      <c r="G20" s="4"/>
      <c r="H20" s="14"/>
    </row>
    <row r="21" spans="1:10" x14ac:dyDescent="0.3">
      <c r="A21" s="2" t="s">
        <v>137</v>
      </c>
      <c r="B21" s="42" t="s">
        <v>33</v>
      </c>
      <c r="C21" s="42"/>
      <c r="D21" s="42"/>
      <c r="E21" s="9">
        <v>7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/>
      <c r="B22" s="41" t="s">
        <v>31</v>
      </c>
      <c r="C22" s="41"/>
      <c r="D22" s="4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42" t="s">
        <v>48</v>
      </c>
      <c r="C23" s="42"/>
      <c r="D23" s="4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123</v>
      </c>
      <c r="B24" s="41" t="s">
        <v>32</v>
      </c>
      <c r="C24" s="41"/>
      <c r="D24" s="41"/>
      <c r="E24" s="4" t="s">
        <v>122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42"/>
      <c r="C25" s="42"/>
      <c r="D25" s="42"/>
      <c r="E25" s="1"/>
      <c r="F25" s="16"/>
      <c r="G25" s="16"/>
      <c r="H25" s="14"/>
      <c r="I25" s="12"/>
    </row>
    <row r="26" spans="1:10" x14ac:dyDescent="0.3">
      <c r="A26" s="5"/>
      <c r="B26" s="41" t="s">
        <v>37</v>
      </c>
      <c r="C26" s="41"/>
      <c r="D26" s="41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60</v>
      </c>
      <c r="D38" t="s">
        <v>68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9" priority="2" operator="equal">
      <formula>"Returned"</formula>
    </cfRule>
    <cfRule type="cellIs" dxfId="38" priority="5" operator="equal">
      <formula>"Ready To Order"</formula>
    </cfRule>
    <cfRule type="cellIs" dxfId="37" priority="6" operator="equal">
      <formula>"UNP"</formula>
    </cfRule>
    <cfRule type="containsText" dxfId="36" priority="7" operator="containsText" text="Ordered">
      <formula>NOT(ISERROR(SEARCH("Ordered",G6)))</formula>
    </cfRule>
    <cfRule type="containsText" dxfId="35" priority="8" operator="containsText" text="Pick Up">
      <formula>NOT(ISERROR(SEARCH("Pick Up",G6)))</formula>
    </cfRule>
    <cfRule type="containsText" dxfId="34" priority="9" operator="containsText" text="Complete">
      <formula>NOT(ISERROR(SEARCH("Complete",G6)))</formula>
    </cfRule>
  </conditionalFormatting>
  <conditionalFormatting sqref="G30:G33">
    <cfRule type="containsText" dxfId="33" priority="4" operator="containsText" text="Given">
      <formula>NOT(ISERROR(SEARCH("Given",G30)))</formula>
    </cfRule>
  </conditionalFormatting>
  <conditionalFormatting sqref="G30:G34">
    <cfRule type="containsText" dxfId="32" priority="3" operator="containsText" text="Returned">
      <formula>NOT(ISERROR(SEARCH("Returned",G30)))</formula>
    </cfRule>
  </conditionalFormatting>
  <conditionalFormatting sqref="G6:G14 G21:G26 G16:G19">
    <cfRule type="cellIs" dxfId="31" priority="1" operator="equal">
      <formula>"In Stock"</formula>
    </cfRule>
  </conditionalFormatting>
  <dataValidations count="3">
    <dataValidation type="list" allowBlank="1" showInputMessage="1" showErrorMessage="1" sqref="G30:G34" xr:uid="{6ACC78A7-261D-44AD-975B-01963BB8DD89}">
      <formula1>"--,Returned, Given"</formula1>
    </dataValidation>
    <dataValidation type="list" allowBlank="1" showInputMessage="1" showErrorMessage="1" sqref="G16:G19 G21:G24 G26 G6:G14" xr:uid="{109F5442-D4A2-4D82-8D7C-2E6A14EA8321}">
      <formula1>"UNP, Ready To Order, Ordered, In Stock, Pick Up, Complete, Returned"</formula1>
    </dataValidation>
    <dataValidation type="decimal" allowBlank="1" showInputMessage="1" showErrorMessage="1" sqref="L2" xr:uid="{F51527CC-0894-4DF2-B174-D5C13B55F690}">
      <formula1>19</formula1>
      <formula2>26</formula2>
    </dataValidation>
  </dataValidations>
  <hyperlinks>
    <hyperlink ref="A1:A2" location="Menu!A1" display="Back to Menu" xr:uid="{0CEE4971-FA6F-4AE9-A7CB-677F13288F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0EC3-50E8-465C-8295-5C0BFF787508}">
  <sheetPr codeName="Sheet15"/>
  <dimension ref="A1:L37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42" t="s">
        <v>142</v>
      </c>
      <c r="D2" s="42"/>
      <c r="E2" s="42" t="s">
        <v>143</v>
      </c>
      <c r="F2" s="42"/>
      <c r="G2" s="1" t="s">
        <v>145</v>
      </c>
      <c r="K2" s="4" t="s">
        <v>9</v>
      </c>
      <c r="L2" s="4">
        <v>23</v>
      </c>
    </row>
    <row r="3" spans="1:12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53">
        <v>7345806215</v>
      </c>
      <c r="C4" s="53"/>
      <c r="D4" s="53"/>
      <c r="E4" s="42" t="s">
        <v>52</v>
      </c>
      <c r="F4" s="42"/>
      <c r="G4" s="1" t="s">
        <v>144</v>
      </c>
      <c r="K4" s="4" t="s">
        <v>12</v>
      </c>
      <c r="L4" s="4">
        <v>30.9</v>
      </c>
    </row>
    <row r="5" spans="1:12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>
        <v>63</v>
      </c>
    </row>
    <row r="6" spans="1:12" x14ac:dyDescent="0.3">
      <c r="A6" s="3" t="s">
        <v>146</v>
      </c>
      <c r="B6" s="41" t="s">
        <v>18</v>
      </c>
      <c r="C6" s="41"/>
      <c r="D6" s="41"/>
      <c r="E6" s="4">
        <v>6732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39.700000000000003</v>
      </c>
    </row>
    <row r="7" spans="1:12" x14ac:dyDescent="0.3">
      <c r="A7" s="2" t="s">
        <v>148</v>
      </c>
      <c r="B7" s="42" t="s">
        <v>21</v>
      </c>
      <c r="C7" s="42"/>
      <c r="D7" s="42"/>
      <c r="E7" s="1" t="s">
        <v>147</v>
      </c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65.8</v>
      </c>
    </row>
    <row r="8" spans="1:12" x14ac:dyDescent="0.3">
      <c r="A8" s="3" t="s">
        <v>149</v>
      </c>
      <c r="B8" s="41" t="s">
        <v>19</v>
      </c>
      <c r="C8" s="41"/>
      <c r="D8" s="41"/>
      <c r="E8" s="4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308</v>
      </c>
    </row>
    <row r="9" spans="1:12" x14ac:dyDescent="0.3">
      <c r="A9" s="2"/>
      <c r="B9" s="42" t="s">
        <v>20</v>
      </c>
      <c r="C9" s="42"/>
      <c r="D9" s="42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86.8</v>
      </c>
    </row>
    <row r="10" spans="1:12" x14ac:dyDescent="0.3">
      <c r="A10" s="3" t="s">
        <v>150</v>
      </c>
      <c r="B10" s="41" t="s">
        <v>24</v>
      </c>
      <c r="C10" s="41"/>
      <c r="D10" s="41"/>
      <c r="E10" s="8">
        <v>7.375</v>
      </c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9.1</v>
      </c>
    </row>
    <row r="11" spans="1:12" x14ac:dyDescent="0.3">
      <c r="A11" s="2" t="s">
        <v>63</v>
      </c>
      <c r="B11" s="42" t="s">
        <v>23</v>
      </c>
      <c r="C11" s="42"/>
      <c r="D11" s="42"/>
      <c r="E11" s="1" t="s">
        <v>62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41" t="s">
        <v>25</v>
      </c>
      <c r="C12" s="41"/>
      <c r="D12" s="4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80</v>
      </c>
      <c r="B13" s="42" t="s">
        <v>26</v>
      </c>
      <c r="C13" s="42"/>
      <c r="D13" s="42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152</v>
      </c>
      <c r="B14" s="41" t="s">
        <v>27</v>
      </c>
      <c r="C14" s="41"/>
      <c r="D14" s="41"/>
      <c r="E14" s="4" t="s">
        <v>151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/>
      <c r="F15" s="16"/>
      <c r="G15" s="16"/>
      <c r="H15" s="14"/>
    </row>
    <row r="16" spans="1:12" x14ac:dyDescent="0.3">
      <c r="A16" s="5" t="s">
        <v>46</v>
      </c>
      <c r="B16" s="41" t="s">
        <v>28</v>
      </c>
      <c r="C16" s="41"/>
      <c r="D16" s="41"/>
      <c r="E16" s="4" t="s">
        <v>51</v>
      </c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154</v>
      </c>
      <c r="B17" s="42" t="s">
        <v>22</v>
      </c>
      <c r="C17" s="42"/>
      <c r="D17" s="42"/>
      <c r="E17" s="1" t="s">
        <v>153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 t="s">
        <v>155</v>
      </c>
      <c r="B18" s="41" t="s">
        <v>29</v>
      </c>
      <c r="C18" s="41"/>
      <c r="D18" s="41"/>
      <c r="E18" s="4">
        <v>7040</v>
      </c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98</v>
      </c>
      <c r="B19" s="42" t="s">
        <v>30</v>
      </c>
      <c r="C19" s="42"/>
      <c r="D19" s="42"/>
      <c r="E19" s="1" t="s">
        <v>97</v>
      </c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44"/>
      <c r="C20" s="45"/>
      <c r="D20" s="46"/>
      <c r="E20" s="4"/>
      <c r="F20" s="4"/>
      <c r="G20" s="4"/>
      <c r="H20" s="14"/>
    </row>
    <row r="21" spans="1:10" x14ac:dyDescent="0.3">
      <c r="A21" s="2" t="s">
        <v>156</v>
      </c>
      <c r="B21" s="42" t="s">
        <v>33</v>
      </c>
      <c r="C21" s="42"/>
      <c r="D21" s="42"/>
      <c r="E21" s="9">
        <v>7.375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157</v>
      </c>
      <c r="B22" s="41" t="s">
        <v>31</v>
      </c>
      <c r="C22" s="41"/>
      <c r="D22" s="41"/>
      <c r="E22" s="4">
        <v>6736</v>
      </c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42" t="s">
        <v>48</v>
      </c>
      <c r="C23" s="42"/>
      <c r="D23" s="4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159</v>
      </c>
      <c r="B24" s="41" t="s">
        <v>32</v>
      </c>
      <c r="C24" s="41"/>
      <c r="D24" s="41"/>
      <c r="E24" s="4" t="s">
        <v>158</v>
      </c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2"/>
      <c r="C25" s="42"/>
      <c r="D25" s="42"/>
      <c r="E25" s="1"/>
      <c r="F25" s="16"/>
      <c r="G25" s="16"/>
      <c r="H25" s="14"/>
      <c r="I25" s="12"/>
    </row>
    <row r="26" spans="1:10" x14ac:dyDescent="0.3">
      <c r="A26" s="5"/>
      <c r="B26" s="41" t="s">
        <v>37</v>
      </c>
      <c r="C26" s="41"/>
      <c r="D26" s="41"/>
      <c r="E26" s="4" t="str">
        <f>C2</f>
        <v>Miller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0" priority="2" operator="equal">
      <formula>"Returned"</formula>
    </cfRule>
    <cfRule type="cellIs" dxfId="29" priority="5" operator="equal">
      <formula>"Ready To Order"</formula>
    </cfRule>
    <cfRule type="cellIs" dxfId="28" priority="6" operator="equal">
      <formula>"UNP"</formula>
    </cfRule>
    <cfRule type="containsText" dxfId="27" priority="7" operator="containsText" text="Ordered">
      <formula>NOT(ISERROR(SEARCH("Ordered",G6)))</formula>
    </cfRule>
    <cfRule type="containsText" dxfId="26" priority="8" operator="containsText" text="Pick Up">
      <formula>NOT(ISERROR(SEARCH("Pick Up",G6)))</formula>
    </cfRule>
    <cfRule type="containsText" dxfId="25" priority="9" operator="containsText" text="Complete">
      <formula>NOT(ISERROR(SEARCH("Complete",G6)))</formula>
    </cfRule>
  </conditionalFormatting>
  <conditionalFormatting sqref="G30:G33">
    <cfRule type="containsText" dxfId="24" priority="4" operator="containsText" text="Given">
      <formula>NOT(ISERROR(SEARCH("Given",G30)))</formula>
    </cfRule>
  </conditionalFormatting>
  <conditionalFormatting sqref="G30:G34">
    <cfRule type="containsText" dxfId="23" priority="3" operator="containsText" text="Returned">
      <formula>NOT(ISERROR(SEARCH("Returned",G30)))</formula>
    </cfRule>
  </conditionalFormatting>
  <conditionalFormatting sqref="G6:G14 G21:G26 G16:G19">
    <cfRule type="cellIs" dxfId="22" priority="1" operator="equal">
      <formula>"In Stock"</formula>
    </cfRule>
  </conditionalFormatting>
  <dataValidations count="3">
    <dataValidation type="list" allowBlank="1" showInputMessage="1" showErrorMessage="1" sqref="G30:G34" xr:uid="{ABD7BC5C-5955-41BA-89DC-6A7C45D42B40}">
      <formula1>"--,Returned, Given"</formula1>
    </dataValidation>
    <dataValidation type="list" allowBlank="1" showInputMessage="1" showErrorMessage="1" sqref="G16:G19 G21:G24 G26 G6:G14" xr:uid="{DA314DAD-AAE7-4EAB-BEE9-64488E584C7D}">
      <formula1>"UNP, Ready To Order, Ordered, In Stock, Pick Up, Complete, Returned"</formula1>
    </dataValidation>
    <dataValidation type="decimal" allowBlank="1" showInputMessage="1" showErrorMessage="1" sqref="L2" xr:uid="{A2CC4DF5-6F6F-4DD6-8D97-E38BD15DF21D}">
      <formula1>19</formula1>
      <formula2>26</formula2>
    </dataValidation>
  </dataValidations>
  <hyperlinks>
    <hyperlink ref="A1:A2" location="Menu!A1" display="Back to Menu" xr:uid="{F568855C-C292-4A49-BC2C-6BCD04DE2F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EFD11-1A1A-4D8B-876C-1D0C608510B9}">
  <dimension ref="A1:L37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42" t="s">
        <v>140</v>
      </c>
      <c r="D2" s="42"/>
      <c r="E2" s="42" t="s">
        <v>162</v>
      </c>
      <c r="F2" s="42"/>
      <c r="G2" s="1" t="s">
        <v>163</v>
      </c>
      <c r="K2" s="4" t="s">
        <v>9</v>
      </c>
      <c r="L2" s="4">
        <v>20.5</v>
      </c>
    </row>
    <row r="3" spans="1:12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>
        <v>13.7</v>
      </c>
    </row>
    <row r="4" spans="1:12" x14ac:dyDescent="0.3">
      <c r="A4" s="1" t="s">
        <v>39</v>
      </c>
      <c r="B4" s="53">
        <v>3942053139</v>
      </c>
      <c r="C4" s="53"/>
      <c r="D4" s="53"/>
      <c r="E4" s="42" t="s">
        <v>52</v>
      </c>
      <c r="F4" s="42"/>
      <c r="G4" s="1" t="s">
        <v>144</v>
      </c>
      <c r="K4" s="4" t="s">
        <v>12</v>
      </c>
      <c r="L4" s="4">
        <v>57.9</v>
      </c>
    </row>
    <row r="5" spans="1:12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>
        <v>56.9</v>
      </c>
    </row>
    <row r="6" spans="1:12" x14ac:dyDescent="0.3">
      <c r="A6" s="3" t="s">
        <v>164</v>
      </c>
      <c r="B6" s="41" t="s">
        <v>18</v>
      </c>
      <c r="C6" s="41"/>
      <c r="D6" s="41"/>
      <c r="E6" s="4">
        <v>7058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36.6</v>
      </c>
    </row>
    <row r="7" spans="1:12" x14ac:dyDescent="0.3">
      <c r="A7" s="2" t="s">
        <v>166</v>
      </c>
      <c r="B7" s="42" t="s">
        <v>21</v>
      </c>
      <c r="C7" s="42"/>
      <c r="D7" s="42"/>
      <c r="E7" s="1" t="s">
        <v>165</v>
      </c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56.8</v>
      </c>
    </row>
    <row r="8" spans="1:12" x14ac:dyDescent="0.3">
      <c r="A8" s="3"/>
      <c r="B8" s="41" t="s">
        <v>19</v>
      </c>
      <c r="C8" s="41"/>
      <c r="D8" s="4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229.2</v>
      </c>
    </row>
    <row r="9" spans="1:12" x14ac:dyDescent="0.3">
      <c r="A9" s="2"/>
      <c r="B9" s="42" t="s">
        <v>20</v>
      </c>
      <c r="C9" s="42"/>
      <c r="D9" s="42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108</v>
      </c>
    </row>
    <row r="10" spans="1:12" x14ac:dyDescent="0.3">
      <c r="A10" s="3"/>
      <c r="B10" s="41" t="s">
        <v>24</v>
      </c>
      <c r="C10" s="41"/>
      <c r="D10" s="41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6.1</v>
      </c>
    </row>
    <row r="11" spans="1:12" x14ac:dyDescent="0.3">
      <c r="A11" s="2"/>
      <c r="B11" s="42" t="s">
        <v>23</v>
      </c>
      <c r="C11" s="42"/>
      <c r="D11" s="42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41" t="s">
        <v>25</v>
      </c>
      <c r="C12" s="41"/>
      <c r="D12" s="4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/>
      <c r="B13" s="42" t="s">
        <v>26</v>
      </c>
      <c r="C13" s="42"/>
      <c r="D13" s="42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41" t="s">
        <v>27</v>
      </c>
      <c r="C14" s="41"/>
      <c r="D14" s="41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47"/>
      <c r="C15" s="47"/>
      <c r="D15" s="47"/>
      <c r="E15" s="1"/>
      <c r="F15" s="16"/>
      <c r="G15" s="16"/>
      <c r="H15" s="14"/>
    </row>
    <row r="16" spans="1:12" x14ac:dyDescent="0.3">
      <c r="A16" s="5"/>
      <c r="B16" s="41" t="s">
        <v>28</v>
      </c>
      <c r="C16" s="41"/>
      <c r="D16" s="41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/>
      <c r="B17" s="42" t="s">
        <v>22</v>
      </c>
      <c r="C17" s="42"/>
      <c r="D17" s="42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/>
      <c r="B18" s="41" t="s">
        <v>29</v>
      </c>
      <c r="C18" s="41"/>
      <c r="D18" s="4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/>
      <c r="B19" s="42" t="s">
        <v>30</v>
      </c>
      <c r="C19" s="42"/>
      <c r="D19" s="42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44"/>
      <c r="C20" s="45"/>
      <c r="D20" s="46"/>
      <c r="E20" s="4"/>
      <c r="F20" s="4"/>
      <c r="G20" s="4"/>
      <c r="H20" s="14"/>
    </row>
    <row r="21" spans="1:10" x14ac:dyDescent="0.3">
      <c r="A21" s="2"/>
      <c r="B21" s="42" t="s">
        <v>33</v>
      </c>
      <c r="C21" s="42"/>
      <c r="D21" s="42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/>
      <c r="B22" s="41" t="s">
        <v>31</v>
      </c>
      <c r="C22" s="41"/>
      <c r="D22" s="41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42" t="s">
        <v>48</v>
      </c>
      <c r="C23" s="42"/>
      <c r="D23" s="4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41" t="s">
        <v>32</v>
      </c>
      <c r="C24" s="41"/>
      <c r="D24" s="4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42"/>
      <c r="C25" s="42"/>
      <c r="D25" s="42"/>
      <c r="E25" s="1"/>
      <c r="F25" s="16"/>
      <c r="G25" s="16"/>
      <c r="H25" s="14"/>
      <c r="I25" s="12"/>
    </row>
    <row r="26" spans="1:10" x14ac:dyDescent="0.3">
      <c r="A26" s="5"/>
      <c r="B26" s="41" t="s">
        <v>37</v>
      </c>
      <c r="C26" s="41"/>
      <c r="D26" s="41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8" priority="2" operator="equal">
      <formula>"Returned"</formula>
    </cfRule>
    <cfRule type="cellIs" dxfId="7" priority="5" operator="equal">
      <formula>"Ready To Order"</formula>
    </cfRule>
    <cfRule type="cellIs" dxfId="6" priority="6" operator="equal">
      <formula>"UNP"</formula>
    </cfRule>
    <cfRule type="containsText" dxfId="5" priority="7" operator="containsText" text="Ordered">
      <formula>NOT(ISERROR(SEARCH("Ordered",G6)))</formula>
    </cfRule>
    <cfRule type="containsText" dxfId="4" priority="8" operator="containsText" text="Pick Up">
      <formula>NOT(ISERROR(SEARCH("Pick Up",G6)))</formula>
    </cfRule>
    <cfRule type="containsText" dxfId="3" priority="9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list" allowBlank="1" showInputMessage="1" showErrorMessage="1" sqref="G30:G34" xr:uid="{707FB904-39C7-4F6D-928F-DA3BB6E3D800}">
      <formula1>"--,Returned, Given"</formula1>
    </dataValidation>
    <dataValidation type="list" allowBlank="1" showInputMessage="1" showErrorMessage="1" sqref="G16:G19 G21:G24 G26 G6:G14" xr:uid="{9FBB5498-F5B6-4C46-91E6-71FCB504B400}">
      <formula1>"UNP, Ready To Order, Ordered, In Stock, Pick Up, Complete, Returned"</formula1>
    </dataValidation>
    <dataValidation type="decimal" allowBlank="1" showInputMessage="1" showErrorMessage="1" sqref="L2" xr:uid="{C6DF5F06-BF77-41AD-BC94-9F39ECBA9F63}">
      <formula1>19</formula1>
      <formula2>26</formula2>
    </dataValidation>
  </dataValidations>
  <hyperlinks>
    <hyperlink ref="A1:A2" location="Menu!A1" display="Back to Menu" xr:uid="{6EE7BCBE-6F06-4BE5-BCD0-2118C5EFFD1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7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48" t="s">
        <v>42</v>
      </c>
      <c r="B1" s="20" t="s">
        <v>3</v>
      </c>
      <c r="C1" s="43" t="s">
        <v>0</v>
      </c>
      <c r="D1" s="43"/>
      <c r="E1" s="43" t="s">
        <v>2</v>
      </c>
      <c r="F1" s="43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49"/>
      <c r="B2" s="2"/>
      <c r="C2" s="42"/>
      <c r="D2" s="42"/>
      <c r="E2" s="42"/>
      <c r="F2" s="42"/>
      <c r="G2" s="1"/>
      <c r="K2" s="4" t="s">
        <v>9</v>
      </c>
      <c r="L2" s="4"/>
    </row>
    <row r="3" spans="1:12" ht="17.25" customHeight="1" x14ac:dyDescent="0.3">
      <c r="A3" s="20" t="s">
        <v>1</v>
      </c>
      <c r="B3" s="50" t="s">
        <v>4</v>
      </c>
      <c r="C3" s="51"/>
      <c r="D3" s="52"/>
      <c r="E3" s="50" t="s">
        <v>49</v>
      </c>
      <c r="F3" s="52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53"/>
      <c r="C4" s="53"/>
      <c r="D4" s="53"/>
      <c r="E4" s="42"/>
      <c r="F4" s="42"/>
      <c r="G4" s="1"/>
      <c r="K4" s="4" t="s">
        <v>12</v>
      </c>
      <c r="L4" s="4"/>
    </row>
    <row r="5" spans="1:12" ht="17.25" customHeight="1" x14ac:dyDescent="0.3">
      <c r="A5" s="20" t="s">
        <v>6</v>
      </c>
      <c r="B5" s="43" t="s">
        <v>7</v>
      </c>
      <c r="C5" s="43"/>
      <c r="D5" s="43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41" t="s">
        <v>18</v>
      </c>
      <c r="C6" s="41"/>
      <c r="D6" s="41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42" t="s">
        <v>21</v>
      </c>
      <c r="C7" s="42"/>
      <c r="D7" s="42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41" t="s">
        <v>19</v>
      </c>
      <c r="C8" s="41"/>
      <c r="D8" s="41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42" t="s">
        <v>20</v>
      </c>
      <c r="C9" s="42"/>
      <c r="D9" s="42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41" t="s">
        <v>24</v>
      </c>
      <c r="C10" s="41"/>
      <c r="D10" s="41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42" t="s">
        <v>23</v>
      </c>
      <c r="C11" s="42"/>
      <c r="D11" s="42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41" t="s">
        <v>25</v>
      </c>
      <c r="C12" s="41"/>
      <c r="D12" s="41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42" t="s">
        <v>26</v>
      </c>
      <c r="C13" s="42"/>
      <c r="D13" s="42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41" t="s">
        <v>27</v>
      </c>
      <c r="C14" s="41"/>
      <c r="D14" s="41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47"/>
      <c r="C15" s="47"/>
      <c r="D15" s="47"/>
      <c r="E15" s="1"/>
      <c r="F15" s="16"/>
      <c r="G15" s="16"/>
      <c r="H15" s="14"/>
    </row>
    <row r="16" spans="1:12" ht="17.25" customHeight="1" x14ac:dyDescent="0.3">
      <c r="A16" s="5"/>
      <c r="B16" s="41" t="s">
        <v>28</v>
      </c>
      <c r="C16" s="41"/>
      <c r="D16" s="41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42" t="s">
        <v>22</v>
      </c>
      <c r="C17" s="42"/>
      <c r="D17" s="42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41" t="s">
        <v>29</v>
      </c>
      <c r="C18" s="41"/>
      <c r="D18" s="41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42" t="s">
        <v>30</v>
      </c>
      <c r="C19" s="42"/>
      <c r="D19" s="42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44"/>
      <c r="C20" s="45"/>
      <c r="D20" s="46"/>
      <c r="E20" s="4"/>
      <c r="F20" s="4"/>
      <c r="G20" s="4"/>
      <c r="H20" s="14"/>
    </row>
    <row r="21" spans="1:14" x14ac:dyDescent="0.3">
      <c r="A21" s="2"/>
      <c r="B21" s="42" t="s">
        <v>33</v>
      </c>
      <c r="C21" s="42"/>
      <c r="D21" s="42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41" t="s">
        <v>31</v>
      </c>
      <c r="C22" s="41"/>
      <c r="D22" s="41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42" t="s">
        <v>48</v>
      </c>
      <c r="C23" s="42"/>
      <c r="D23" s="42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41" t="s">
        <v>32</v>
      </c>
      <c r="C24" s="41"/>
      <c r="D24" s="41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42"/>
      <c r="C25" s="42"/>
      <c r="D25" s="42"/>
      <c r="E25" s="1"/>
      <c r="F25" s="16"/>
      <c r="G25" s="16"/>
      <c r="H25" s="14"/>
      <c r="I25" s="12"/>
    </row>
    <row r="26" spans="1:14" x14ac:dyDescent="0.3">
      <c r="A26" s="5"/>
      <c r="B26" s="41" t="s">
        <v>37</v>
      </c>
      <c r="C26" s="41"/>
      <c r="D26" s="41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43" t="s">
        <v>50</v>
      </c>
      <c r="C29" s="43"/>
      <c r="D29" s="43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41"/>
      <c r="C30" s="41"/>
      <c r="D30" s="41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42"/>
      <c r="C31" s="42"/>
      <c r="D31" s="42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41"/>
      <c r="C32" s="41"/>
      <c r="D32" s="41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42"/>
      <c r="C33" s="42"/>
      <c r="D33" s="4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1"/>
      <c r="C34" s="41"/>
      <c r="D34" s="41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21" priority="2" operator="equal">
      <formula>"Returned"</formula>
    </cfRule>
    <cfRule type="cellIs" dxfId="20" priority="12" operator="equal">
      <formula>"Ready To Order"</formula>
    </cfRule>
    <cfRule type="cellIs" dxfId="19" priority="13" operator="equal">
      <formula>"UNP"</formula>
    </cfRule>
    <cfRule type="containsText" dxfId="18" priority="14" operator="containsText" text="Ordered">
      <formula>NOT(ISERROR(SEARCH("Ordered",G6)))</formula>
    </cfRule>
    <cfRule type="containsText" dxfId="17" priority="15" operator="containsText" text="Pick Up">
      <formula>NOT(ISERROR(SEARCH("Pick Up",G6)))</formula>
    </cfRule>
    <cfRule type="containsText" dxfId="16" priority="16" operator="containsText" text="Complete">
      <formula>NOT(ISERROR(SEARCH("Complete",G6)))</formula>
    </cfRule>
  </conditionalFormatting>
  <conditionalFormatting sqref="G30:G33">
    <cfRule type="containsText" dxfId="15" priority="4" operator="containsText" text="Given">
      <formula>NOT(ISERROR(SEARCH("Given",G30)))</formula>
    </cfRule>
  </conditionalFormatting>
  <conditionalFormatting sqref="G30:G34">
    <cfRule type="containsText" dxfId="14" priority="3" operator="containsText" text="Returned">
      <formula>NOT(ISERROR(SEARCH("Returned",G30)))</formula>
    </cfRule>
  </conditionalFormatting>
  <conditionalFormatting sqref="G6:G14 G21:G26 G16:G19">
    <cfRule type="cellIs" dxfId="13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8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Menu</vt:lpstr>
      <vt:lpstr>Importing</vt:lpstr>
      <vt:lpstr>Pickup</vt:lpstr>
      <vt:lpstr>Mia_Wilson_795DB783</vt:lpstr>
      <vt:lpstr>aaaa_aaa_F3E668A6</vt:lpstr>
      <vt:lpstr>Frank_Thomas_215B12B4</vt:lpstr>
      <vt:lpstr>Quinn_Anderson_BF947EB3</vt:lpstr>
      <vt:lpstr>Liam_Miller_A33FCEBC</vt:lpstr>
      <vt:lpstr>Samuel_Taylor_EF949E87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2023-12-28T05:00:54Z</cp:lastPrinted>
  <dcterms:created xsi:type="dcterms:W3CDTF">2023-08-20T19:28:09Z</dcterms:created>
  <dcterms:modified xsi:type="dcterms:W3CDTF">2023-12-30T23:09:40Z</dcterms:modified>
</cp:coreProperties>
</file>