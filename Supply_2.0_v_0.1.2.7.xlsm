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vi\Desktop\projects\SupplyExcel\"/>
    </mc:Choice>
  </mc:AlternateContent>
  <xr:revisionPtr revIDLastSave="0" documentId="13_ncr:1_{D4410292-5E02-4947-B7E2-A38FF2783F2F}" xr6:coauthVersionLast="47" xr6:coauthVersionMax="47" xr10:uidLastSave="{00000000-0000-0000-0000-000000000000}"/>
  <bookViews>
    <workbookView xWindow="-98" yWindow="-98" windowWidth="21795" windowHeight="13875" tabRatio="856" activeTab="2" xr2:uid="{01218C0E-FF84-42AC-8993-DD76AC11461D}"/>
  </bookViews>
  <sheets>
    <sheet name="Menu" sheetId="48" r:id="rId1"/>
    <sheet name="Importing" sheetId="124" r:id="rId2"/>
    <sheet name="Pickup" sheetId="181" r:id="rId3"/>
    <sheet name="Mia_Wilson_795DB783" sheetId="212" r:id="rId4"/>
    <sheet name="aaaa_aaa_F3E668A6" sheetId="213" r:id="rId5"/>
    <sheet name="Frank_Thomas_215B12B4" sheetId="214" r:id="rId6"/>
    <sheet name="Quinn_Anderson_BF947EB3" sheetId="215" r:id="rId7"/>
    <sheet name="Template" sheetId="1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215" l="1"/>
  <c r="H33" i="215"/>
  <c r="H32" i="215"/>
  <c r="H31" i="215"/>
  <c r="H30" i="215"/>
  <c r="H26" i="215"/>
  <c r="E26" i="215"/>
  <c r="H24" i="215"/>
  <c r="H23" i="215"/>
  <c r="H22" i="215"/>
  <c r="H21" i="215"/>
  <c r="H19" i="215"/>
  <c r="H18" i="215"/>
  <c r="H17" i="215"/>
  <c r="H16" i="215"/>
  <c r="H14" i="215"/>
  <c r="H13" i="215"/>
  <c r="H12" i="215"/>
  <c r="H11" i="215"/>
  <c r="H10" i="215"/>
  <c r="H9" i="215"/>
  <c r="H8" i="215"/>
  <c r="H7" i="215"/>
  <c r="H6" i="215"/>
  <c r="H34" i="214"/>
  <c r="H33" i="214"/>
  <c r="H32" i="214"/>
  <c r="H31" i="214"/>
  <c r="H30" i="214"/>
  <c r="H26" i="214"/>
  <c r="E26" i="214"/>
  <c r="H24" i="214"/>
  <c r="H23" i="214"/>
  <c r="H22" i="214"/>
  <c r="H21" i="214"/>
  <c r="H19" i="214"/>
  <c r="H18" i="214"/>
  <c r="H17" i="214"/>
  <c r="H16" i="214"/>
  <c r="H14" i="214"/>
  <c r="H13" i="214"/>
  <c r="H12" i="214"/>
  <c r="H11" i="214"/>
  <c r="H10" i="214"/>
  <c r="H9" i="214"/>
  <c r="H8" i="214"/>
  <c r="H7" i="214"/>
  <c r="H6" i="214"/>
  <c r="H34" i="213"/>
  <c r="H33" i="213"/>
  <c r="H32" i="213"/>
  <c r="H31" i="213"/>
  <c r="H30" i="213"/>
  <c r="H26" i="213"/>
  <c r="H24" i="213"/>
  <c r="H23" i="213"/>
  <c r="H22" i="213"/>
  <c r="H21" i="213"/>
  <c r="H19" i="213"/>
  <c r="H18" i="213"/>
  <c r="H17" i="213"/>
  <c r="H16" i="213"/>
  <c r="H14" i="213"/>
  <c r="H13" i="213"/>
  <c r="H12" i="213"/>
  <c r="H11" i="213"/>
  <c r="H10" i="213"/>
  <c r="H9" i="213"/>
  <c r="H8" i="213"/>
  <c r="H7" i="213"/>
  <c r="H6" i="213"/>
  <c r="H34" i="212"/>
  <c r="H33" i="212"/>
  <c r="H32" i="212"/>
  <c r="H31" i="212"/>
  <c r="H30" i="212"/>
  <c r="H26" i="212"/>
  <c r="E26" i="212"/>
  <c r="H24" i="212"/>
  <c r="H23" i="212"/>
  <c r="H22" i="212"/>
  <c r="H21" i="212"/>
  <c r="H19" i="212"/>
  <c r="H18" i="212"/>
  <c r="H17" i="212"/>
  <c r="H16" i="212"/>
  <c r="H14" i="212"/>
  <c r="H13" i="212"/>
  <c r="H12" i="212"/>
  <c r="H11" i="212"/>
  <c r="H10" i="212"/>
  <c r="H9" i="212"/>
  <c r="H8" i="212"/>
  <c r="H7" i="212"/>
  <c r="H6" i="212"/>
  <c r="E26" i="1" l="1"/>
  <c r="H14" i="1"/>
  <c r="H13" i="1"/>
  <c r="H12" i="1"/>
  <c r="H11" i="1"/>
  <c r="H10" i="1"/>
  <c r="H9" i="1"/>
  <c r="H8" i="1"/>
  <c r="H7" i="1"/>
  <c r="H6" i="1"/>
  <c r="H34" i="1"/>
  <c r="H33" i="1"/>
  <c r="H32" i="1"/>
  <c r="H31" i="1"/>
  <c r="H30" i="1"/>
  <c r="H22" i="1"/>
  <c r="H21" i="1"/>
  <c r="H19" i="1"/>
  <c r="H18" i="1"/>
  <c r="H17" i="1"/>
  <c r="H16" i="1"/>
  <c r="H26" i="1"/>
  <c r="H24" i="1"/>
  <c r="H23" i="1"/>
</calcChain>
</file>

<file path=xl/sharedStrings.xml><?xml version="1.0" encoding="utf-8"?>
<sst xmlns="http://schemas.openxmlformats.org/spreadsheetml/2006/main" count="538" uniqueCount="142">
  <si>
    <t>Surname</t>
  </si>
  <si>
    <t>Unit</t>
  </si>
  <si>
    <t>First Name</t>
  </si>
  <si>
    <t>Rank</t>
  </si>
  <si>
    <t>Telephone Number</t>
  </si>
  <si>
    <t>Gender</t>
  </si>
  <si>
    <t>Stock Number</t>
  </si>
  <si>
    <t>Item</t>
  </si>
  <si>
    <t>Size</t>
  </si>
  <si>
    <t>Head</t>
  </si>
  <si>
    <t>Size(inches)</t>
  </si>
  <si>
    <t>Neck</t>
  </si>
  <si>
    <t>Chest</t>
  </si>
  <si>
    <t>Waist</t>
  </si>
  <si>
    <t>Hips</t>
  </si>
  <si>
    <t>Height</t>
  </si>
  <si>
    <t>Foot Length</t>
  </si>
  <si>
    <t>Foot Width</t>
  </si>
  <si>
    <t>Tunic</t>
  </si>
  <si>
    <t>T-Shirt</t>
  </si>
  <si>
    <t>Dress Pants</t>
  </si>
  <si>
    <t>Collar Shirt</t>
  </si>
  <si>
    <t>Tilly</t>
  </si>
  <si>
    <t>Tie</t>
  </si>
  <si>
    <t>Wedge</t>
  </si>
  <si>
    <t>Belt</t>
  </si>
  <si>
    <t>Socks</t>
  </si>
  <si>
    <t>Leather Boots</t>
  </si>
  <si>
    <t>Toque</t>
  </si>
  <si>
    <t>Parka</t>
  </si>
  <si>
    <t>Gloves</t>
  </si>
  <si>
    <t>FTU Tunic</t>
  </si>
  <si>
    <t>FTU Boots</t>
  </si>
  <si>
    <t>Beret</t>
  </si>
  <si>
    <t>Code</t>
  </si>
  <si>
    <t>Quantity</t>
  </si>
  <si>
    <t>Status</t>
  </si>
  <si>
    <t>Nametag</t>
  </si>
  <si>
    <t>Type</t>
  </si>
  <si>
    <t>918 Griffons RCACS</t>
  </si>
  <si>
    <t>Date</t>
  </si>
  <si>
    <t>ID</t>
  </si>
  <si>
    <t>Back to Menu</t>
  </si>
  <si>
    <t>FSgt</t>
  </si>
  <si>
    <t>Male</t>
  </si>
  <si>
    <t>UNP</t>
  </si>
  <si>
    <t>8405-21-907-9466</t>
  </si>
  <si>
    <t>Hand Length</t>
  </si>
  <si>
    <t>FTU Pants</t>
  </si>
  <si>
    <t>Email</t>
  </si>
  <si>
    <t>Extra Items</t>
  </si>
  <si>
    <t>UNI</t>
  </si>
  <si>
    <t>Jesus@hotmail.com</t>
  </si>
  <si>
    <t>Last Name</t>
  </si>
  <si>
    <t>Is Male</t>
  </si>
  <si>
    <t>Hip</t>
  </si>
  <si>
    <t>Foot Len</t>
  </si>
  <si>
    <t>Foot Wid</t>
  </si>
  <si>
    <t>XXL</t>
  </si>
  <si>
    <t>1000-21-215-7658</t>
  </si>
  <si>
    <t>M</t>
  </si>
  <si>
    <t>Hand</t>
  </si>
  <si>
    <t>R (50 inch)</t>
  </si>
  <si>
    <t>8440-21-905-7384</t>
  </si>
  <si>
    <t>Name</t>
  </si>
  <si>
    <t>In Stock</t>
  </si>
  <si>
    <t xml:space="preserve"> </t>
  </si>
  <si>
    <t>Old Size</t>
  </si>
  <si>
    <t>S</t>
  </si>
  <si>
    <t>New Size</t>
  </si>
  <si>
    <t>REG</t>
  </si>
  <si>
    <t>8440-20-008-7936</t>
  </si>
  <si>
    <t>Anderson</t>
  </si>
  <si>
    <t>8405-20-001-4513</t>
  </si>
  <si>
    <t>8420-20-001-0730</t>
  </si>
  <si>
    <t>1000-21-070-7060</t>
  </si>
  <si>
    <t>4XL</t>
  </si>
  <si>
    <t>1000-21-264-2550</t>
  </si>
  <si>
    <t>Pick Up</t>
  </si>
  <si>
    <t>Thomas</t>
  </si>
  <si>
    <t>XL/TG</t>
  </si>
  <si>
    <t>8440-20-006-6068</t>
  </si>
  <si>
    <t>(JR / JR)</t>
  </si>
  <si>
    <t>8415-20-006-8915</t>
  </si>
  <si>
    <t>UNP, In Stock</t>
  </si>
  <si>
    <t>Wilson</t>
  </si>
  <si>
    <t>Mia</t>
  </si>
  <si>
    <t>795DB783</t>
  </si>
  <si>
    <t>1000-21-059-8052</t>
  </si>
  <si>
    <t>8405-20-001-4516</t>
  </si>
  <si>
    <t>XXXL</t>
  </si>
  <si>
    <t>8420-20-001-0735</t>
  </si>
  <si>
    <t>1000-21-070-7652</t>
  </si>
  <si>
    <t>XL (60 inch)</t>
  </si>
  <si>
    <t>8440-20-005-2931</t>
  </si>
  <si>
    <t>8440-20-006-6070</t>
  </si>
  <si>
    <t>250/94</t>
  </si>
  <si>
    <t>8430-20-006-2520</t>
  </si>
  <si>
    <t>8405-20-001-1049</t>
  </si>
  <si>
    <t>(L/XL - G/TG)</t>
  </si>
  <si>
    <t>8415-20-006-8917</t>
  </si>
  <si>
    <t>8405-20-004-7503</t>
  </si>
  <si>
    <t>7D</t>
  </si>
  <si>
    <t>8430-20-A0X-9048</t>
  </si>
  <si>
    <t>ac</t>
  </si>
  <si>
    <t>aaa</t>
  </si>
  <si>
    <t>aaaa</t>
  </si>
  <si>
    <t>F3E668A6</t>
  </si>
  <si>
    <t>1000-21-059-6140</t>
  </si>
  <si>
    <t>L</t>
  </si>
  <si>
    <t>---------</t>
  </si>
  <si>
    <t>Completed</t>
  </si>
  <si>
    <t>Frank</t>
  </si>
  <si>
    <t>215B12B4</t>
  </si>
  <si>
    <t>1000-21-059-6148</t>
  </si>
  <si>
    <t>8420-20-001-0734</t>
  </si>
  <si>
    <t>1000-21-070-6448</t>
  </si>
  <si>
    <t>8405-20-003-5841</t>
  </si>
  <si>
    <t>295/112</t>
  </si>
  <si>
    <t>8430-20-006-2563</t>
  </si>
  <si>
    <t>8405-21-920-7101</t>
  </si>
  <si>
    <t>8405-20-013-1471</t>
  </si>
  <si>
    <t>8405-20-004-7489</t>
  </si>
  <si>
    <t>8405-20-004-7508</t>
  </si>
  <si>
    <t>15EEE</t>
  </si>
  <si>
    <t>8430-20-A0X-9354</t>
  </si>
  <si>
    <t>S.O.S</t>
  </si>
  <si>
    <t>Wilson, Mia</t>
  </si>
  <si>
    <t>aaa, aaaa</t>
  </si>
  <si>
    <t xml:space="preserve">S </t>
  </si>
  <si>
    <t>Quinn</t>
  </si>
  <si>
    <t>BF947EB3</t>
  </si>
  <si>
    <t>1000-21-059-7054</t>
  </si>
  <si>
    <t>18-1/2</t>
  </si>
  <si>
    <t>8405-20-001-4517</t>
  </si>
  <si>
    <t>8405-20-003-5842</t>
  </si>
  <si>
    <t>265/112</t>
  </si>
  <si>
    <t>8430-20-006-2538</t>
  </si>
  <si>
    <t>8405-21-920-7279</t>
  </si>
  <si>
    <t>8405-20-013-1472</t>
  </si>
  <si>
    <t>8405-21-920-7276</t>
  </si>
  <si>
    <t>Pick Up, 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</si>
</sst>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##\-###\-####"/>
    <numFmt numFmtId="165" formatCode="yyyy/mm/d\ h:mm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2" tint="-0.499984740745262"/>
      <name val="Wingdings 3"/>
      <family val="1"/>
      <charset val="2"/>
    </font>
    <font>
      <sz val="10"/>
      <color theme="2" tint="-0.499984740745262"/>
      <name val="Wingdings 3"/>
      <family val="1"/>
      <charset val="2"/>
    </font>
    <font>
      <sz val="11"/>
      <color theme="2" tint="-0.499984740745262"/>
      <name val="Wingdings 3"/>
      <family val="1"/>
      <charset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rgb="FFCADDEC"/>
        </stop>
      </gradient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0FFB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/>
      <right style="thin">
        <color theme="2" tint="-0.24994659260841701"/>
      </right>
      <top/>
      <bottom/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 applyNumberFormat="0" applyFill="0" applyBorder="0" applyAlignment="0" applyProtection="0"/>
  </cellStyleXfs>
  <cellXfs count="58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1" xfId="1" applyBorder="1" applyAlignment="1"/>
    <xf numFmtId="0" fontId="1" fillId="2" borderId="1" xfId="1" applyBorder="1" applyAlignment="1">
      <alignment horizontal="center"/>
    </xf>
    <xf numFmtId="0" fontId="1" fillId="2" borderId="1" xfId="1" applyBorder="1"/>
    <xf numFmtId="0" fontId="3" fillId="3" borderId="7" xfId="2" applyFont="1" applyBorder="1" applyAlignment="1">
      <alignment horizontal="center" vertical="center"/>
    </xf>
    <xf numFmtId="0" fontId="4" fillId="3" borderId="3" xfId="2" applyFont="1" applyBorder="1" applyAlignment="1">
      <alignment horizontal="center" vertical="center"/>
    </xf>
    <xf numFmtId="12" fontId="1" fillId="2" borderId="1" xfId="1" applyNumberFormat="1" applyBorder="1" applyAlignment="1">
      <alignment horizontal="center"/>
    </xf>
    <xf numFmtId="12" fontId="0" fillId="0" borderId="1" xfId="0" applyNumberFormat="1" applyBorder="1" applyAlignment="1">
      <alignment horizontal="center"/>
    </xf>
    <xf numFmtId="0" fontId="1" fillId="2" borderId="4" xfId="1" applyBorder="1" applyAlignment="1">
      <alignment horizontal="center"/>
    </xf>
    <xf numFmtId="0" fontId="7" fillId="0" borderId="0" xfId="0" applyFont="1"/>
    <xf numFmtId="0" fontId="10" fillId="0" borderId="0" xfId="0" applyFont="1"/>
    <xf numFmtId="0" fontId="3" fillId="3" borderId="1" xfId="2" applyFont="1" applyBorder="1" applyAlignment="1">
      <alignment horizontal="center" vertical="center"/>
    </xf>
    <xf numFmtId="0" fontId="8" fillId="0" borderId="0" xfId="3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7" borderId="1" xfId="1" applyFill="1" applyBorder="1" applyAlignment="1">
      <alignment horizontal="center"/>
    </xf>
    <xf numFmtId="0" fontId="1" fillId="4" borderId="1" xfId="1" applyFill="1" applyBorder="1" applyAlignment="1">
      <alignment horizontal="center"/>
    </xf>
    <xf numFmtId="0" fontId="11" fillId="0" borderId="0" xfId="0" applyFont="1"/>
    <xf numFmtId="0" fontId="10" fillId="5" borderId="0" xfId="3" applyFont="1" applyFill="1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12" fillId="3" borderId="9" xfId="2" applyFont="1" applyBorder="1" applyAlignment="1">
      <alignment horizontal="center"/>
    </xf>
    <xf numFmtId="0" fontId="9" fillId="5" borderId="11" xfId="3" applyFont="1" applyFill="1" applyBorder="1" applyAlignment="1">
      <alignment horizontal="center" vertical="center"/>
    </xf>
    <xf numFmtId="0" fontId="10" fillId="5" borderId="11" xfId="3" applyFont="1" applyFill="1" applyBorder="1" applyAlignment="1">
      <alignment horizontal="center" vertical="center"/>
    </xf>
    <xf numFmtId="0" fontId="9" fillId="5" borderId="12" xfId="3" applyFont="1" applyFill="1" applyBorder="1" applyAlignment="1">
      <alignment horizontal="center" vertical="center"/>
    </xf>
    <xf numFmtId="0" fontId="1" fillId="6" borderId="1" xfId="1" applyFill="1" applyBorder="1" applyAlignment="1">
      <alignment horizontal="center"/>
    </xf>
    <xf numFmtId="0" fontId="3" fillId="7" borderId="1" xfId="1" applyFont="1" applyFill="1" applyBorder="1" applyAlignment="1">
      <alignment horizontal="center"/>
    </xf>
    <xf numFmtId="0" fontId="3" fillId="2" borderId="1" xfId="1" applyFont="1" applyBorder="1" applyAlignment="1">
      <alignment horizontal="center"/>
    </xf>
    <xf numFmtId="0" fontId="10" fillId="5" borderId="10" xfId="3" applyFont="1" applyFill="1" applyBorder="1" applyAlignment="1">
      <alignment horizontal="center" vertical="center"/>
    </xf>
    <xf numFmtId="0" fontId="3" fillId="3" borderId="1" xfId="2" applyFont="1" applyBorder="1" applyAlignment="1">
      <alignment horizontal="center" vertical="center" wrapText="1"/>
    </xf>
    <xf numFmtId="0" fontId="5" fillId="0" borderId="9" xfId="3" applyFont="1" applyBorder="1" applyAlignment="1">
      <alignment horizontal="center" vertical="center"/>
    </xf>
    <xf numFmtId="0" fontId="5" fillId="0" borderId="9" xfId="3" applyFont="1" applyBorder="1" applyAlignment="1">
      <alignment horizontal="center" vertical="center" wrapText="1"/>
    </xf>
    <xf numFmtId="0" fontId="2" fillId="0" borderId="8" xfId="3" applyFill="1" applyBorder="1" applyAlignment="1">
      <alignment horizontal="center" vertical="center"/>
    </xf>
    <xf numFmtId="0" fontId="0" fillId="9" borderId="0" xfId="0" applyFill="1"/>
    <xf numFmtId="165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1" fillId="2" borderId="1" xfId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4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2" fillId="0" borderId="2" xfId="3" applyBorder="1" applyAlignment="1">
      <alignment horizontal="center" vertical="center"/>
    </xf>
    <xf numFmtId="0" fontId="2" fillId="0" borderId="3" xfId="3" applyBorder="1" applyAlignment="1">
      <alignment horizontal="center" vertical="center"/>
    </xf>
    <xf numFmtId="0" fontId="12" fillId="3" borderId="4" xfId="2" applyFont="1" applyBorder="1" applyAlignment="1">
      <alignment horizontal="center"/>
    </xf>
    <xf numFmtId="0" fontId="12" fillId="3" borderId="5" xfId="2" applyFont="1" applyBorder="1" applyAlignment="1">
      <alignment horizontal="center"/>
    </xf>
    <xf numFmtId="0" fontId="12" fillId="3" borderId="6" xfId="2" applyFont="1" applyBorder="1" applyAlignment="1">
      <alignment horizontal="center"/>
    </xf>
    <xf numFmtId="165" fontId="0" fillId="0" borderId="9" xfId="0" applyNumberFormat="1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14" fontId="0" fillId="0" borderId="0" xfId="0" applyNumberFormat="1"/>
    <xf numFmtId="0" fontId="13" fillId="0" borderId="13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2" fillId="8" borderId="0" xfId="0" applyFont="1" applyFill="1" applyAlignment="1">
      <alignment horizontal="center" vertical="center"/>
    </xf>
    <xf numFmtId="0" fontId="12" fillId="9" borderId="0" xfId="0" applyFont="1" applyFill="1" applyAlignment="1">
      <alignment horizontal="center" vertical="center"/>
    </xf>
    <xf numFmtId="0" fontId="0" fillId="10" borderId="0" xfId="0" applyFill="1"/>
    <xf numFmtId="0" fontId="0" fillId="2" borderId="1" xfId="1" applyFont="1" applyBorder="1" applyAlignment="1">
      <alignment horizontal="center"/>
    </xf>
  </cellXfs>
  <cellStyles count="4">
    <cellStyle name="20% - Accent3" xfId="1" builtinId="38"/>
    <cellStyle name="60% - Accent5" xfId="2" builtinId="48"/>
    <cellStyle name="Hyperlink" xfId="3" builtinId="8"/>
    <cellStyle name="Normal" xfId="0" builtinId="0"/>
  </cellStyles>
  <dxfs count="67"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BA3FB"/>
        </patternFill>
      </fill>
    </dxf>
    <dxf>
      <fill>
        <patternFill>
          <bgColor rgb="FFFF7575"/>
        </patternFill>
      </fill>
    </dxf>
    <dxf>
      <font>
        <color theme="0"/>
      </font>
      <fill>
        <patternFill>
          <bgColor theme="1"/>
        </patternFill>
      </fill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yyyy/mm/d\ h: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2"/>
      </font>
      <fill>
        <patternFill>
          <bgColor theme="2"/>
        </patternFill>
      </fill>
    </dxf>
    <dxf>
      <font>
        <color auto="1"/>
      </font>
    </dxf>
    <dxf>
      <font>
        <b/>
        <i val="0"/>
        <color auto="1"/>
      </font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xchangeTableStyle" pivot="0" count="4" xr9:uid="{92D06C3C-9229-4B94-8318-E57B621B220B}">
      <tableStyleElement type="wholeTable" dxfId="66"/>
      <tableStyleElement type="headerRow" dxfId="65"/>
      <tableStyleElement type="firstRowStripe" dxfId="64"/>
      <tableStyleElement type="secondRowStripe" dxfId="63"/>
    </tableStyle>
  </tableStyles>
  <colors>
    <mruColors>
      <color rgb="FFFBA3FB"/>
      <color rgb="FF66FF99"/>
      <color rgb="FFC39BE1"/>
      <color rgb="FF70AE8C"/>
      <color rgb="FFDAA100"/>
      <color rgb="FF03E4DF"/>
      <color rgb="FF699BFF"/>
      <color rgb="FFFB873F"/>
      <color rgb="FFFF7575"/>
      <color rgb="FFF6F6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0</xdr:row>
          <xdr:rowOff>0</xdr:rowOff>
        </xdr:from>
        <xdr:to>
          <xdr:col>7</xdr:col>
          <xdr:colOff>485775</xdr:colOff>
          <xdr:row>0</xdr:row>
          <xdr:rowOff>481013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0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352425</xdr:colOff>
          <xdr:row>0</xdr:row>
          <xdr:rowOff>0</xdr:rowOff>
        </xdr:from>
        <xdr:to>
          <xdr:col>12</xdr:col>
          <xdr:colOff>523875</xdr:colOff>
          <xdr:row>0</xdr:row>
          <xdr:rowOff>490538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0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Seperate Backup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609600</xdr:colOff>
          <xdr:row>0</xdr:row>
          <xdr:rowOff>0</xdr:rowOff>
        </xdr:from>
        <xdr:to>
          <xdr:col>10</xdr:col>
          <xdr:colOff>176213</xdr:colOff>
          <xdr:row>0</xdr:row>
          <xdr:rowOff>481013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0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Cadet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471488</xdr:colOff>
          <xdr:row>0</xdr:row>
          <xdr:rowOff>85726</xdr:rowOff>
        </xdr:from>
        <xdr:to>
          <xdr:col>18</xdr:col>
          <xdr:colOff>247650</xdr:colOff>
          <xdr:row>0</xdr:row>
          <xdr:rowOff>447676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0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Emergency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23813</xdr:colOff>
          <xdr:row>0</xdr:row>
          <xdr:rowOff>4762</xdr:rowOff>
        </xdr:from>
        <xdr:to>
          <xdr:col>15</xdr:col>
          <xdr:colOff>195263</xdr:colOff>
          <xdr:row>0</xdr:row>
          <xdr:rowOff>490537</xdr:rowOff>
        </xdr:to>
        <xdr:sp macro="" textlink="">
          <xdr:nvSpPr>
            <xdr:cNvPr id="19465" name="Button 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18BBD424-A0BE-4577-86DC-674F91079E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Old Cadet Exchange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395288</xdr:colOff>
          <xdr:row>0</xdr:row>
          <xdr:rowOff>128588</xdr:rowOff>
        </xdr:from>
        <xdr:to>
          <xdr:col>16</xdr:col>
          <xdr:colOff>342900</xdr:colOff>
          <xdr:row>1</xdr:row>
          <xdr:rowOff>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1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To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0</xdr:row>
          <xdr:rowOff>66675</xdr:rowOff>
        </xdr:from>
        <xdr:to>
          <xdr:col>22</xdr:col>
          <xdr:colOff>504825</xdr:colOff>
          <xdr:row>0</xdr:row>
          <xdr:rowOff>442913</xdr:rowOff>
        </xdr:to>
        <xdr:sp macro="" textlink="">
          <xdr:nvSpPr>
            <xdr:cNvPr id="163873" name="Button 33" hidden="1">
              <a:extLst>
                <a:ext uri="{63B3BB69-23CF-44E3-9099-C40C66FF867C}">
                  <a14:compatExt spid="_x0000_s163873"/>
                </a:ext>
                <a:ext uri="{FF2B5EF4-FFF2-40B4-BE49-F238E27FC236}">
                  <a16:creationId xmlns:a16="http://schemas.microsoft.com/office/drawing/2014/main" id="{00000000-0008-0000-0200-000021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0</xdr:rowOff>
        </xdr:from>
        <xdr:to>
          <xdr:col>22</xdr:col>
          <xdr:colOff>0</xdr:colOff>
          <xdr:row>2</xdr:row>
          <xdr:rowOff>0</xdr:rowOff>
        </xdr:to>
        <xdr:sp macro="" textlink="">
          <xdr:nvSpPr>
            <xdr:cNvPr id="163875" name="Complete" hidden="1">
              <a:extLst>
                <a:ext uri="{63B3BB69-23CF-44E3-9099-C40C66FF867C}">
                  <a14:compatExt spid="_x0000_s163875"/>
                </a:ext>
                <a:ext uri="{FF2B5EF4-FFF2-40B4-BE49-F238E27FC236}">
                  <a16:creationId xmlns:a16="http://schemas.microsoft.com/office/drawing/2014/main" id="{950C7B31-6F64-7F67-1642-4CD763FDC3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0</xdr:rowOff>
        </xdr:from>
        <xdr:to>
          <xdr:col>22</xdr:col>
          <xdr:colOff>0</xdr:colOff>
          <xdr:row>2</xdr:row>
          <xdr:rowOff>0</xdr:rowOff>
        </xdr:to>
        <xdr:sp macro="" textlink="">
          <xdr:nvSpPr>
            <xdr:cNvPr id="163877" name="Complete" hidden="1">
              <a:extLst>
                <a:ext uri="{63B3BB69-23CF-44E3-9099-C40C66FF867C}">
                  <a14:compatExt spid="_x0000_s163877"/>
                </a:ext>
                <a:ext uri="{FF2B5EF4-FFF2-40B4-BE49-F238E27FC236}">
                  <a16:creationId xmlns:a16="http://schemas.microsoft.com/office/drawing/2014/main" id="{306159B3-D8B1-113D-ACDC-F2056EA6A0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0</xdr:rowOff>
        </xdr:from>
        <xdr:to>
          <xdr:col>22</xdr:col>
          <xdr:colOff>0</xdr:colOff>
          <xdr:row>2</xdr:row>
          <xdr:rowOff>0</xdr:rowOff>
        </xdr:to>
        <xdr:sp macro="" textlink="">
          <xdr:nvSpPr>
            <xdr:cNvPr id="163878" name="Complete" hidden="1">
              <a:extLst>
                <a:ext uri="{63B3BB69-23CF-44E3-9099-C40C66FF867C}">
                  <a14:compatExt spid="_x0000_s163878"/>
                </a:ext>
                <a:ext uri="{FF2B5EF4-FFF2-40B4-BE49-F238E27FC236}">
                  <a16:creationId xmlns:a16="http://schemas.microsoft.com/office/drawing/2014/main" id="{8467E33F-0712-1D04-DC5E-129B2CC50E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</xdr:row>
          <xdr:rowOff>0</xdr:rowOff>
        </xdr:from>
        <xdr:to>
          <xdr:col>22</xdr:col>
          <xdr:colOff>0</xdr:colOff>
          <xdr:row>3</xdr:row>
          <xdr:rowOff>0</xdr:rowOff>
        </xdr:to>
        <xdr:sp macro="" textlink="">
          <xdr:nvSpPr>
            <xdr:cNvPr id="163879" name="Complete" hidden="1">
              <a:extLst>
                <a:ext uri="{63B3BB69-23CF-44E3-9099-C40C66FF867C}">
                  <a14:compatExt spid="_x0000_s163879"/>
                </a:ext>
                <a:ext uri="{FF2B5EF4-FFF2-40B4-BE49-F238E27FC236}">
                  <a16:creationId xmlns:a16="http://schemas.microsoft.com/office/drawing/2014/main" id="{8943CC91-2320-3D20-73B4-5B2D497023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0</xdr:rowOff>
        </xdr:from>
        <xdr:to>
          <xdr:col>22</xdr:col>
          <xdr:colOff>0</xdr:colOff>
          <xdr:row>2</xdr:row>
          <xdr:rowOff>0</xdr:rowOff>
        </xdr:to>
        <xdr:sp macro="" textlink="">
          <xdr:nvSpPr>
            <xdr:cNvPr id="163880" name="Complete" hidden="1">
              <a:extLst>
                <a:ext uri="{63B3BB69-23CF-44E3-9099-C40C66FF867C}">
                  <a14:compatExt spid="_x0000_s163880"/>
                </a:ext>
                <a:ext uri="{FF2B5EF4-FFF2-40B4-BE49-F238E27FC236}">
                  <a16:creationId xmlns:a16="http://schemas.microsoft.com/office/drawing/2014/main" id="{C6A99B01-EC40-6FA3-5B1F-33990DE43B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</xdr:row>
          <xdr:rowOff>0</xdr:rowOff>
        </xdr:from>
        <xdr:to>
          <xdr:col>22</xdr:col>
          <xdr:colOff>0</xdr:colOff>
          <xdr:row>3</xdr:row>
          <xdr:rowOff>0</xdr:rowOff>
        </xdr:to>
        <xdr:sp macro="" textlink="">
          <xdr:nvSpPr>
            <xdr:cNvPr id="163881" name="Complete" hidden="1">
              <a:extLst>
                <a:ext uri="{63B3BB69-23CF-44E3-9099-C40C66FF867C}">
                  <a14:compatExt spid="_x0000_s163881"/>
                </a:ext>
                <a:ext uri="{FF2B5EF4-FFF2-40B4-BE49-F238E27FC236}">
                  <a16:creationId xmlns:a16="http://schemas.microsoft.com/office/drawing/2014/main" id="{C5AEFE96-9D19-13D1-460F-9F4B5A7BA1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10</xdr:row>
          <xdr:rowOff>200025</xdr:rowOff>
        </xdr:from>
        <xdr:to>
          <xdr:col>12</xdr:col>
          <xdr:colOff>9525</xdr:colOff>
          <xdr:row>12</xdr:row>
          <xdr:rowOff>200025</xdr:rowOff>
        </xdr:to>
        <xdr:sp macro="" textlink="">
          <xdr:nvSpPr>
            <xdr:cNvPr id="205825" name="Button 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1A4CCAC1-DE4B-4476-97DB-401E8C8C27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204788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205826" name="Button 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5C4BA5EF-366D-47F9-9C54-E2C1464414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28575</xdr:colOff>
          <xdr:row>21</xdr:row>
          <xdr:rowOff>161925</xdr:rowOff>
        </xdr:to>
        <xdr:sp macro="" textlink="">
          <xdr:nvSpPr>
            <xdr:cNvPr id="205827" name="Button 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B1AFEED1-97FC-4D8A-8A1E-ACB72009DF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32</xdr:row>
          <xdr:rowOff>166688</xdr:rowOff>
        </xdr:from>
        <xdr:to>
          <xdr:col>12</xdr:col>
          <xdr:colOff>0</xdr:colOff>
          <xdr:row>33</xdr:row>
          <xdr:rowOff>176213</xdr:rowOff>
        </xdr:to>
        <xdr:sp macro="" textlink="">
          <xdr:nvSpPr>
            <xdr:cNvPr id="205828" name="Button 4" hidden="1">
              <a:extLst>
                <a:ext uri="{63B3BB69-23CF-44E3-9099-C40C66FF867C}">
                  <a14:compatExt spid="_x0000_s205828"/>
                </a:ext>
                <a:ext uri="{FF2B5EF4-FFF2-40B4-BE49-F238E27FC236}">
                  <a16:creationId xmlns:a16="http://schemas.microsoft.com/office/drawing/2014/main" id="{B5FDC046-70AB-45B6-8D99-30D357EEEF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30</xdr:row>
          <xdr:rowOff>176213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05829" name="Button 5" hidden="1">
              <a:extLst>
                <a:ext uri="{63B3BB69-23CF-44E3-9099-C40C66FF867C}">
                  <a14:compatExt spid="_x0000_s205829"/>
                </a:ext>
                <a:ext uri="{FF2B5EF4-FFF2-40B4-BE49-F238E27FC236}">
                  <a16:creationId xmlns:a16="http://schemas.microsoft.com/office/drawing/2014/main" id="{C39D20D0-6730-4662-A692-DA767D2C3E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176213</xdr:rowOff>
        </xdr:from>
        <xdr:to>
          <xdr:col>12</xdr:col>
          <xdr:colOff>9526</xdr:colOff>
          <xdr:row>26</xdr:row>
          <xdr:rowOff>109538</xdr:rowOff>
        </xdr:to>
        <xdr:sp macro="" textlink="">
          <xdr:nvSpPr>
            <xdr:cNvPr id="205830" name="Button 6" hidden="1">
              <a:extLst>
                <a:ext uri="{63B3BB69-23CF-44E3-9099-C40C66FF867C}">
                  <a14:compatExt spid="_x0000_s205830"/>
                </a:ext>
                <a:ext uri="{FF2B5EF4-FFF2-40B4-BE49-F238E27FC236}">
                  <a16:creationId xmlns:a16="http://schemas.microsoft.com/office/drawing/2014/main" id="{BEC85401-9BB2-4B45-A075-41A3EED95B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10</xdr:row>
          <xdr:rowOff>200025</xdr:rowOff>
        </xdr:from>
        <xdr:to>
          <xdr:col>12</xdr:col>
          <xdr:colOff>9525</xdr:colOff>
          <xdr:row>12</xdr:row>
          <xdr:rowOff>200025</xdr:rowOff>
        </xdr:to>
        <xdr:sp macro="" textlink="">
          <xdr:nvSpPr>
            <xdr:cNvPr id="206849" name="Button 1" hidden="1">
              <a:extLst>
                <a:ext uri="{63B3BB69-23CF-44E3-9099-C40C66FF867C}">
                  <a14:compatExt spid="_x0000_s206849"/>
                </a:ext>
                <a:ext uri="{FF2B5EF4-FFF2-40B4-BE49-F238E27FC236}">
                  <a16:creationId xmlns:a16="http://schemas.microsoft.com/office/drawing/2014/main" id="{546BEE59-88AC-48E2-A87E-4A3CDA16FD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204788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206850" name="Button 2" hidden="1">
              <a:extLst>
                <a:ext uri="{63B3BB69-23CF-44E3-9099-C40C66FF867C}">
                  <a14:compatExt spid="_x0000_s206850"/>
                </a:ext>
                <a:ext uri="{FF2B5EF4-FFF2-40B4-BE49-F238E27FC236}">
                  <a16:creationId xmlns:a16="http://schemas.microsoft.com/office/drawing/2014/main" id="{BAE12282-79FC-4509-8783-48277DCB34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28575</xdr:colOff>
          <xdr:row>21</xdr:row>
          <xdr:rowOff>161925</xdr:rowOff>
        </xdr:to>
        <xdr:sp macro="" textlink="">
          <xdr:nvSpPr>
            <xdr:cNvPr id="206851" name="Button 3" hidden="1">
              <a:extLst>
                <a:ext uri="{63B3BB69-23CF-44E3-9099-C40C66FF867C}">
                  <a14:compatExt spid="_x0000_s206851"/>
                </a:ext>
                <a:ext uri="{FF2B5EF4-FFF2-40B4-BE49-F238E27FC236}">
                  <a16:creationId xmlns:a16="http://schemas.microsoft.com/office/drawing/2014/main" id="{3FDF8DC2-3C5F-40CA-9D96-69D3A160D4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32</xdr:row>
          <xdr:rowOff>166688</xdr:rowOff>
        </xdr:from>
        <xdr:to>
          <xdr:col>12</xdr:col>
          <xdr:colOff>0</xdr:colOff>
          <xdr:row>33</xdr:row>
          <xdr:rowOff>176213</xdr:rowOff>
        </xdr:to>
        <xdr:sp macro="" textlink="">
          <xdr:nvSpPr>
            <xdr:cNvPr id="206852" name="Button 4" hidden="1">
              <a:extLst>
                <a:ext uri="{63B3BB69-23CF-44E3-9099-C40C66FF867C}">
                  <a14:compatExt spid="_x0000_s206852"/>
                </a:ext>
                <a:ext uri="{FF2B5EF4-FFF2-40B4-BE49-F238E27FC236}">
                  <a16:creationId xmlns:a16="http://schemas.microsoft.com/office/drawing/2014/main" id="{C271B0FD-4D0F-4F53-8194-1E26624B8E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30</xdr:row>
          <xdr:rowOff>176213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06853" name="Button 5" hidden="1">
              <a:extLst>
                <a:ext uri="{63B3BB69-23CF-44E3-9099-C40C66FF867C}">
                  <a14:compatExt spid="_x0000_s206853"/>
                </a:ext>
                <a:ext uri="{FF2B5EF4-FFF2-40B4-BE49-F238E27FC236}">
                  <a16:creationId xmlns:a16="http://schemas.microsoft.com/office/drawing/2014/main" id="{306373E7-B7C2-4A43-BED8-29EB82DCD0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176213</xdr:rowOff>
        </xdr:from>
        <xdr:to>
          <xdr:col>12</xdr:col>
          <xdr:colOff>9526</xdr:colOff>
          <xdr:row>26</xdr:row>
          <xdr:rowOff>109538</xdr:rowOff>
        </xdr:to>
        <xdr:sp macro="" textlink="">
          <xdr:nvSpPr>
            <xdr:cNvPr id="206854" name="Button 6" hidden="1">
              <a:extLst>
                <a:ext uri="{63B3BB69-23CF-44E3-9099-C40C66FF867C}">
                  <a14:compatExt spid="_x0000_s206854"/>
                </a:ext>
                <a:ext uri="{FF2B5EF4-FFF2-40B4-BE49-F238E27FC236}">
                  <a16:creationId xmlns:a16="http://schemas.microsoft.com/office/drawing/2014/main" id="{5C420FD0-8E47-4A88-8550-C2BB6637D0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10</xdr:row>
          <xdr:rowOff>200025</xdr:rowOff>
        </xdr:from>
        <xdr:to>
          <xdr:col>12</xdr:col>
          <xdr:colOff>9525</xdr:colOff>
          <xdr:row>12</xdr:row>
          <xdr:rowOff>200025</xdr:rowOff>
        </xdr:to>
        <xdr:sp macro="" textlink="">
          <xdr:nvSpPr>
            <xdr:cNvPr id="207873" name="Button 1" hidden="1">
              <a:extLst>
                <a:ext uri="{63B3BB69-23CF-44E3-9099-C40C66FF867C}">
                  <a14:compatExt spid="_x0000_s207873"/>
                </a:ext>
                <a:ext uri="{FF2B5EF4-FFF2-40B4-BE49-F238E27FC236}">
                  <a16:creationId xmlns:a16="http://schemas.microsoft.com/office/drawing/2014/main" id="{CBBEE3D6-E71E-4C5D-AF59-6270FF1A3F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204788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207874" name="Button 2" hidden="1">
              <a:extLst>
                <a:ext uri="{63B3BB69-23CF-44E3-9099-C40C66FF867C}">
                  <a14:compatExt spid="_x0000_s207874"/>
                </a:ext>
                <a:ext uri="{FF2B5EF4-FFF2-40B4-BE49-F238E27FC236}">
                  <a16:creationId xmlns:a16="http://schemas.microsoft.com/office/drawing/2014/main" id="{F3402CB6-204E-417D-B1FB-0BF3181D31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28575</xdr:colOff>
          <xdr:row>21</xdr:row>
          <xdr:rowOff>161925</xdr:rowOff>
        </xdr:to>
        <xdr:sp macro="" textlink="">
          <xdr:nvSpPr>
            <xdr:cNvPr id="207875" name="Button 3" hidden="1">
              <a:extLst>
                <a:ext uri="{63B3BB69-23CF-44E3-9099-C40C66FF867C}">
                  <a14:compatExt spid="_x0000_s207875"/>
                </a:ext>
                <a:ext uri="{FF2B5EF4-FFF2-40B4-BE49-F238E27FC236}">
                  <a16:creationId xmlns:a16="http://schemas.microsoft.com/office/drawing/2014/main" id="{7DF5365C-ECB6-4E6D-B546-CB01FBD27D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32</xdr:row>
          <xdr:rowOff>166688</xdr:rowOff>
        </xdr:from>
        <xdr:to>
          <xdr:col>12</xdr:col>
          <xdr:colOff>0</xdr:colOff>
          <xdr:row>33</xdr:row>
          <xdr:rowOff>176213</xdr:rowOff>
        </xdr:to>
        <xdr:sp macro="" textlink="">
          <xdr:nvSpPr>
            <xdr:cNvPr id="207876" name="Button 4" hidden="1">
              <a:extLst>
                <a:ext uri="{63B3BB69-23CF-44E3-9099-C40C66FF867C}">
                  <a14:compatExt spid="_x0000_s207876"/>
                </a:ext>
                <a:ext uri="{FF2B5EF4-FFF2-40B4-BE49-F238E27FC236}">
                  <a16:creationId xmlns:a16="http://schemas.microsoft.com/office/drawing/2014/main" id="{68BE81B8-572F-4023-8117-C9727062C2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30</xdr:row>
          <xdr:rowOff>176213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07877" name="Button 5" hidden="1">
              <a:extLst>
                <a:ext uri="{63B3BB69-23CF-44E3-9099-C40C66FF867C}">
                  <a14:compatExt spid="_x0000_s207877"/>
                </a:ext>
                <a:ext uri="{FF2B5EF4-FFF2-40B4-BE49-F238E27FC236}">
                  <a16:creationId xmlns:a16="http://schemas.microsoft.com/office/drawing/2014/main" id="{0DAC74C2-A990-4838-9FD2-7D48148CF6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176213</xdr:rowOff>
        </xdr:from>
        <xdr:to>
          <xdr:col>12</xdr:col>
          <xdr:colOff>9526</xdr:colOff>
          <xdr:row>26</xdr:row>
          <xdr:rowOff>109538</xdr:rowOff>
        </xdr:to>
        <xdr:sp macro="" textlink="">
          <xdr:nvSpPr>
            <xdr:cNvPr id="207878" name="Button 6" hidden="1">
              <a:extLst>
                <a:ext uri="{63B3BB69-23CF-44E3-9099-C40C66FF867C}">
                  <a14:compatExt spid="_x0000_s207878"/>
                </a:ext>
                <a:ext uri="{FF2B5EF4-FFF2-40B4-BE49-F238E27FC236}">
                  <a16:creationId xmlns:a16="http://schemas.microsoft.com/office/drawing/2014/main" id="{0A6266E7-3D62-410A-95AA-3E9C04E160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10</xdr:row>
          <xdr:rowOff>200025</xdr:rowOff>
        </xdr:from>
        <xdr:to>
          <xdr:col>12</xdr:col>
          <xdr:colOff>9525</xdr:colOff>
          <xdr:row>12</xdr:row>
          <xdr:rowOff>200025</xdr:rowOff>
        </xdr:to>
        <xdr:sp macro="" textlink="">
          <xdr:nvSpPr>
            <xdr:cNvPr id="208897" name="Button 1" hidden="1">
              <a:extLst>
                <a:ext uri="{63B3BB69-23CF-44E3-9099-C40C66FF867C}">
                  <a14:compatExt spid="_x0000_s208897"/>
                </a:ext>
                <a:ext uri="{FF2B5EF4-FFF2-40B4-BE49-F238E27FC236}">
                  <a16:creationId xmlns:a16="http://schemas.microsoft.com/office/drawing/2014/main" id="{92DCF4DD-6D24-462B-A841-A5646F5268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204788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208898" name="Button 2" hidden="1">
              <a:extLst>
                <a:ext uri="{63B3BB69-23CF-44E3-9099-C40C66FF867C}">
                  <a14:compatExt spid="_x0000_s208898"/>
                </a:ext>
                <a:ext uri="{FF2B5EF4-FFF2-40B4-BE49-F238E27FC236}">
                  <a16:creationId xmlns:a16="http://schemas.microsoft.com/office/drawing/2014/main" id="{049E2332-8FD6-493C-89B6-96E546384B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28575</xdr:colOff>
          <xdr:row>21</xdr:row>
          <xdr:rowOff>161925</xdr:rowOff>
        </xdr:to>
        <xdr:sp macro="" textlink="">
          <xdr:nvSpPr>
            <xdr:cNvPr id="208899" name="Button 3" hidden="1">
              <a:extLst>
                <a:ext uri="{63B3BB69-23CF-44E3-9099-C40C66FF867C}">
                  <a14:compatExt spid="_x0000_s208899"/>
                </a:ext>
                <a:ext uri="{FF2B5EF4-FFF2-40B4-BE49-F238E27FC236}">
                  <a16:creationId xmlns:a16="http://schemas.microsoft.com/office/drawing/2014/main" id="{D4C710BF-4605-4774-827E-72B7FE77F8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32</xdr:row>
          <xdr:rowOff>166688</xdr:rowOff>
        </xdr:from>
        <xdr:to>
          <xdr:col>12</xdr:col>
          <xdr:colOff>0</xdr:colOff>
          <xdr:row>33</xdr:row>
          <xdr:rowOff>176213</xdr:rowOff>
        </xdr:to>
        <xdr:sp macro="" textlink="">
          <xdr:nvSpPr>
            <xdr:cNvPr id="208900" name="Button 4" hidden="1">
              <a:extLst>
                <a:ext uri="{63B3BB69-23CF-44E3-9099-C40C66FF867C}">
                  <a14:compatExt spid="_x0000_s208900"/>
                </a:ext>
                <a:ext uri="{FF2B5EF4-FFF2-40B4-BE49-F238E27FC236}">
                  <a16:creationId xmlns:a16="http://schemas.microsoft.com/office/drawing/2014/main" id="{E67C0A44-8C24-4411-88F6-E5E6D929A5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30</xdr:row>
          <xdr:rowOff>176213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08901" name="Button 5" hidden="1">
              <a:extLst>
                <a:ext uri="{63B3BB69-23CF-44E3-9099-C40C66FF867C}">
                  <a14:compatExt spid="_x0000_s208901"/>
                </a:ext>
                <a:ext uri="{FF2B5EF4-FFF2-40B4-BE49-F238E27FC236}">
                  <a16:creationId xmlns:a16="http://schemas.microsoft.com/office/drawing/2014/main" id="{F4AF05DE-0A43-4896-92CF-8774CFFDAB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176213</xdr:rowOff>
        </xdr:from>
        <xdr:to>
          <xdr:col>12</xdr:col>
          <xdr:colOff>9526</xdr:colOff>
          <xdr:row>26</xdr:row>
          <xdr:rowOff>109538</xdr:rowOff>
        </xdr:to>
        <xdr:sp macro="" textlink="">
          <xdr:nvSpPr>
            <xdr:cNvPr id="208902" name="Button 6" hidden="1">
              <a:extLst>
                <a:ext uri="{63B3BB69-23CF-44E3-9099-C40C66FF867C}">
                  <a14:compatExt spid="_x0000_s208902"/>
                </a:ext>
                <a:ext uri="{FF2B5EF4-FFF2-40B4-BE49-F238E27FC236}">
                  <a16:creationId xmlns:a16="http://schemas.microsoft.com/office/drawing/2014/main" id="{2351F8CA-B596-4855-B60E-A6D1A519FF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10</xdr:row>
          <xdr:rowOff>200025</xdr:rowOff>
        </xdr:from>
        <xdr:to>
          <xdr:col>12</xdr:col>
          <xdr:colOff>9525</xdr:colOff>
          <xdr:row>12</xdr:row>
          <xdr:rowOff>200025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05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204788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05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28575</xdr:colOff>
          <xdr:row>21</xdr:row>
          <xdr:rowOff>161925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5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32</xdr:row>
          <xdr:rowOff>166688</xdr:rowOff>
        </xdr:from>
        <xdr:to>
          <xdr:col>12</xdr:col>
          <xdr:colOff>0</xdr:colOff>
          <xdr:row>33</xdr:row>
          <xdr:rowOff>176213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05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30</xdr:row>
          <xdr:rowOff>176213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05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176213</xdr:rowOff>
        </xdr:from>
        <xdr:to>
          <xdr:col>12</xdr:col>
          <xdr:colOff>9526</xdr:colOff>
          <xdr:row>26</xdr:row>
          <xdr:rowOff>109538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F935F4A3-594F-C588-1367-CC0C285312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3155DF-3CB2-4063-8346-D3006162EB2E}" name="MenuTable" displayName="MenuTable" ref="A1:E7" totalsRowShown="0" headerRowDxfId="62" dataDxfId="60" headerRowBorderDxfId="61" tableBorderDxfId="59" totalsRowBorderDxfId="58" headerRowCellStyle="60% - Accent5">
  <autoFilter ref="A1:E7" xr:uid="{7E3155DF-3CB2-4063-8346-D3006162EB2E}"/>
  <sortState xmlns:xlrd2="http://schemas.microsoft.com/office/spreadsheetml/2017/richdata2" ref="A2:E7">
    <sortCondition ref="A1:A7"/>
  </sortState>
  <tableColumns count="5">
    <tableColumn id="1" xr3:uid="{4A3C96D4-74F9-46DA-B54B-0CD347E35136}" name="Surname" dataDxfId="57" dataCellStyle="Hyperlink"/>
    <tableColumn id="2" xr3:uid="{2B90B92F-5F96-4EDA-9BBB-0E797162ECC4}" name="First Name" dataDxfId="56" dataCellStyle="Hyperlink"/>
    <tableColumn id="8" xr3:uid="{CFE0A41F-FE26-4CF3-BAA8-F6CEC7B006D4}" name="Status" dataDxfId="55" dataCellStyle="Hyperlink"/>
    <tableColumn id="3" xr3:uid="{EBBDE5FC-4AD9-4996-A6CE-25D9B52D4D03}" name="Date" dataDxfId="54"/>
    <tableColumn id="4" xr3:uid="{854BBB0E-E50E-4F6C-90CC-6180E0CE5D32}" name="ID" dataDxfId="53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FE4FF29-238F-4282-BF0D-2AE6E318C4D2}" name="Mia_Wilson_795DB783ExchangeTable" displayName="Mia_Wilson_795DB783ExchangeTable" ref="A37:D38" insertRow="1" totalsRowShown="0">
  <autoFilter ref="A37:D38" xr:uid="{6FE4FF29-238F-4282-BF0D-2AE6E318C4D2}"/>
  <tableColumns count="4">
    <tableColumn id="1" xr3:uid="{A273C31D-8974-4B1C-B818-5D68CE626B6C}" name="Date"/>
    <tableColumn id="2" xr3:uid="{D68340BE-E5C3-46F5-9F4E-B12BC40E0A43}" name="Item"/>
    <tableColumn id="3" xr3:uid="{DB3A997A-942E-4771-830A-92579AAB258F}" name="Old Size"/>
    <tableColumn id="4" xr3:uid="{DDDE9B8C-2EE8-405C-88A9-2B19EC23F569}" name="New Size"/>
  </tableColumns>
  <tableStyleInfo name="ExchangeTableSty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5D644CD-AC6E-4079-9073-937A6C916236}" name="aaaa_aaa_F3E668A6ExchangeTable" displayName="aaaa_aaa_F3E668A6ExchangeTable" ref="A37:D38" totalsRowShown="0">
  <autoFilter ref="A37:D38" xr:uid="{65D644CD-AC6E-4079-9073-937A6C916236}"/>
  <tableColumns count="4">
    <tableColumn id="1" xr3:uid="{B45FD0D5-3323-4313-A905-FE5D5A2D7375}" name="Date"/>
    <tableColumn id="2" xr3:uid="{C470C874-E413-4C2D-A48D-9B2B68A28C30}" name="Item"/>
    <tableColumn id="3" xr3:uid="{B21B9665-E936-4815-B8A2-926E8E570397}" name="Old Size"/>
    <tableColumn id="4" xr3:uid="{44A76371-C4ED-49AE-A16E-FE2E7B0C2873}" name="New Size"/>
  </tableColumns>
  <tableStyleInfo name="ExchangeTableSty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777FEB2-A574-4699-A9AE-355CBD4B64E0}" name="Frank_Thomas_215B12B4ExchangeTable" displayName="Frank_Thomas_215B12B4ExchangeTable" ref="A37:D38" insertRow="1" totalsRowShown="0">
  <autoFilter ref="A37:D38" xr:uid="{9777FEB2-A574-4699-A9AE-355CBD4B64E0}"/>
  <tableColumns count="4">
    <tableColumn id="1" xr3:uid="{77774DBD-B138-491C-89DD-2E309835BCDE}" name="Date"/>
    <tableColumn id="2" xr3:uid="{93630F4F-4D70-4674-B489-EF2407F8947F}" name="Item"/>
    <tableColumn id="3" xr3:uid="{797DA114-6F3B-40A9-8E42-3ACF4FF5036B}" name="Old Size"/>
    <tableColumn id="4" xr3:uid="{FF7181D8-8B11-4DE9-8CD3-1D14FD27CC68}" name="New Size"/>
  </tableColumns>
  <tableStyleInfo name="ExchangeTableSty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C95624B-5AF6-46AC-B2DA-EC86E277F28D}" name="Quinn_Anderson_BF947EB3ExchangeTable" displayName="Quinn_Anderson_BF947EB3ExchangeTable" ref="A37:D38" insertRow="1" totalsRowShown="0">
  <autoFilter ref="A37:D38" xr:uid="{CC95624B-5AF6-46AC-B2DA-EC86E277F28D}"/>
  <tableColumns count="4">
    <tableColumn id="1" xr3:uid="{BF076273-6F88-4F1A-99F3-34B35F939A6A}" name="Date"/>
    <tableColumn id="2" xr3:uid="{E4966B22-4CB8-4281-B7F8-6CF313BEE831}" name="Item"/>
    <tableColumn id="3" xr3:uid="{FB4104A9-694E-4816-8539-AE0F7AC19815}" name="Old Size"/>
    <tableColumn id="4" xr3:uid="{211E4848-DE82-40FC-90AD-39E240A9CB30}" name="New Size"/>
  </tableColumns>
  <tableStyleInfo name="ExchangeTable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ctrlProp" Target="../ctrlProps/ctrlProp14.xml"/><Relationship Id="rId7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Relationship Id="rId9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ctrlProp" Target="../ctrlProps/ctrlProp20.xml"/><Relationship Id="rId7" Type="http://schemas.openxmlformats.org/officeDocument/2006/relationships/ctrlProp" Target="../ctrlProps/ctrlProp2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Relationship Id="rId9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ctrlProp" Target="../ctrlProps/ctrlProp26.xml"/><Relationship Id="rId7" Type="http://schemas.openxmlformats.org/officeDocument/2006/relationships/ctrlProp" Target="../ctrlProps/ctrlProp3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Relationship Id="rId9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3" Type="http://schemas.openxmlformats.org/officeDocument/2006/relationships/ctrlProp" Target="../ctrlProps/ctrlProp32.xml"/><Relationship Id="rId7" Type="http://schemas.openxmlformats.org/officeDocument/2006/relationships/ctrlProp" Target="../ctrlProps/ctrlProp3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Relationship Id="rId9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.xml"/><Relationship Id="rId3" Type="http://schemas.openxmlformats.org/officeDocument/2006/relationships/ctrlProp" Target="../ctrlProps/ctrlProp38.xml"/><Relationship Id="rId7" Type="http://schemas.openxmlformats.org/officeDocument/2006/relationships/ctrlProp" Target="../ctrlProps/ctrlProp4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3530-B4A1-476B-B008-9B7C4EB64E1C}">
  <sheetPr codeName="Sheet2"/>
  <dimension ref="A1:O7"/>
  <sheetViews>
    <sheetView workbookViewId="0">
      <selection activeCell="F13" sqref="F13"/>
    </sheetView>
  </sheetViews>
  <sheetFormatPr defaultRowHeight="14.25" x14ac:dyDescent="0.45"/>
  <cols>
    <col min="1" max="1" width="16.86328125" customWidth="1"/>
    <col min="2" max="2" width="21.33203125" customWidth="1"/>
    <col min="3" max="3" width="20.19921875" customWidth="1"/>
    <col min="4" max="4" width="25.6640625" customWidth="1"/>
    <col min="5" max="5" width="16.6640625" customWidth="1"/>
  </cols>
  <sheetData>
    <row r="1" spans="1:15" ht="43.8" customHeight="1" x14ac:dyDescent="0.45">
      <c r="A1" s="7" t="s">
        <v>0</v>
      </c>
      <c r="B1" s="6" t="s">
        <v>2</v>
      </c>
      <c r="C1" s="29" t="s">
        <v>36</v>
      </c>
      <c r="D1" s="6" t="s">
        <v>40</v>
      </c>
      <c r="E1" s="13" t="s">
        <v>41</v>
      </c>
      <c r="O1" t="s">
        <v>66</v>
      </c>
    </row>
    <row r="2" spans="1:15" x14ac:dyDescent="0.45">
      <c r="A2" s="32" t="s">
        <v>105</v>
      </c>
      <c r="B2" s="30" t="s">
        <v>106</v>
      </c>
      <c r="C2" s="31" t="s">
        <v>141</v>
      </c>
      <c r="D2" s="49">
        <v>45287.871180555558</v>
      </c>
      <c r="E2" s="50" t="s">
        <v>107</v>
      </c>
    </row>
    <row r="3" spans="1:15" x14ac:dyDescent="0.45">
      <c r="A3" s="32" t="s">
        <v>72</v>
      </c>
      <c r="B3" s="30" t="s">
        <v>130</v>
      </c>
      <c r="C3" s="31" t="s">
        <v>84</v>
      </c>
      <c r="D3" s="49">
        <v>45287.92046296296</v>
      </c>
      <c r="E3" s="50" t="s">
        <v>131</v>
      </c>
    </row>
    <row r="4" spans="1:15" x14ac:dyDescent="0.45">
      <c r="A4" s="32" t="s">
        <v>79</v>
      </c>
      <c r="B4" s="30" t="s">
        <v>112</v>
      </c>
      <c r="C4" s="31" t="s">
        <v>126</v>
      </c>
      <c r="D4" s="49">
        <v>45287.871516203704</v>
      </c>
      <c r="E4" s="50" t="s">
        <v>113</v>
      </c>
    </row>
    <row r="5" spans="1:15" x14ac:dyDescent="0.45">
      <c r="A5" s="32" t="s">
        <v>85</v>
      </c>
      <c r="B5" s="30" t="s">
        <v>86</v>
      </c>
      <c r="C5" s="31" t="s">
        <v>78</v>
      </c>
      <c r="D5" s="49">
        <v>45287.865833333337</v>
      </c>
      <c r="E5" s="50" t="s">
        <v>87</v>
      </c>
    </row>
    <row r="6" spans="1:15" x14ac:dyDescent="0.45">
      <c r="A6" s="32"/>
      <c r="B6" s="30"/>
      <c r="C6" s="31"/>
      <c r="D6" s="34"/>
      <c r="E6" s="35"/>
    </row>
    <row r="7" spans="1:15" x14ac:dyDescent="0.45">
      <c r="A7" s="32"/>
      <c r="B7" s="30"/>
      <c r="C7" s="31"/>
      <c r="D7" s="34"/>
      <c r="E7" s="35"/>
    </row>
  </sheetData>
  <conditionalFormatting sqref="C2:C7">
    <cfRule type="cellIs" dxfId="52" priority="1" operator="equal">
      <formula>"S.O.S"</formula>
    </cfRule>
    <cfRule type="containsText" dxfId="51" priority="2" operator="containsText" text="UNP">
      <formula>NOT(ISERROR(SEARCH("UNP",C2)))</formula>
    </cfRule>
    <cfRule type="cellIs" dxfId="50" priority="3" operator="equal">
      <formula>"In Stock"</formula>
    </cfRule>
    <cfRule type="containsText" dxfId="49" priority="4" operator="containsText" text="Pick Up">
      <formula>NOT(ISERROR(SEARCH("Pick Up",C2)))</formula>
    </cfRule>
    <cfRule type="cellIs" dxfId="48" priority="9" operator="equal">
      <formula>"Ready To Order"</formula>
    </cfRule>
    <cfRule type="containsText" dxfId="47" priority="10" operator="containsText" text="Ordered">
      <formula>NOT(ISERROR(SEARCH("Ordered",C2)))</formula>
    </cfRule>
    <cfRule type="containsText" dxfId="46" priority="11" operator="containsText" text="Complete">
      <formula>NOT(ISERROR(SEARCH("Complete",C2)))</formula>
    </cfRule>
    <cfRule type="cellIs" dxfId="45" priority="12" operator="equal">
      <formula>"Returned"</formula>
    </cfRule>
  </conditionalFormatting>
  <hyperlinks>
    <hyperlink ref="A5" location="'Mia_Wilson_795DB783'!A1" display="Wilson" xr:uid="{87DDCC41-71EC-4317-9D96-407828C7634C}"/>
    <hyperlink ref="A2" location="'aaaa_aaa_F3E668A6'!A1" display="aaa" xr:uid="{A711CC3A-AAAC-44BC-8206-F6B3CB104A53}"/>
    <hyperlink ref="A4" location="'Frank_Thomas_215B12B4'!A1" display="Thomas" xr:uid="{E17C77DD-5BDD-4855-B566-AC40D78F0C70}"/>
    <hyperlink ref="A3" location="'Quinn_Anderson_BF947EB3'!A1" display="Anderson" xr:uid="{E3D264E0-ABB3-49DB-9EF6-6684ACB43E1E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0" r:id="rId3" name="Button 4">
              <controlPr defaultSize="0" print="0" autoFill="0" autoPict="0" macro="[0]!ScanAllSheetsAndPrioritizeLabels">
                <anchor moveWithCells="1" sizeWithCells="1">
                  <from>
                    <xdr:col>5</xdr:col>
                    <xdr:colOff>304800</xdr:colOff>
                    <xdr:row>0</xdr:row>
                    <xdr:rowOff>0</xdr:rowOff>
                  </from>
                  <to>
                    <xdr:col>7</xdr:col>
                    <xdr:colOff>485775</xdr:colOff>
                    <xdr:row>0</xdr:row>
                    <xdr:rowOff>481013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4" name="Button 5">
              <controlPr defaultSize="0" print="0" autoFill="0" autoPict="0" macro="[0]!ManualBackup">
                <anchor moveWithCells="1" sizeWithCells="1">
                  <from>
                    <xdr:col>10</xdr:col>
                    <xdr:colOff>352425</xdr:colOff>
                    <xdr:row>0</xdr:row>
                    <xdr:rowOff>0</xdr:rowOff>
                  </from>
                  <to>
                    <xdr:col>12</xdr:col>
                    <xdr:colOff>523875</xdr:colOff>
                    <xdr:row>0</xdr:row>
                    <xdr:rowOff>490538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5" name="Button 6">
              <controlPr defaultSize="0" print="0" autoFill="0" autoPict="0" macro="[0]!NCInput_Button">
                <anchor moveWithCells="1" sizeWithCells="1">
                  <from>
                    <xdr:col>7</xdr:col>
                    <xdr:colOff>609600</xdr:colOff>
                    <xdr:row>0</xdr:row>
                    <xdr:rowOff>0</xdr:rowOff>
                  </from>
                  <to>
                    <xdr:col>10</xdr:col>
                    <xdr:colOff>176213</xdr:colOff>
                    <xdr:row>0</xdr:row>
                    <xdr:rowOff>481013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6" name="Button 7">
              <controlPr defaultSize="0" print="0" autoFill="0" autoPict="0" macro="[0]!NC_Experiment">
                <anchor moveWithCells="1" sizeWithCells="1">
                  <from>
                    <xdr:col>16</xdr:col>
                    <xdr:colOff>471488</xdr:colOff>
                    <xdr:row>0</xdr:row>
                    <xdr:rowOff>85725</xdr:rowOff>
                  </from>
                  <to>
                    <xdr:col>18</xdr:col>
                    <xdr:colOff>247650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7" name="Button 9">
              <controlPr defaultSize="0" print="0" autoFill="0" autoPict="0" macro="[0]!OldCadetExchangeButton">
                <anchor moveWithCells="1" sizeWithCells="1">
                  <from>
                    <xdr:col>13</xdr:col>
                    <xdr:colOff>23813</xdr:colOff>
                    <xdr:row>0</xdr:row>
                    <xdr:rowOff>4763</xdr:rowOff>
                  </from>
                  <to>
                    <xdr:col>15</xdr:col>
                    <xdr:colOff>195263</xdr:colOff>
                    <xdr:row>0</xdr:row>
                    <xdr:rowOff>490538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0BFF2-89D4-4B39-8B77-7D0F1E2AF126}">
  <sheetPr codeName="Sheet3"/>
  <dimension ref="A1:M1"/>
  <sheetViews>
    <sheetView workbookViewId="0">
      <selection activeCell="M3" sqref="M3"/>
    </sheetView>
  </sheetViews>
  <sheetFormatPr defaultRowHeight="14.25" x14ac:dyDescent="0.45"/>
  <sheetData>
    <row r="1" spans="1:13" ht="38" customHeight="1" x14ac:dyDescent="0.45">
      <c r="A1" s="54" t="s">
        <v>49</v>
      </c>
      <c r="B1" s="54" t="s">
        <v>53</v>
      </c>
      <c r="C1" s="54" t="s">
        <v>2</v>
      </c>
      <c r="D1" s="54" t="s">
        <v>54</v>
      </c>
      <c r="E1" s="54" t="s">
        <v>9</v>
      </c>
      <c r="F1" s="54" t="s">
        <v>11</v>
      </c>
      <c r="G1" s="54" t="s">
        <v>12</v>
      </c>
      <c r="H1" s="54" t="s">
        <v>13</v>
      </c>
      <c r="I1" s="54" t="s">
        <v>55</v>
      </c>
      <c r="J1" s="54" t="s">
        <v>15</v>
      </c>
      <c r="K1" s="54" t="s">
        <v>56</v>
      </c>
      <c r="L1" s="54" t="s">
        <v>57</v>
      </c>
      <c r="M1" s="54" t="s">
        <v>61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3" name="Button 1">
              <controlPr defaultSize="0" print="0" autoFill="0" autoPict="0" macro="[0]!Importing.Importing">
                <anchor moveWithCells="1" sizeWithCells="1">
                  <from>
                    <xdr:col>13</xdr:col>
                    <xdr:colOff>395288</xdr:colOff>
                    <xdr:row>0</xdr:row>
                    <xdr:rowOff>128588</xdr:rowOff>
                  </from>
                  <to>
                    <xdr:col>16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0140C-40F8-4668-B479-DCBAA4954D0E}">
  <sheetPr codeName="Sheet12"/>
  <dimension ref="A1:X3"/>
  <sheetViews>
    <sheetView tabSelected="1" workbookViewId="0">
      <selection activeCell="R10" sqref="R10"/>
    </sheetView>
  </sheetViews>
  <sheetFormatPr defaultRowHeight="14.25" x14ac:dyDescent="0.45"/>
  <cols>
    <col min="1" max="1" width="13.06640625" customWidth="1"/>
    <col min="3" max="3" width="10.86328125" customWidth="1"/>
    <col min="4" max="4" width="7.53125" customWidth="1"/>
    <col min="5" max="5" width="10.59765625" customWidth="1"/>
    <col min="6" max="6" width="7" customWidth="1"/>
    <col min="7" max="7" width="4.73046875" customWidth="1"/>
    <col min="8" max="8" width="6.1328125" customWidth="1"/>
    <col min="9" max="9" width="6.53125" customWidth="1"/>
    <col min="10" max="10" width="11.9296875" customWidth="1"/>
    <col min="11" max="11" width="0.46484375" hidden="1" customWidth="1"/>
    <col min="12" max="12" width="7.46484375" customWidth="1"/>
    <col min="13" max="13" width="5.3984375" customWidth="1"/>
    <col min="14" max="14" width="7.265625" customWidth="1"/>
    <col min="15" max="15" width="11.06640625" customWidth="1"/>
    <col min="16" max="16" width="0.46484375" customWidth="1"/>
    <col min="17" max="17" width="6.06640625" customWidth="1"/>
    <col min="24" max="24" width="0.19921875" customWidth="1"/>
  </cols>
  <sheetData>
    <row r="1" spans="1:24" ht="41.75" customHeight="1" x14ac:dyDescent="0.45">
      <c r="A1" s="55" t="s">
        <v>64</v>
      </c>
      <c r="B1" s="55" t="s">
        <v>18</v>
      </c>
      <c r="C1" s="55" t="s">
        <v>21</v>
      </c>
      <c r="D1" s="55" t="s">
        <v>19</v>
      </c>
      <c r="E1" s="55" t="s">
        <v>20</v>
      </c>
      <c r="F1" s="55" t="s">
        <v>24</v>
      </c>
      <c r="G1" s="55" t="s">
        <v>23</v>
      </c>
      <c r="H1" s="55" t="s">
        <v>25</v>
      </c>
      <c r="I1" s="55" t="s">
        <v>26</v>
      </c>
      <c r="J1" s="55" t="s">
        <v>27</v>
      </c>
      <c r="K1" s="55"/>
      <c r="L1" s="55" t="s">
        <v>28</v>
      </c>
      <c r="M1" s="55" t="s">
        <v>22</v>
      </c>
      <c r="N1" s="55" t="s">
        <v>29</v>
      </c>
      <c r="O1" s="55" t="s">
        <v>30</v>
      </c>
      <c r="P1" s="55"/>
      <c r="Q1" s="55" t="s">
        <v>33</v>
      </c>
      <c r="R1" s="55" t="s">
        <v>31</v>
      </c>
      <c r="S1" s="55" t="s">
        <v>48</v>
      </c>
      <c r="T1" s="55" t="s">
        <v>32</v>
      </c>
      <c r="U1" s="33"/>
      <c r="V1" s="33"/>
      <c r="W1" s="33"/>
      <c r="X1" s="33"/>
    </row>
    <row r="2" spans="1:24" x14ac:dyDescent="0.45">
      <c r="A2" t="s">
        <v>127</v>
      </c>
      <c r="B2" s="56">
        <v>8052</v>
      </c>
      <c r="C2" s="56">
        <v>18</v>
      </c>
      <c r="D2" s="56" t="s">
        <v>90</v>
      </c>
      <c r="E2" s="56">
        <v>7652</v>
      </c>
      <c r="F2" s="56">
        <v>7.5</v>
      </c>
      <c r="G2" s="56" t="s">
        <v>93</v>
      </c>
      <c r="H2" s="56" t="s">
        <v>58</v>
      </c>
      <c r="I2" s="56" t="s">
        <v>129</v>
      </c>
      <c r="J2" s="56" t="s">
        <v>96</v>
      </c>
      <c r="L2" s="56" t="s">
        <v>51</v>
      </c>
      <c r="M2" s="56" t="s">
        <v>76</v>
      </c>
      <c r="N2" s="56">
        <v>7656</v>
      </c>
      <c r="O2" s="56" t="s">
        <v>99</v>
      </c>
      <c r="Q2" s="56">
        <v>7.666666666666667</v>
      </c>
      <c r="R2" s="56">
        <v>7652</v>
      </c>
      <c r="S2" s="56">
        <v>7047</v>
      </c>
      <c r="T2" s="56" t="s">
        <v>102</v>
      </c>
    </row>
    <row r="3" spans="1:24" x14ac:dyDescent="0.45">
      <c r="A3" t="s">
        <v>128</v>
      </c>
      <c r="B3" s="56">
        <v>6140</v>
      </c>
    </row>
  </sheetData>
  <pageMargins left="0.7" right="0.7" top="0.75" bottom="0.75" header="0.3" footer="0.3"/>
  <pageSetup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3" r:id="rId4" name="Button 33">
              <controlPr defaultSize="0" print="0" autoFill="0" autoPict="0" macro="[0]!pickup">
                <anchor moveWithCells="1" sizeWithCells="1">
                  <from>
                    <xdr:col>20</xdr:col>
                    <xdr:colOff>66675</xdr:colOff>
                    <xdr:row>0</xdr:row>
                    <xdr:rowOff>66675</xdr:rowOff>
                  </from>
                  <to>
                    <xdr:col>22</xdr:col>
                    <xdr:colOff>504825</xdr:colOff>
                    <xdr:row>0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5" r:id="rId5" name="Complete">
              <controlPr defaultSize="0" print="0" autoFill="0" autoPict="0" macro="[0]!'markPickUpAsComplete &quot;aaaa_aaa_F3E668A6&quot;, 2'">
                <anchor moveWithCells="1" siz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7" r:id="rId6" name="Button 37">
              <controlPr defaultSize="0" print="0" autoFill="0" autoPict="0" macro="[0]!'markPickUpAsComplete &quot;aaaa_aaa_F3E668A6&quot;, 2'">
                <anchor moveWithCells="1" siz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8" r:id="rId7" name="Button 38">
              <controlPr defaultSize="0" print="0" autoFill="0" autoPict="0" macro="[0]!'markPickUpAsComplete &quot;Mia_Wilson_795DB783&quot;, 1'">
                <anchor moveWithCells="1" siz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9" r:id="rId8" name="Button 39">
              <controlPr defaultSize="0" print="0" autoFill="0" autoPict="0" macro="[0]!'markPickUpAsComplete &quot;aaaa_aaa_F3E668A6&quot;, 2'">
                <anchor moveWithCells="1" sizeWithCells="1">
                  <from>
                    <xdr:col>21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0" r:id="rId9" name="Button 40">
              <controlPr defaultSize="0" print="0" autoFill="0" autoPict="0" macro="[0]!'markPickUpAsComplete &quot;Mia_Wilson_795DB783&quot;, 1'">
                <anchor moveWithCells="1" siz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1" r:id="rId10" name="Button 41">
              <controlPr defaultSize="0" print="0" autoFill="0" autoPict="0" macro="[0]!'markPickUpAsComplete &quot;aaaa_aaa_F3E668A6&quot;, 2'">
                <anchor moveWithCells="1" sizeWithCells="1">
                  <from>
                    <xdr:col>21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D42BA-C064-4EC6-A94F-79B86C5C4A1F}">
  <sheetPr codeName="Sheet5"/>
  <dimension ref="A1:L37"/>
  <sheetViews>
    <sheetView workbookViewId="0">
      <selection activeCell="E13" sqref="E13"/>
    </sheetView>
  </sheetViews>
  <sheetFormatPr defaultRowHeight="14.25" x14ac:dyDescent="0.45"/>
  <cols>
    <col min="1" max="1" width="18.46484375" customWidth="1"/>
    <col min="3" max="3" width="9.1328125" customWidth="1"/>
    <col min="4" max="4" width="10" customWidth="1"/>
    <col min="5" max="5" width="15.59765625" customWidth="1"/>
    <col min="7" max="7" width="16.59765625" customWidth="1"/>
    <col min="8" max="8" width="2.3984375" customWidth="1"/>
    <col min="11" max="11" width="12" customWidth="1"/>
    <col min="12" max="12" width="13" customWidth="1"/>
  </cols>
  <sheetData>
    <row r="1" spans="1:12" x14ac:dyDescent="0.45">
      <c r="A1" s="44" t="s">
        <v>42</v>
      </c>
      <c r="B1" s="20" t="s">
        <v>3</v>
      </c>
      <c r="C1" s="36" t="s">
        <v>0</v>
      </c>
      <c r="D1" s="36"/>
      <c r="E1" s="36" t="s">
        <v>2</v>
      </c>
      <c r="F1" s="36"/>
      <c r="G1" s="20" t="s">
        <v>34</v>
      </c>
      <c r="K1" s="20" t="s">
        <v>38</v>
      </c>
      <c r="L1" s="20" t="s">
        <v>10</v>
      </c>
    </row>
    <row r="2" spans="1:12" x14ac:dyDescent="0.45">
      <c r="A2" s="45"/>
      <c r="B2" s="2" t="s">
        <v>43</v>
      </c>
      <c r="C2" s="38" t="s">
        <v>85</v>
      </c>
      <c r="D2" s="38"/>
      <c r="E2" s="38" t="s">
        <v>86</v>
      </c>
      <c r="F2" s="38"/>
      <c r="G2" s="1" t="s">
        <v>87</v>
      </c>
      <c r="K2" s="4" t="s">
        <v>9</v>
      </c>
      <c r="L2" s="4">
        <v>25.2</v>
      </c>
    </row>
    <row r="3" spans="1:12" x14ac:dyDescent="0.45">
      <c r="A3" s="20" t="s">
        <v>1</v>
      </c>
      <c r="B3" s="46" t="s">
        <v>4</v>
      </c>
      <c r="C3" s="47"/>
      <c r="D3" s="48"/>
      <c r="E3" s="46" t="s">
        <v>49</v>
      </c>
      <c r="F3" s="48"/>
      <c r="G3" s="20" t="s">
        <v>5</v>
      </c>
      <c r="K3" s="1" t="s">
        <v>11</v>
      </c>
      <c r="L3" s="1">
        <v>17.3</v>
      </c>
    </row>
    <row r="4" spans="1:12" x14ac:dyDescent="0.45">
      <c r="A4" s="1" t="s">
        <v>39</v>
      </c>
      <c r="B4" s="43">
        <v>7345806215</v>
      </c>
      <c r="C4" s="43"/>
      <c r="D4" s="43"/>
      <c r="E4" s="38" t="s">
        <v>52</v>
      </c>
      <c r="F4" s="38"/>
      <c r="G4" s="1" t="s">
        <v>44</v>
      </c>
      <c r="K4" s="4" t="s">
        <v>12</v>
      </c>
      <c r="L4" s="4">
        <v>51.5</v>
      </c>
    </row>
    <row r="5" spans="1:12" x14ac:dyDescent="0.45">
      <c r="A5" s="20" t="s">
        <v>6</v>
      </c>
      <c r="B5" s="36" t="s">
        <v>7</v>
      </c>
      <c r="C5" s="36"/>
      <c r="D5" s="36"/>
      <c r="E5" s="20" t="s">
        <v>8</v>
      </c>
      <c r="F5" s="20" t="s">
        <v>35</v>
      </c>
      <c r="G5" s="20" t="s">
        <v>36</v>
      </c>
      <c r="K5" s="1" t="s">
        <v>13</v>
      </c>
      <c r="L5" s="1">
        <v>51</v>
      </c>
    </row>
    <row r="6" spans="1:12" x14ac:dyDescent="0.45">
      <c r="A6" s="3" t="s">
        <v>88</v>
      </c>
      <c r="B6" s="37" t="s">
        <v>18</v>
      </c>
      <c r="C6" s="37"/>
      <c r="D6" s="37"/>
      <c r="E6" s="4">
        <v>8052</v>
      </c>
      <c r="F6" s="4">
        <v>1</v>
      </c>
      <c r="G6" s="25" t="s">
        <v>78</v>
      </c>
      <c r="H6" s="28" t="str">
        <f>HYPERLINK("#G6",CHAR(128))</f>
        <v>€</v>
      </c>
      <c r="K6" s="4" t="s">
        <v>14</v>
      </c>
      <c r="L6" s="4">
        <v>36.5</v>
      </c>
    </row>
    <row r="7" spans="1:12" x14ac:dyDescent="0.45">
      <c r="A7" s="2" t="s">
        <v>89</v>
      </c>
      <c r="B7" s="38" t="s">
        <v>21</v>
      </c>
      <c r="C7" s="38"/>
      <c r="D7" s="38"/>
      <c r="E7" s="1">
        <v>18</v>
      </c>
      <c r="F7" s="16">
        <v>1</v>
      </c>
      <c r="G7" s="25" t="s">
        <v>78</v>
      </c>
      <c r="H7" s="28" t="str">
        <f>HYPERLINK("#G7",CHAR(128))</f>
        <v>€</v>
      </c>
      <c r="K7" s="1" t="s">
        <v>15</v>
      </c>
      <c r="L7" s="1">
        <v>74.8</v>
      </c>
    </row>
    <row r="8" spans="1:12" x14ac:dyDescent="0.45">
      <c r="A8" s="3" t="s">
        <v>91</v>
      </c>
      <c r="B8" s="37" t="s">
        <v>19</v>
      </c>
      <c r="C8" s="37"/>
      <c r="D8" s="37"/>
      <c r="E8" s="4" t="s">
        <v>90</v>
      </c>
      <c r="F8" s="4">
        <v>1</v>
      </c>
      <c r="G8" s="25" t="s">
        <v>78</v>
      </c>
      <c r="H8" s="28" t="str">
        <f>HYPERLINK("#G8",CHAR(128))</f>
        <v>€</v>
      </c>
      <c r="K8" s="4" t="s">
        <v>16</v>
      </c>
      <c r="L8" s="4">
        <v>248.5</v>
      </c>
    </row>
    <row r="9" spans="1:12" x14ac:dyDescent="0.45">
      <c r="A9" s="2" t="s">
        <v>92</v>
      </c>
      <c r="B9" s="38" t="s">
        <v>20</v>
      </c>
      <c r="C9" s="38"/>
      <c r="D9" s="38"/>
      <c r="E9" s="1">
        <v>7652</v>
      </c>
      <c r="F9" s="16">
        <v>1</v>
      </c>
      <c r="G9" s="25" t="s">
        <v>78</v>
      </c>
      <c r="H9" s="28" t="str">
        <f>HYPERLINK("#G9",CHAR(128))</f>
        <v>€</v>
      </c>
      <c r="I9" s="11"/>
      <c r="K9" s="1" t="s">
        <v>17</v>
      </c>
      <c r="L9" s="1">
        <v>90.1</v>
      </c>
    </row>
    <row r="10" spans="1:12" x14ac:dyDescent="0.45">
      <c r="A10" s="3"/>
      <c r="B10" s="37" t="s">
        <v>24</v>
      </c>
      <c r="C10" s="37"/>
      <c r="D10" s="37"/>
      <c r="E10" s="8">
        <v>7.5</v>
      </c>
      <c r="F10" s="4">
        <v>1</v>
      </c>
      <c r="G10" s="25" t="s">
        <v>78</v>
      </c>
      <c r="H10" s="28" t="str">
        <f>HYPERLINK("#G10",CHAR(128))</f>
        <v>€</v>
      </c>
      <c r="K10" s="15" t="s">
        <v>47</v>
      </c>
      <c r="L10" s="15">
        <v>9.3000000000000007</v>
      </c>
    </row>
    <row r="11" spans="1:12" x14ac:dyDescent="0.45">
      <c r="A11" s="2" t="s">
        <v>94</v>
      </c>
      <c r="B11" s="38" t="s">
        <v>23</v>
      </c>
      <c r="C11" s="38"/>
      <c r="D11" s="38"/>
      <c r="E11" s="1" t="s">
        <v>93</v>
      </c>
      <c r="F11" s="16">
        <v>1</v>
      </c>
      <c r="G11" s="25" t="s">
        <v>78</v>
      </c>
      <c r="H11" s="28" t="str">
        <f>HYPERLINK("#G11",CHAR(128))</f>
        <v>€</v>
      </c>
    </row>
    <row r="12" spans="1:12" x14ac:dyDescent="0.45">
      <c r="A12" s="5" t="s">
        <v>59</v>
      </c>
      <c r="B12" s="37" t="s">
        <v>25</v>
      </c>
      <c r="C12" s="37"/>
      <c r="D12" s="37"/>
      <c r="E12" s="4" t="s">
        <v>58</v>
      </c>
      <c r="F12" s="4">
        <v>1</v>
      </c>
      <c r="G12" s="25" t="s">
        <v>78</v>
      </c>
      <c r="H12" s="28" t="str">
        <f>HYPERLINK("#G12",CHAR(128))</f>
        <v>€</v>
      </c>
    </row>
    <row r="13" spans="1:12" x14ac:dyDescent="0.45">
      <c r="A13" s="2" t="s">
        <v>95</v>
      </c>
      <c r="B13" s="38" t="s">
        <v>26</v>
      </c>
      <c r="C13" s="38"/>
      <c r="D13" s="38"/>
      <c r="E13" s="1" t="s">
        <v>129</v>
      </c>
      <c r="F13" s="16">
        <v>1</v>
      </c>
      <c r="G13" s="25" t="s">
        <v>78</v>
      </c>
      <c r="H13" s="28" t="str">
        <f>HYPERLINK("#G13",CHAR(128))</f>
        <v>€</v>
      </c>
    </row>
    <row r="14" spans="1:12" x14ac:dyDescent="0.45">
      <c r="A14" s="5" t="s">
        <v>97</v>
      </c>
      <c r="B14" s="37" t="s">
        <v>27</v>
      </c>
      <c r="C14" s="37"/>
      <c r="D14" s="37"/>
      <c r="E14" s="4" t="s">
        <v>96</v>
      </c>
      <c r="F14" s="4">
        <v>1</v>
      </c>
      <c r="G14" s="25" t="s">
        <v>78</v>
      </c>
      <c r="H14" s="28" t="str">
        <f>HYPERLINK("#G14",CHAR(128))</f>
        <v>€</v>
      </c>
    </row>
    <row r="15" spans="1:12" x14ac:dyDescent="0.45">
      <c r="A15" s="2"/>
      <c r="B15" s="39"/>
      <c r="C15" s="39"/>
      <c r="D15" s="39"/>
      <c r="E15" s="1"/>
      <c r="F15" s="16"/>
      <c r="G15" s="25" t="s">
        <v>78</v>
      </c>
      <c r="H15" s="14"/>
    </row>
    <row r="16" spans="1:12" x14ac:dyDescent="0.45">
      <c r="A16" s="5" t="s">
        <v>46</v>
      </c>
      <c r="B16" s="37" t="s">
        <v>28</v>
      </c>
      <c r="C16" s="37"/>
      <c r="D16" s="37"/>
      <c r="E16" s="4" t="s">
        <v>51</v>
      </c>
      <c r="F16" s="4">
        <v>1</v>
      </c>
      <c r="G16" s="25" t="s">
        <v>78</v>
      </c>
      <c r="H16" s="23" t="str">
        <f>HYPERLINK("#G16",CHAR(128))</f>
        <v>€</v>
      </c>
    </row>
    <row r="17" spans="1:10" x14ac:dyDescent="0.45">
      <c r="A17" s="2" t="s">
        <v>77</v>
      </c>
      <c r="B17" s="38" t="s">
        <v>22</v>
      </c>
      <c r="C17" s="38"/>
      <c r="D17" s="38"/>
      <c r="E17" s="1" t="s">
        <v>76</v>
      </c>
      <c r="F17" s="16">
        <v>1</v>
      </c>
      <c r="G17" s="25" t="s">
        <v>78</v>
      </c>
      <c r="H17" s="23" t="str">
        <f>HYPERLINK("#G17",CHAR(128))</f>
        <v>€</v>
      </c>
    </row>
    <row r="18" spans="1:10" x14ac:dyDescent="0.45">
      <c r="A18" s="5" t="s">
        <v>98</v>
      </c>
      <c r="B18" s="37" t="s">
        <v>29</v>
      </c>
      <c r="C18" s="37"/>
      <c r="D18" s="37"/>
      <c r="E18" s="4">
        <v>7656</v>
      </c>
      <c r="F18" s="4">
        <v>1</v>
      </c>
      <c r="G18" s="25" t="s">
        <v>78</v>
      </c>
      <c r="H18" s="23" t="str">
        <f>HYPERLINK("#G18",CHAR(128))</f>
        <v>€</v>
      </c>
    </row>
    <row r="19" spans="1:10" x14ac:dyDescent="0.45">
      <c r="A19" s="2" t="s">
        <v>100</v>
      </c>
      <c r="B19" s="38" t="s">
        <v>30</v>
      </c>
      <c r="C19" s="38"/>
      <c r="D19" s="38"/>
      <c r="E19" s="1" t="s">
        <v>99</v>
      </c>
      <c r="F19" s="16">
        <v>1</v>
      </c>
      <c r="G19" s="25" t="s">
        <v>78</v>
      </c>
      <c r="H19" s="23" t="str">
        <f>HYPERLINK("#G19",CHAR(128))</f>
        <v>€</v>
      </c>
    </row>
    <row r="20" spans="1:10" x14ac:dyDescent="0.45">
      <c r="A20" s="5"/>
      <c r="B20" s="40"/>
      <c r="C20" s="41"/>
      <c r="D20" s="42"/>
      <c r="E20" s="4"/>
      <c r="F20" s="4"/>
      <c r="G20" s="25" t="s">
        <v>78</v>
      </c>
      <c r="H20" s="14"/>
    </row>
    <row r="21" spans="1:10" x14ac:dyDescent="0.45">
      <c r="A21" s="2"/>
      <c r="B21" s="38" t="s">
        <v>33</v>
      </c>
      <c r="C21" s="38"/>
      <c r="D21" s="38"/>
      <c r="E21" s="9">
        <v>7.666666666666667</v>
      </c>
      <c r="F21" s="16">
        <v>1</v>
      </c>
      <c r="G21" s="25" t="s">
        <v>78</v>
      </c>
      <c r="H21" s="23" t="str">
        <f>HYPERLINK("#G21",CHAR(128))</f>
        <v>€</v>
      </c>
    </row>
    <row r="22" spans="1:10" x14ac:dyDescent="0.45">
      <c r="A22" s="5" t="s">
        <v>101</v>
      </c>
      <c r="B22" s="37" t="s">
        <v>31</v>
      </c>
      <c r="C22" s="37"/>
      <c r="D22" s="37"/>
      <c r="E22" s="4">
        <v>7652</v>
      </c>
      <c r="F22" s="4">
        <v>1</v>
      </c>
      <c r="G22" s="25" t="s">
        <v>78</v>
      </c>
      <c r="H22" s="23" t="str">
        <f>HYPERLINK("#G22",CHAR(128))</f>
        <v>€</v>
      </c>
    </row>
    <row r="23" spans="1:10" x14ac:dyDescent="0.45">
      <c r="A23" s="2"/>
      <c r="B23" s="38" t="s">
        <v>48</v>
      </c>
      <c r="C23" s="38"/>
      <c r="D23" s="38"/>
      <c r="E23" s="1">
        <v>7047</v>
      </c>
      <c r="F23" s="16">
        <v>1</v>
      </c>
      <c r="G23" s="25" t="s">
        <v>78</v>
      </c>
      <c r="H23" s="22" t="str">
        <f>HYPERLINK("#G23",CHAR(128))</f>
        <v>€</v>
      </c>
    </row>
    <row r="24" spans="1:10" x14ac:dyDescent="0.45">
      <c r="A24" s="5" t="s">
        <v>103</v>
      </c>
      <c r="B24" s="37" t="s">
        <v>32</v>
      </c>
      <c r="C24" s="37"/>
      <c r="D24" s="37"/>
      <c r="E24" s="4" t="s">
        <v>102</v>
      </c>
      <c r="F24" s="4">
        <v>1</v>
      </c>
      <c r="G24" s="25" t="s">
        <v>78</v>
      </c>
      <c r="H24" s="22" t="str">
        <f>HYPERLINK("#G24",CHAR(128))</f>
        <v>€</v>
      </c>
    </row>
    <row r="25" spans="1:10" x14ac:dyDescent="0.45">
      <c r="A25" s="2"/>
      <c r="B25" s="38"/>
      <c r="C25" s="38"/>
      <c r="D25" s="38"/>
      <c r="E25" s="1"/>
      <c r="F25" s="16"/>
      <c r="G25" s="25" t="s">
        <v>78</v>
      </c>
      <c r="H25" s="14"/>
      <c r="I25" s="12"/>
    </row>
    <row r="26" spans="1:10" x14ac:dyDescent="0.45">
      <c r="A26" s="5"/>
      <c r="B26" s="37" t="s">
        <v>37</v>
      </c>
      <c r="C26" s="37"/>
      <c r="D26" s="37"/>
      <c r="E26" s="4" t="str">
        <f>C2</f>
        <v>Wilson</v>
      </c>
      <c r="F26" s="4">
        <v>1</v>
      </c>
      <c r="G26" s="25" t="s">
        <v>78</v>
      </c>
      <c r="H26" s="24" t="str">
        <f>HYPERLINK("#G26",CHAR(128))</f>
        <v>€</v>
      </c>
    </row>
    <row r="28" spans="1:10" x14ac:dyDescent="0.45">
      <c r="J28" s="18"/>
    </row>
    <row r="29" spans="1:10" x14ac:dyDescent="0.45">
      <c r="A29" s="20"/>
      <c r="B29" s="36" t="s">
        <v>50</v>
      </c>
      <c r="C29" s="36"/>
      <c r="D29" s="36"/>
      <c r="E29" s="20" t="s">
        <v>8</v>
      </c>
      <c r="F29" s="20" t="s">
        <v>35</v>
      </c>
      <c r="G29" s="21" t="s">
        <v>36</v>
      </c>
    </row>
    <row r="30" spans="1:10" x14ac:dyDescent="0.45">
      <c r="A30" s="3"/>
      <c r="B30" s="37"/>
      <c r="C30" s="37"/>
      <c r="D30" s="37"/>
      <c r="E30" s="4"/>
      <c r="F30" s="10">
        <v>1</v>
      </c>
      <c r="G30" s="17"/>
      <c r="H30" s="19" t="str">
        <f>HYPERLINK("#G30",CHAR(128))</f>
        <v>€</v>
      </c>
    </row>
    <row r="31" spans="1:10" x14ac:dyDescent="0.45">
      <c r="A31" s="2"/>
      <c r="B31" s="38"/>
      <c r="C31" s="38"/>
      <c r="D31" s="38"/>
      <c r="E31" s="1"/>
      <c r="F31" s="16">
        <v>1</v>
      </c>
      <c r="G31" s="26"/>
      <c r="H31" s="19" t="str">
        <f>HYPERLINK("#G31",CHAR(128))</f>
        <v>€</v>
      </c>
    </row>
    <row r="32" spans="1:10" x14ac:dyDescent="0.45">
      <c r="A32" s="3"/>
      <c r="B32" s="37"/>
      <c r="C32" s="37"/>
      <c r="D32" s="37"/>
      <c r="E32" s="4"/>
      <c r="F32" s="4">
        <v>1</v>
      </c>
      <c r="G32" s="27"/>
      <c r="H32" s="19" t="str">
        <f>HYPERLINK("#G32",CHAR(128))</f>
        <v>€</v>
      </c>
    </row>
    <row r="33" spans="1:8" x14ac:dyDescent="0.45">
      <c r="A33" s="2"/>
      <c r="B33" s="38"/>
      <c r="C33" s="38"/>
      <c r="D33" s="38"/>
      <c r="E33" s="1"/>
      <c r="F33" s="16">
        <v>1</v>
      </c>
      <c r="G33" s="26"/>
      <c r="H33" s="19" t="str">
        <f>HYPERLINK("#G33",CHAR(128))</f>
        <v>€</v>
      </c>
    </row>
    <row r="34" spans="1:8" x14ac:dyDescent="0.45">
      <c r="A34" s="3"/>
      <c r="B34" s="37"/>
      <c r="C34" s="37"/>
      <c r="D34" s="37"/>
      <c r="E34" s="4"/>
      <c r="F34" s="4">
        <v>1</v>
      </c>
      <c r="G34" s="27"/>
      <c r="H34" s="19" t="str">
        <f>HYPERLINK("#G34",CHAR(128))</f>
        <v>€</v>
      </c>
    </row>
    <row r="37" spans="1:8" x14ac:dyDescent="0.45">
      <c r="A37" t="s">
        <v>40</v>
      </c>
      <c r="B37" t="s">
        <v>7</v>
      </c>
      <c r="C37" t="s">
        <v>67</v>
      </c>
      <c r="D37" t="s">
        <v>69</v>
      </c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26">
    <cfRule type="cellIs" dxfId="44" priority="2" operator="equal">
      <formula>"Returned"</formula>
    </cfRule>
    <cfRule type="cellIs" dxfId="43" priority="5" operator="equal">
      <formula>"Ready To Order"</formula>
    </cfRule>
    <cfRule type="cellIs" dxfId="42" priority="6" operator="equal">
      <formula>"UNP"</formula>
    </cfRule>
    <cfRule type="containsText" dxfId="41" priority="7" operator="containsText" text="Ordered">
      <formula>NOT(ISERROR(SEARCH("Ordered",G6)))</formula>
    </cfRule>
    <cfRule type="containsText" dxfId="40" priority="8" operator="containsText" text="Pick Up">
      <formula>NOT(ISERROR(SEARCH("Pick Up",G6)))</formula>
    </cfRule>
    <cfRule type="containsText" dxfId="39" priority="9" operator="containsText" text="Complete">
      <formula>NOT(ISERROR(SEARCH("Complete",G6)))</formula>
    </cfRule>
  </conditionalFormatting>
  <conditionalFormatting sqref="G30:G33">
    <cfRule type="containsText" dxfId="38" priority="4" operator="containsText" text="Given">
      <formula>NOT(ISERROR(SEARCH("Given",G30)))</formula>
    </cfRule>
  </conditionalFormatting>
  <conditionalFormatting sqref="G30:G34">
    <cfRule type="containsText" dxfId="37" priority="3" operator="containsText" text="Returned">
      <formula>NOT(ISERROR(SEARCH("Returned",G30)))</formula>
    </cfRule>
  </conditionalFormatting>
  <conditionalFormatting sqref="G6:G26">
    <cfRule type="cellIs" dxfId="36" priority="1" operator="equal">
      <formula>"In Stock"</formula>
    </cfRule>
  </conditionalFormatting>
  <dataValidations count="3">
    <dataValidation type="list" allowBlank="1" showInputMessage="1" showErrorMessage="1" sqref="G30:G34" xr:uid="{2B62E819-9219-41C3-996B-3F5786D06890}">
      <formula1>"--,Returned, Given"</formula1>
    </dataValidation>
    <dataValidation type="list" allowBlank="1" showInputMessage="1" showErrorMessage="1" sqref="G6:G26" xr:uid="{EADC0533-6E83-4F85-93C6-C6AB50BB6941}">
      <formula1>"UNP, Ready To Order, Ordered, In Stock, Pick Up, Complete, Returned"</formula1>
    </dataValidation>
    <dataValidation type="decimal" allowBlank="1" showInputMessage="1" showErrorMessage="1" sqref="L2" xr:uid="{6BFEC26B-DDB7-4B3F-8284-034BAF44735D}">
      <formula1>19</formula1>
      <formula2>26</formula2>
    </dataValidation>
  </dataValidations>
  <hyperlinks>
    <hyperlink ref="A1:A2" location="Menu!A1" display="Back to Menu" xr:uid="{9104947B-DA43-4337-B6D1-AD4616C6D6D2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25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9525</xdr:colOff>
                    <xdr:row>10</xdr:row>
                    <xdr:rowOff>200025</xdr:rowOff>
                  </from>
                  <to>
                    <xdr:col>12</xdr:col>
                    <xdr:colOff>9525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6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204788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7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28575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8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600075</xdr:colOff>
                    <xdr:row>32</xdr:row>
                    <xdr:rowOff>166688</xdr:rowOff>
                  </from>
                  <to>
                    <xdr:col>12</xdr:col>
                    <xdr:colOff>0</xdr:colOff>
                    <xdr:row>33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9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600075</xdr:colOff>
                    <xdr:row>30</xdr:row>
                    <xdr:rowOff>176213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30" r:id="rId8" name="Button 6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176213</xdr:rowOff>
                  </from>
                  <to>
                    <xdr:col>12</xdr:col>
                    <xdr:colOff>9525</xdr:colOff>
                    <xdr:row>26</xdr:row>
                    <xdr:rowOff>109538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8D5F7-0485-43E4-B39C-F180B3C340E0}">
  <sheetPr codeName="Sheet6"/>
  <dimension ref="A1:L38"/>
  <sheetViews>
    <sheetView workbookViewId="0">
      <selection activeCell="G6" sqref="G6"/>
    </sheetView>
  </sheetViews>
  <sheetFormatPr defaultRowHeight="14.25" x14ac:dyDescent="0.45"/>
  <cols>
    <col min="1" max="1" width="18.46484375" customWidth="1"/>
    <col min="3" max="3" width="9.1328125" customWidth="1"/>
    <col min="4" max="4" width="10" customWidth="1"/>
    <col min="5" max="5" width="15.59765625" customWidth="1"/>
    <col min="7" max="7" width="16.59765625" customWidth="1"/>
    <col min="8" max="8" width="2.3984375" customWidth="1"/>
    <col min="11" max="11" width="12" customWidth="1"/>
    <col min="12" max="12" width="13" customWidth="1"/>
  </cols>
  <sheetData>
    <row r="1" spans="1:12" x14ac:dyDescent="0.45">
      <c r="A1" s="44" t="s">
        <v>42</v>
      </c>
      <c r="B1" s="20" t="s">
        <v>3</v>
      </c>
      <c r="C1" s="36" t="s">
        <v>0</v>
      </c>
      <c r="D1" s="36"/>
      <c r="E1" s="36" t="s">
        <v>2</v>
      </c>
      <c r="F1" s="36"/>
      <c r="G1" s="20" t="s">
        <v>34</v>
      </c>
      <c r="K1" s="20" t="s">
        <v>38</v>
      </c>
      <c r="L1" s="20" t="s">
        <v>10</v>
      </c>
    </row>
    <row r="2" spans="1:12" x14ac:dyDescent="0.45">
      <c r="A2" s="45"/>
      <c r="B2" s="2" t="s">
        <v>104</v>
      </c>
      <c r="C2" s="38" t="s">
        <v>105</v>
      </c>
      <c r="D2" s="38"/>
      <c r="E2" s="38" t="s">
        <v>106</v>
      </c>
      <c r="F2" s="38"/>
      <c r="G2" s="1" t="s">
        <v>107</v>
      </c>
      <c r="K2" s="4" t="s">
        <v>9</v>
      </c>
      <c r="L2" s="4"/>
    </row>
    <row r="3" spans="1:12" x14ac:dyDescent="0.45">
      <c r="A3" s="20" t="s">
        <v>1</v>
      </c>
      <c r="B3" s="46" t="s">
        <v>4</v>
      </c>
      <c r="C3" s="47"/>
      <c r="D3" s="48"/>
      <c r="E3" s="46" t="s">
        <v>49</v>
      </c>
      <c r="F3" s="48"/>
      <c r="G3" s="20" t="s">
        <v>5</v>
      </c>
      <c r="K3" s="1" t="s">
        <v>11</v>
      </c>
      <c r="L3" s="1"/>
    </row>
    <row r="4" spans="1:12" x14ac:dyDescent="0.45">
      <c r="A4" s="1" t="s">
        <v>39</v>
      </c>
      <c r="B4" s="43"/>
      <c r="C4" s="43"/>
      <c r="D4" s="43"/>
      <c r="E4" s="38"/>
      <c r="F4" s="38"/>
      <c r="G4" s="1" t="s">
        <v>44</v>
      </c>
      <c r="K4" s="4" t="s">
        <v>12</v>
      </c>
      <c r="L4" s="4">
        <v>40</v>
      </c>
    </row>
    <row r="5" spans="1:12" x14ac:dyDescent="0.45">
      <c r="A5" s="20" t="s">
        <v>6</v>
      </c>
      <c r="B5" s="36" t="s">
        <v>7</v>
      </c>
      <c r="C5" s="36"/>
      <c r="D5" s="36"/>
      <c r="E5" s="20" t="s">
        <v>8</v>
      </c>
      <c r="F5" s="20" t="s">
        <v>35</v>
      </c>
      <c r="G5" s="20" t="s">
        <v>36</v>
      </c>
      <c r="K5" s="1" t="s">
        <v>13</v>
      </c>
      <c r="L5" s="1"/>
    </row>
    <row r="6" spans="1:12" x14ac:dyDescent="0.45">
      <c r="A6" s="3" t="s">
        <v>108</v>
      </c>
      <c r="B6" s="37" t="s">
        <v>18</v>
      </c>
      <c r="C6" s="37"/>
      <c r="D6" s="37"/>
      <c r="E6" s="4">
        <v>6140</v>
      </c>
      <c r="F6" s="4">
        <v>1</v>
      </c>
      <c r="G6" s="25" t="s">
        <v>78</v>
      </c>
      <c r="H6" s="28" t="str">
        <f>HYPERLINK("#G6",CHAR(128))</f>
        <v>€</v>
      </c>
      <c r="K6" s="4" t="s">
        <v>14</v>
      </c>
      <c r="L6" s="4"/>
    </row>
    <row r="7" spans="1:12" x14ac:dyDescent="0.45">
      <c r="A7" s="2"/>
      <c r="B7" s="38" t="s">
        <v>21</v>
      </c>
      <c r="C7" s="38"/>
      <c r="D7" s="38"/>
      <c r="E7" s="1" t="s">
        <v>110</v>
      </c>
      <c r="F7" s="16">
        <v>1</v>
      </c>
      <c r="G7" s="25" t="s">
        <v>111</v>
      </c>
      <c r="H7" s="28" t="str">
        <f>HYPERLINK("#G7",CHAR(128))</f>
        <v>€</v>
      </c>
      <c r="K7" s="1" t="s">
        <v>15</v>
      </c>
      <c r="L7" s="1">
        <v>60</v>
      </c>
    </row>
    <row r="8" spans="1:12" x14ac:dyDescent="0.45">
      <c r="A8" s="3"/>
      <c r="B8" s="37" t="s">
        <v>19</v>
      </c>
      <c r="C8" s="37"/>
      <c r="D8" s="37"/>
      <c r="E8" s="4" t="s">
        <v>110</v>
      </c>
      <c r="F8" s="4">
        <v>1</v>
      </c>
      <c r="G8" s="25" t="s">
        <v>111</v>
      </c>
      <c r="H8" s="28" t="str">
        <f>HYPERLINK("#G8",CHAR(128))</f>
        <v>€</v>
      </c>
      <c r="K8" s="4" t="s">
        <v>16</v>
      </c>
      <c r="L8" s="4"/>
    </row>
    <row r="9" spans="1:12" x14ac:dyDescent="0.45">
      <c r="A9" s="2"/>
      <c r="B9" s="38" t="s">
        <v>20</v>
      </c>
      <c r="C9" s="38"/>
      <c r="D9" s="38"/>
      <c r="E9" s="1" t="s">
        <v>110</v>
      </c>
      <c r="F9" s="16">
        <v>1</v>
      </c>
      <c r="G9" s="25" t="s">
        <v>111</v>
      </c>
      <c r="H9" s="28" t="str">
        <f>HYPERLINK("#G9",CHAR(128))</f>
        <v>€</v>
      </c>
      <c r="I9" s="11"/>
      <c r="K9" s="1" t="s">
        <v>17</v>
      </c>
      <c r="L9" s="1"/>
    </row>
    <row r="10" spans="1:12" x14ac:dyDescent="0.45">
      <c r="A10" s="3"/>
      <c r="B10" s="37" t="s">
        <v>24</v>
      </c>
      <c r="C10" s="37"/>
      <c r="D10" s="37"/>
      <c r="E10" s="8" t="s">
        <v>110</v>
      </c>
      <c r="F10" s="4">
        <v>1</v>
      </c>
      <c r="G10" s="25" t="s">
        <v>111</v>
      </c>
      <c r="H10" s="28" t="str">
        <f>HYPERLINK("#G10",CHAR(128))</f>
        <v>€</v>
      </c>
      <c r="K10" s="15" t="s">
        <v>47</v>
      </c>
      <c r="L10" s="15"/>
    </row>
    <row r="11" spans="1:12" x14ac:dyDescent="0.45">
      <c r="A11" s="2"/>
      <c r="B11" s="38" t="s">
        <v>23</v>
      </c>
      <c r="C11" s="38"/>
      <c r="D11" s="38"/>
      <c r="E11" s="1" t="s">
        <v>110</v>
      </c>
      <c r="F11" s="16">
        <v>1</v>
      </c>
      <c r="G11" s="25" t="s">
        <v>111</v>
      </c>
      <c r="H11" s="28" t="str">
        <f>HYPERLINK("#G11",CHAR(128))</f>
        <v>€</v>
      </c>
    </row>
    <row r="12" spans="1:12" x14ac:dyDescent="0.45">
      <c r="A12" s="5"/>
      <c r="B12" s="37" t="s">
        <v>25</v>
      </c>
      <c r="C12" s="37"/>
      <c r="D12" s="37"/>
      <c r="E12" s="4" t="s">
        <v>110</v>
      </c>
      <c r="F12" s="4">
        <v>1</v>
      </c>
      <c r="G12" s="25" t="s">
        <v>111</v>
      </c>
      <c r="H12" s="28" t="str">
        <f>HYPERLINK("#G12",CHAR(128))</f>
        <v>€</v>
      </c>
    </row>
    <row r="13" spans="1:12" x14ac:dyDescent="0.45">
      <c r="A13" s="2"/>
      <c r="B13" s="38" t="s">
        <v>26</v>
      </c>
      <c r="C13" s="38"/>
      <c r="D13" s="38"/>
      <c r="E13" s="1" t="s">
        <v>110</v>
      </c>
      <c r="F13" s="16">
        <v>1</v>
      </c>
      <c r="G13" s="25" t="s">
        <v>111</v>
      </c>
      <c r="H13" s="28" t="str">
        <f>HYPERLINK("#G13",CHAR(128))</f>
        <v>€</v>
      </c>
    </row>
    <row r="14" spans="1:12" x14ac:dyDescent="0.45">
      <c r="A14" s="5"/>
      <c r="B14" s="37" t="s">
        <v>27</v>
      </c>
      <c r="C14" s="37"/>
      <c r="D14" s="37"/>
      <c r="E14" s="4" t="s">
        <v>110</v>
      </c>
      <c r="F14" s="4">
        <v>1</v>
      </c>
      <c r="G14" s="25" t="s">
        <v>111</v>
      </c>
      <c r="H14" s="28" t="str">
        <f>HYPERLINK("#G14",CHAR(128))</f>
        <v>€</v>
      </c>
    </row>
    <row r="15" spans="1:12" x14ac:dyDescent="0.45">
      <c r="A15" s="2"/>
      <c r="B15" s="39"/>
      <c r="C15" s="39"/>
      <c r="D15" s="39"/>
      <c r="E15" s="1" t="s">
        <v>110</v>
      </c>
      <c r="F15" s="16"/>
      <c r="G15" s="16" t="s">
        <v>111</v>
      </c>
      <c r="H15" s="14"/>
    </row>
    <row r="16" spans="1:12" x14ac:dyDescent="0.45">
      <c r="A16" s="5"/>
      <c r="B16" s="37" t="s">
        <v>28</v>
      </c>
      <c r="C16" s="37"/>
      <c r="D16" s="37"/>
      <c r="E16" s="4" t="s">
        <v>110</v>
      </c>
      <c r="F16" s="4">
        <v>1</v>
      </c>
      <c r="G16" s="25" t="s">
        <v>111</v>
      </c>
      <c r="H16" s="23" t="str">
        <f>HYPERLINK("#G16",CHAR(128))</f>
        <v>€</v>
      </c>
    </row>
    <row r="17" spans="1:10" x14ac:dyDescent="0.45">
      <c r="A17" s="2"/>
      <c r="B17" s="38" t="s">
        <v>22</v>
      </c>
      <c r="C17" s="38"/>
      <c r="D17" s="38"/>
      <c r="E17" s="1" t="s">
        <v>110</v>
      </c>
      <c r="F17" s="16">
        <v>1</v>
      </c>
      <c r="G17" s="25" t="s">
        <v>111</v>
      </c>
      <c r="H17" s="23" t="str">
        <f>HYPERLINK("#G17",CHAR(128))</f>
        <v>€</v>
      </c>
    </row>
    <row r="18" spans="1:10" x14ac:dyDescent="0.45">
      <c r="A18" s="5"/>
      <c r="B18" s="37" t="s">
        <v>29</v>
      </c>
      <c r="C18" s="37"/>
      <c r="D18" s="37"/>
      <c r="E18" s="4" t="s">
        <v>110</v>
      </c>
      <c r="F18" s="4">
        <v>1</v>
      </c>
      <c r="G18" s="25" t="s">
        <v>111</v>
      </c>
      <c r="H18" s="23" t="str">
        <f>HYPERLINK("#G18",CHAR(128))</f>
        <v>€</v>
      </c>
    </row>
    <row r="19" spans="1:10" x14ac:dyDescent="0.45">
      <c r="A19" s="2"/>
      <c r="B19" s="38" t="s">
        <v>30</v>
      </c>
      <c r="C19" s="38"/>
      <c r="D19" s="38"/>
      <c r="E19" s="1" t="s">
        <v>110</v>
      </c>
      <c r="F19" s="16">
        <v>1</v>
      </c>
      <c r="G19" s="25" t="s">
        <v>111</v>
      </c>
      <c r="H19" s="23" t="str">
        <f>HYPERLINK("#G19",CHAR(128))</f>
        <v>€</v>
      </c>
    </row>
    <row r="20" spans="1:10" x14ac:dyDescent="0.45">
      <c r="A20" s="5"/>
      <c r="B20" s="40"/>
      <c r="C20" s="41"/>
      <c r="D20" s="42"/>
      <c r="E20" s="4" t="s">
        <v>110</v>
      </c>
      <c r="F20" s="4"/>
      <c r="G20" s="4" t="s">
        <v>111</v>
      </c>
      <c r="H20" s="14"/>
    </row>
    <row r="21" spans="1:10" x14ac:dyDescent="0.45">
      <c r="A21" s="2"/>
      <c r="B21" s="38" t="s">
        <v>33</v>
      </c>
      <c r="C21" s="38"/>
      <c r="D21" s="38"/>
      <c r="E21" s="9" t="s">
        <v>110</v>
      </c>
      <c r="F21" s="16">
        <v>1</v>
      </c>
      <c r="G21" s="25" t="s">
        <v>111</v>
      </c>
      <c r="H21" s="23" t="str">
        <f>HYPERLINK("#G21",CHAR(128))</f>
        <v>€</v>
      </c>
    </row>
    <row r="22" spans="1:10" x14ac:dyDescent="0.45">
      <c r="A22" s="5"/>
      <c r="B22" s="37" t="s">
        <v>31</v>
      </c>
      <c r="C22" s="37"/>
      <c r="D22" s="37"/>
      <c r="E22" s="4" t="s">
        <v>110</v>
      </c>
      <c r="F22" s="4">
        <v>1</v>
      </c>
      <c r="G22" s="25" t="s">
        <v>111</v>
      </c>
      <c r="H22" s="23" t="str">
        <f>HYPERLINK("#G22",CHAR(128))</f>
        <v>€</v>
      </c>
    </row>
    <row r="23" spans="1:10" x14ac:dyDescent="0.45">
      <c r="A23" s="2"/>
      <c r="B23" s="38" t="s">
        <v>48</v>
      </c>
      <c r="C23" s="38"/>
      <c r="D23" s="38"/>
      <c r="E23" s="1" t="s">
        <v>110</v>
      </c>
      <c r="F23" s="16">
        <v>1</v>
      </c>
      <c r="G23" s="25" t="s">
        <v>111</v>
      </c>
      <c r="H23" s="22" t="str">
        <f>HYPERLINK("#G23",CHAR(128))</f>
        <v>€</v>
      </c>
    </row>
    <row r="24" spans="1:10" x14ac:dyDescent="0.45">
      <c r="A24" s="5"/>
      <c r="B24" s="37" t="s">
        <v>32</v>
      </c>
      <c r="C24" s="37"/>
      <c r="D24" s="37"/>
      <c r="E24" s="4" t="s">
        <v>110</v>
      </c>
      <c r="F24" s="4">
        <v>1</v>
      </c>
      <c r="G24" s="25" t="s">
        <v>111</v>
      </c>
      <c r="H24" s="22" t="str">
        <f>HYPERLINK("#G24",CHAR(128))</f>
        <v>€</v>
      </c>
    </row>
    <row r="25" spans="1:10" x14ac:dyDescent="0.45">
      <c r="A25" s="2"/>
      <c r="B25" s="38"/>
      <c r="C25" s="38"/>
      <c r="D25" s="38"/>
      <c r="E25" s="1" t="s">
        <v>110</v>
      </c>
      <c r="F25" s="16"/>
      <c r="G25" s="16" t="s">
        <v>111</v>
      </c>
      <c r="H25" s="14"/>
      <c r="I25" s="12"/>
    </row>
    <row r="26" spans="1:10" x14ac:dyDescent="0.45">
      <c r="A26" s="5"/>
      <c r="B26" s="37" t="s">
        <v>37</v>
      </c>
      <c r="C26" s="37"/>
      <c r="D26" s="37"/>
      <c r="E26" s="4" t="s">
        <v>110</v>
      </c>
      <c r="F26" s="4">
        <v>1</v>
      </c>
      <c r="G26" s="25" t="s">
        <v>111</v>
      </c>
      <c r="H26" s="24" t="str">
        <f>HYPERLINK("#G26",CHAR(128))</f>
        <v>€</v>
      </c>
    </row>
    <row r="28" spans="1:10" x14ac:dyDescent="0.45">
      <c r="J28" s="18"/>
    </row>
    <row r="29" spans="1:10" x14ac:dyDescent="0.45">
      <c r="A29" s="20"/>
      <c r="B29" s="36" t="s">
        <v>50</v>
      </c>
      <c r="C29" s="36"/>
      <c r="D29" s="36"/>
      <c r="E29" s="20" t="s">
        <v>8</v>
      </c>
      <c r="F29" s="20" t="s">
        <v>35</v>
      </c>
      <c r="G29" s="21" t="s">
        <v>36</v>
      </c>
    </row>
    <row r="30" spans="1:10" x14ac:dyDescent="0.45">
      <c r="A30" s="3"/>
      <c r="B30" s="37"/>
      <c r="C30" s="37"/>
      <c r="D30" s="37"/>
      <c r="E30" s="4"/>
      <c r="F30" s="10">
        <v>1</v>
      </c>
      <c r="G30" s="17"/>
      <c r="H30" s="19" t="str">
        <f>HYPERLINK("#G30",CHAR(128))</f>
        <v>€</v>
      </c>
    </row>
    <row r="31" spans="1:10" x14ac:dyDescent="0.45">
      <c r="A31" s="2"/>
      <c r="B31" s="38"/>
      <c r="C31" s="38"/>
      <c r="D31" s="38"/>
      <c r="E31" s="1"/>
      <c r="F31" s="16">
        <v>1</v>
      </c>
      <c r="G31" s="26"/>
      <c r="H31" s="19" t="str">
        <f>HYPERLINK("#G31",CHAR(128))</f>
        <v>€</v>
      </c>
    </row>
    <row r="32" spans="1:10" x14ac:dyDescent="0.45">
      <c r="A32" s="3"/>
      <c r="B32" s="37"/>
      <c r="C32" s="37"/>
      <c r="D32" s="37"/>
      <c r="E32" s="4"/>
      <c r="F32" s="4">
        <v>1</v>
      </c>
      <c r="G32" s="27"/>
      <c r="H32" s="19" t="str">
        <f>HYPERLINK("#G32",CHAR(128))</f>
        <v>€</v>
      </c>
    </row>
    <row r="33" spans="1:8" x14ac:dyDescent="0.45">
      <c r="A33" s="2"/>
      <c r="B33" s="38"/>
      <c r="C33" s="38"/>
      <c r="D33" s="38"/>
      <c r="E33" s="1"/>
      <c r="F33" s="16">
        <v>1</v>
      </c>
      <c r="G33" s="26"/>
      <c r="H33" s="19" t="str">
        <f>HYPERLINK("#G33",CHAR(128))</f>
        <v>€</v>
      </c>
    </row>
    <row r="34" spans="1:8" x14ac:dyDescent="0.45">
      <c r="A34" s="3"/>
      <c r="B34" s="37"/>
      <c r="C34" s="37"/>
      <c r="D34" s="37"/>
      <c r="E34" s="4"/>
      <c r="F34" s="4">
        <v>1</v>
      </c>
      <c r="G34" s="27"/>
      <c r="H34" s="19" t="str">
        <f>HYPERLINK("#G34",CHAR(128))</f>
        <v>€</v>
      </c>
    </row>
    <row r="37" spans="1:8" x14ac:dyDescent="0.45">
      <c r="A37" t="s">
        <v>40</v>
      </c>
      <c r="B37" t="s">
        <v>7</v>
      </c>
      <c r="C37" t="s">
        <v>67</v>
      </c>
      <c r="D37" t="s">
        <v>69</v>
      </c>
    </row>
    <row r="38" spans="1:8" x14ac:dyDescent="0.45">
      <c r="A38" s="51">
        <v>45287</v>
      </c>
      <c r="B38" t="s">
        <v>18</v>
      </c>
      <c r="C38">
        <v>7037</v>
      </c>
      <c r="D38">
        <v>6140</v>
      </c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14 G21:G26 G16:G19">
    <cfRule type="cellIs" dxfId="35" priority="2" operator="equal">
      <formula>"Returned"</formula>
    </cfRule>
    <cfRule type="cellIs" dxfId="34" priority="5" operator="equal">
      <formula>"Ready To Order"</formula>
    </cfRule>
    <cfRule type="cellIs" dxfId="33" priority="6" operator="equal">
      <formula>"UNP"</formula>
    </cfRule>
    <cfRule type="containsText" dxfId="32" priority="7" operator="containsText" text="Ordered">
      <formula>NOT(ISERROR(SEARCH("Ordered",G6)))</formula>
    </cfRule>
    <cfRule type="containsText" dxfId="31" priority="8" operator="containsText" text="Pick Up">
      <formula>NOT(ISERROR(SEARCH("Pick Up",G6)))</formula>
    </cfRule>
    <cfRule type="containsText" dxfId="30" priority="9" operator="containsText" text="Complete">
      <formula>NOT(ISERROR(SEARCH("Complete",G6)))</formula>
    </cfRule>
  </conditionalFormatting>
  <conditionalFormatting sqref="G30:G33">
    <cfRule type="containsText" dxfId="29" priority="4" operator="containsText" text="Given">
      <formula>NOT(ISERROR(SEARCH("Given",G30)))</formula>
    </cfRule>
  </conditionalFormatting>
  <conditionalFormatting sqref="G30:G34">
    <cfRule type="containsText" dxfId="28" priority="3" operator="containsText" text="Returned">
      <formula>NOT(ISERROR(SEARCH("Returned",G30)))</formula>
    </cfRule>
  </conditionalFormatting>
  <conditionalFormatting sqref="G6:G14 G21:G26 G16:G19">
    <cfRule type="cellIs" dxfId="27" priority="1" operator="equal">
      <formula>"In Stock"</formula>
    </cfRule>
  </conditionalFormatting>
  <dataValidations count="3">
    <dataValidation type="list" allowBlank="1" showInputMessage="1" showErrorMessage="1" sqref="G30:G34" xr:uid="{2B8101E0-AF7B-4B88-9634-06080FB6AAF0}">
      <formula1>"--,Returned, Given"</formula1>
    </dataValidation>
    <dataValidation type="list" allowBlank="1" showInputMessage="1" showErrorMessage="1" sqref="G16:G19 G21:G24 G26 G6:G14" xr:uid="{214128F4-3127-43F0-886D-E1DE8B5B808F}">
      <formula1>"UNP, Ready To Order, Ordered, In Stock, Pick Up, Complete, Returned"</formula1>
    </dataValidation>
    <dataValidation type="decimal" allowBlank="1" showInputMessage="1" showErrorMessage="1" sqref="L2" xr:uid="{B7D99183-2E87-4EB0-AEF8-C6BC8D2B39FB}">
      <formula1>19</formula1>
      <formula2>26</formula2>
    </dataValidation>
  </dataValidations>
  <hyperlinks>
    <hyperlink ref="A1:A2" location="Menu!A1" display="Back to Menu" xr:uid="{065DC45D-ECEF-4248-B1B2-DE7EF593B865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9525</xdr:colOff>
                    <xdr:row>10</xdr:row>
                    <xdr:rowOff>200025</xdr:rowOff>
                  </from>
                  <to>
                    <xdr:col>12</xdr:col>
                    <xdr:colOff>9525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0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204788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1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28575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600075</xdr:colOff>
                    <xdr:row>32</xdr:row>
                    <xdr:rowOff>166688</xdr:rowOff>
                  </from>
                  <to>
                    <xdr:col>12</xdr:col>
                    <xdr:colOff>0</xdr:colOff>
                    <xdr:row>33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3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600075</xdr:colOff>
                    <xdr:row>30</xdr:row>
                    <xdr:rowOff>176213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4" r:id="rId8" name="Button 6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176213</xdr:rowOff>
                  </from>
                  <to>
                    <xdr:col>12</xdr:col>
                    <xdr:colOff>9525</xdr:colOff>
                    <xdr:row>26</xdr:row>
                    <xdr:rowOff>109538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F7044-DADF-4713-B17D-D5FD76EC194A}">
  <sheetPr codeName="Sheet7"/>
  <dimension ref="A1:L37"/>
  <sheetViews>
    <sheetView workbookViewId="0">
      <selection activeCell="E18" sqref="E18"/>
    </sheetView>
  </sheetViews>
  <sheetFormatPr defaultRowHeight="14.25" x14ac:dyDescent="0.45"/>
  <cols>
    <col min="1" max="1" width="18.46484375" customWidth="1"/>
    <col min="3" max="3" width="9.1328125" customWidth="1"/>
    <col min="4" max="4" width="10" customWidth="1"/>
    <col min="5" max="5" width="15.59765625" customWidth="1"/>
    <col min="7" max="7" width="16.59765625" customWidth="1"/>
    <col min="8" max="8" width="2.3984375" customWidth="1"/>
    <col min="11" max="11" width="12" customWidth="1"/>
    <col min="12" max="12" width="13" customWidth="1"/>
  </cols>
  <sheetData>
    <row r="1" spans="1:12" x14ac:dyDescent="0.45">
      <c r="A1" s="44" t="s">
        <v>42</v>
      </c>
      <c r="B1" s="20" t="s">
        <v>3</v>
      </c>
      <c r="C1" s="36" t="s">
        <v>0</v>
      </c>
      <c r="D1" s="36"/>
      <c r="E1" s="36" t="s">
        <v>2</v>
      </c>
      <c r="F1" s="36"/>
      <c r="G1" s="20" t="s">
        <v>34</v>
      </c>
      <c r="K1" s="20" t="s">
        <v>38</v>
      </c>
      <c r="L1" s="20" t="s">
        <v>10</v>
      </c>
    </row>
    <row r="2" spans="1:12" x14ac:dyDescent="0.45">
      <c r="A2" s="45"/>
      <c r="B2" s="2" t="s">
        <v>43</v>
      </c>
      <c r="C2" s="38" t="s">
        <v>79</v>
      </c>
      <c r="D2" s="38"/>
      <c r="E2" s="38" t="s">
        <v>112</v>
      </c>
      <c r="F2" s="38"/>
      <c r="G2" s="1" t="s">
        <v>113</v>
      </c>
      <c r="K2" s="4" t="s">
        <v>9</v>
      </c>
      <c r="L2" s="4">
        <v>21.3</v>
      </c>
    </row>
    <row r="3" spans="1:12" x14ac:dyDescent="0.45">
      <c r="A3" s="20" t="s">
        <v>1</v>
      </c>
      <c r="B3" s="46" t="s">
        <v>4</v>
      </c>
      <c r="C3" s="47"/>
      <c r="D3" s="48"/>
      <c r="E3" s="46" t="s">
        <v>49</v>
      </c>
      <c r="F3" s="48"/>
      <c r="G3" s="20" t="s">
        <v>5</v>
      </c>
      <c r="K3" s="1" t="s">
        <v>11</v>
      </c>
      <c r="L3" s="1">
        <v>15.8</v>
      </c>
    </row>
    <row r="4" spans="1:12" x14ac:dyDescent="0.45">
      <c r="A4" s="1" t="s">
        <v>39</v>
      </c>
      <c r="B4" s="43">
        <v>1262197210</v>
      </c>
      <c r="C4" s="43"/>
      <c r="D4" s="43"/>
      <c r="E4" s="38" t="s">
        <v>52</v>
      </c>
      <c r="F4" s="38"/>
      <c r="G4" s="1" t="s">
        <v>44</v>
      </c>
      <c r="K4" s="4" t="s">
        <v>12</v>
      </c>
      <c r="L4" s="4">
        <v>47.4</v>
      </c>
    </row>
    <row r="5" spans="1:12" x14ac:dyDescent="0.45">
      <c r="A5" s="20" t="s">
        <v>6</v>
      </c>
      <c r="B5" s="36" t="s">
        <v>7</v>
      </c>
      <c r="C5" s="36"/>
      <c r="D5" s="36"/>
      <c r="E5" s="20" t="s">
        <v>8</v>
      </c>
      <c r="F5" s="20" t="s">
        <v>35</v>
      </c>
      <c r="G5" s="20" t="s">
        <v>36</v>
      </c>
      <c r="K5" s="1" t="s">
        <v>13</v>
      </c>
      <c r="L5" s="1">
        <v>32.1</v>
      </c>
    </row>
    <row r="6" spans="1:12" x14ac:dyDescent="0.45">
      <c r="A6" s="3" t="s">
        <v>114</v>
      </c>
      <c r="B6" s="37" t="s">
        <v>18</v>
      </c>
      <c r="C6" s="37"/>
      <c r="D6" s="37"/>
      <c r="E6" s="4">
        <v>6148</v>
      </c>
      <c r="F6" s="4">
        <v>1</v>
      </c>
      <c r="G6" s="25" t="s">
        <v>65</v>
      </c>
      <c r="H6" s="28" t="str">
        <f>HYPERLINK("#G6",CHAR(128))</f>
        <v>€</v>
      </c>
      <c r="K6" s="4" t="s">
        <v>14</v>
      </c>
      <c r="L6" s="4">
        <v>52.8</v>
      </c>
    </row>
    <row r="7" spans="1:12" x14ac:dyDescent="0.45">
      <c r="A7" s="2" t="s">
        <v>73</v>
      </c>
      <c r="B7" s="38" t="s">
        <v>21</v>
      </c>
      <c r="C7" s="38"/>
      <c r="D7" s="38"/>
      <c r="E7" s="1">
        <v>17</v>
      </c>
      <c r="F7" s="16">
        <v>1</v>
      </c>
      <c r="G7" s="25" t="s">
        <v>65</v>
      </c>
      <c r="H7" s="28" t="str">
        <f>HYPERLINK("#G7",CHAR(128))</f>
        <v>€</v>
      </c>
      <c r="K7" s="1" t="s">
        <v>15</v>
      </c>
      <c r="L7" s="1">
        <v>57.6</v>
      </c>
    </row>
    <row r="8" spans="1:12" x14ac:dyDescent="0.45">
      <c r="A8" s="3" t="s">
        <v>115</v>
      </c>
      <c r="B8" s="37" t="s">
        <v>19</v>
      </c>
      <c r="C8" s="37"/>
      <c r="D8" s="37"/>
      <c r="E8" s="4" t="s">
        <v>58</v>
      </c>
      <c r="F8" s="4">
        <v>1</v>
      </c>
      <c r="G8" s="25" t="s">
        <v>65</v>
      </c>
      <c r="H8" s="28" t="str">
        <f>HYPERLINK("#G8",CHAR(128))</f>
        <v>€</v>
      </c>
      <c r="K8" s="4" t="s">
        <v>16</v>
      </c>
      <c r="L8" s="4">
        <v>294.3</v>
      </c>
    </row>
    <row r="9" spans="1:12" x14ac:dyDescent="0.45">
      <c r="A9" s="2" t="s">
        <v>116</v>
      </c>
      <c r="B9" s="38" t="s">
        <v>20</v>
      </c>
      <c r="C9" s="38"/>
      <c r="D9" s="38"/>
      <c r="E9" s="1">
        <v>6448</v>
      </c>
      <c r="F9" s="16">
        <v>1</v>
      </c>
      <c r="G9" s="25" t="s">
        <v>65</v>
      </c>
      <c r="H9" s="28" t="str">
        <f>HYPERLINK("#G9",CHAR(128))</f>
        <v>€</v>
      </c>
      <c r="I9" s="11"/>
      <c r="K9" s="1" t="s">
        <v>17</v>
      </c>
      <c r="L9" s="1">
        <v>111.7</v>
      </c>
    </row>
    <row r="10" spans="1:12" x14ac:dyDescent="0.45">
      <c r="A10" s="3" t="s">
        <v>117</v>
      </c>
      <c r="B10" s="37" t="s">
        <v>24</v>
      </c>
      <c r="C10" s="37"/>
      <c r="D10" s="37"/>
      <c r="E10" s="8">
        <v>6.875</v>
      </c>
      <c r="F10" s="4">
        <v>1</v>
      </c>
      <c r="G10" s="25" t="s">
        <v>65</v>
      </c>
      <c r="H10" s="28" t="str">
        <f>HYPERLINK("#G10",CHAR(128))</f>
        <v>€</v>
      </c>
      <c r="K10" s="15" t="s">
        <v>47</v>
      </c>
      <c r="L10" s="15">
        <v>8</v>
      </c>
    </row>
    <row r="11" spans="1:12" x14ac:dyDescent="0.45">
      <c r="A11" s="2" t="s">
        <v>63</v>
      </c>
      <c r="B11" s="38" t="s">
        <v>23</v>
      </c>
      <c r="C11" s="38"/>
      <c r="D11" s="38"/>
      <c r="E11" s="1" t="s">
        <v>62</v>
      </c>
      <c r="F11" s="16">
        <v>1</v>
      </c>
      <c r="G11" s="25" t="s">
        <v>65</v>
      </c>
      <c r="H11" s="28" t="str">
        <f>HYPERLINK("#G11",CHAR(128))</f>
        <v>€</v>
      </c>
    </row>
    <row r="12" spans="1:12" x14ac:dyDescent="0.45">
      <c r="A12" s="5" t="s">
        <v>71</v>
      </c>
      <c r="B12" s="37" t="s">
        <v>25</v>
      </c>
      <c r="C12" s="37"/>
      <c r="D12" s="37"/>
      <c r="E12" s="4" t="s">
        <v>70</v>
      </c>
      <c r="F12" s="4">
        <v>1</v>
      </c>
      <c r="G12" s="25" t="s">
        <v>65</v>
      </c>
      <c r="H12" s="28" t="str">
        <f>HYPERLINK("#G12",CHAR(128))</f>
        <v>€</v>
      </c>
    </row>
    <row r="13" spans="1:12" x14ac:dyDescent="0.45">
      <c r="A13" s="2" t="s">
        <v>81</v>
      </c>
      <c r="B13" s="38" t="s">
        <v>26</v>
      </c>
      <c r="C13" s="38"/>
      <c r="D13" s="38"/>
      <c r="E13" s="1" t="s">
        <v>80</v>
      </c>
      <c r="F13" s="16">
        <v>1</v>
      </c>
      <c r="G13" s="25" t="s">
        <v>45</v>
      </c>
      <c r="H13" s="28" t="str">
        <f>HYPERLINK("#G13",CHAR(128))</f>
        <v>€</v>
      </c>
    </row>
    <row r="14" spans="1:12" x14ac:dyDescent="0.45">
      <c r="A14" s="5" t="s">
        <v>119</v>
      </c>
      <c r="B14" s="37" t="s">
        <v>27</v>
      </c>
      <c r="C14" s="37"/>
      <c r="D14" s="37"/>
      <c r="E14" s="4" t="s">
        <v>118</v>
      </c>
      <c r="F14" s="4">
        <v>1</v>
      </c>
      <c r="G14" s="25" t="s">
        <v>65</v>
      </c>
      <c r="H14" s="28" t="str">
        <f>HYPERLINK("#G14",CHAR(128))</f>
        <v>€</v>
      </c>
    </row>
    <row r="15" spans="1:12" x14ac:dyDescent="0.45">
      <c r="A15" s="2"/>
      <c r="B15" s="39"/>
      <c r="C15" s="39"/>
      <c r="D15" s="39"/>
      <c r="E15" s="1"/>
      <c r="F15" s="16"/>
      <c r="G15" s="16"/>
      <c r="H15" s="14"/>
    </row>
    <row r="16" spans="1:12" x14ac:dyDescent="0.45">
      <c r="A16" s="5" t="s">
        <v>46</v>
      </c>
      <c r="B16" s="37" t="s">
        <v>28</v>
      </c>
      <c r="C16" s="37"/>
      <c r="D16" s="37"/>
      <c r="E16" s="4" t="s">
        <v>51</v>
      </c>
      <c r="F16" s="4">
        <v>1</v>
      </c>
      <c r="G16" s="25" t="s">
        <v>65</v>
      </c>
      <c r="H16" s="23" t="str">
        <f>HYPERLINK("#G16",CHAR(128))</f>
        <v>€</v>
      </c>
    </row>
    <row r="17" spans="1:10" x14ac:dyDescent="0.45">
      <c r="A17" s="2" t="s">
        <v>140</v>
      </c>
      <c r="B17" s="38" t="s">
        <v>22</v>
      </c>
      <c r="C17" s="38"/>
      <c r="D17" s="38"/>
      <c r="E17" s="1" t="s">
        <v>68</v>
      </c>
      <c r="F17" s="16">
        <v>1</v>
      </c>
      <c r="G17" s="25" t="s">
        <v>65</v>
      </c>
      <c r="H17" s="23" t="str">
        <f>HYPERLINK("#G17",CHAR(128))</f>
        <v>€</v>
      </c>
    </row>
    <row r="18" spans="1:10" x14ac:dyDescent="0.45">
      <c r="A18" s="5" t="s">
        <v>120</v>
      </c>
      <c r="B18" s="37" t="s">
        <v>29</v>
      </c>
      <c r="C18" s="37"/>
      <c r="D18" s="37"/>
      <c r="E18" s="4">
        <v>7652</v>
      </c>
      <c r="F18" s="4">
        <v>1</v>
      </c>
      <c r="G18" s="25" t="s">
        <v>65</v>
      </c>
      <c r="H18" s="23" t="str">
        <f>HYPERLINK("#G18",CHAR(128))</f>
        <v>€</v>
      </c>
    </row>
    <row r="19" spans="1:10" x14ac:dyDescent="0.45">
      <c r="A19" s="2" t="s">
        <v>83</v>
      </c>
      <c r="B19" s="38" t="s">
        <v>30</v>
      </c>
      <c r="C19" s="38"/>
      <c r="D19" s="38"/>
      <c r="E19" s="1" t="s">
        <v>82</v>
      </c>
      <c r="F19" s="16">
        <v>1</v>
      </c>
      <c r="G19" s="25" t="s">
        <v>65</v>
      </c>
      <c r="H19" s="23" t="str">
        <f>HYPERLINK("#G19",CHAR(128))</f>
        <v>€</v>
      </c>
    </row>
    <row r="20" spans="1:10" x14ac:dyDescent="0.45">
      <c r="A20" s="5"/>
      <c r="B20" s="40"/>
      <c r="C20" s="41"/>
      <c r="D20" s="42"/>
      <c r="E20" s="4"/>
      <c r="F20" s="4"/>
      <c r="G20" s="4"/>
      <c r="H20" s="14"/>
    </row>
    <row r="21" spans="1:10" x14ac:dyDescent="0.45">
      <c r="A21" s="2" t="s">
        <v>121</v>
      </c>
      <c r="B21" s="38" t="s">
        <v>33</v>
      </c>
      <c r="C21" s="38"/>
      <c r="D21" s="38"/>
      <c r="E21" s="9">
        <v>6.875</v>
      </c>
      <c r="F21" s="16">
        <v>1</v>
      </c>
      <c r="G21" s="25" t="s">
        <v>65</v>
      </c>
      <c r="H21" s="23" t="str">
        <f>HYPERLINK("#G21",CHAR(128))</f>
        <v>€</v>
      </c>
    </row>
    <row r="22" spans="1:10" x14ac:dyDescent="0.45">
      <c r="A22" s="5" t="s">
        <v>122</v>
      </c>
      <c r="B22" s="37" t="s">
        <v>31</v>
      </c>
      <c r="C22" s="37"/>
      <c r="D22" s="37"/>
      <c r="E22" s="4">
        <v>6748</v>
      </c>
      <c r="F22" s="4">
        <v>1</v>
      </c>
      <c r="G22" s="25" t="s">
        <v>65</v>
      </c>
      <c r="H22" s="23" t="str">
        <f>HYPERLINK("#G22",CHAR(128))</f>
        <v>€</v>
      </c>
    </row>
    <row r="23" spans="1:10" x14ac:dyDescent="0.45">
      <c r="A23" s="2" t="s">
        <v>123</v>
      </c>
      <c r="B23" s="38" t="s">
        <v>48</v>
      </c>
      <c r="C23" s="38"/>
      <c r="D23" s="38"/>
      <c r="E23" s="1">
        <v>6434</v>
      </c>
      <c r="F23" s="16">
        <v>1</v>
      </c>
      <c r="G23" s="25" t="s">
        <v>65</v>
      </c>
      <c r="H23" s="22" t="str">
        <f>HYPERLINK("#G23",CHAR(128))</f>
        <v>€</v>
      </c>
    </row>
    <row r="24" spans="1:10" x14ac:dyDescent="0.45">
      <c r="A24" s="5" t="s">
        <v>125</v>
      </c>
      <c r="B24" s="37" t="s">
        <v>32</v>
      </c>
      <c r="C24" s="37"/>
      <c r="D24" s="37"/>
      <c r="E24" s="4" t="s">
        <v>124</v>
      </c>
      <c r="F24" s="4">
        <v>1</v>
      </c>
      <c r="G24" s="25" t="s">
        <v>65</v>
      </c>
      <c r="H24" s="22" t="str">
        <f>HYPERLINK("#G24",CHAR(128))</f>
        <v>€</v>
      </c>
    </row>
    <row r="25" spans="1:10" x14ac:dyDescent="0.45">
      <c r="A25" s="2"/>
      <c r="B25" s="38"/>
      <c r="C25" s="38"/>
      <c r="D25" s="38"/>
      <c r="E25" s="1"/>
      <c r="F25" s="16"/>
      <c r="G25" s="16"/>
      <c r="H25" s="14"/>
      <c r="I25" s="12"/>
    </row>
    <row r="26" spans="1:10" x14ac:dyDescent="0.45">
      <c r="A26" s="5"/>
      <c r="B26" s="37" t="s">
        <v>37</v>
      </c>
      <c r="C26" s="37"/>
      <c r="D26" s="37"/>
      <c r="E26" s="4" t="str">
        <f>C2</f>
        <v>Thomas</v>
      </c>
      <c r="F26" s="4">
        <v>1</v>
      </c>
      <c r="G26" s="25" t="s">
        <v>45</v>
      </c>
      <c r="H26" s="24" t="str">
        <f>HYPERLINK("#G26",CHAR(128))</f>
        <v>€</v>
      </c>
    </row>
    <row r="27" spans="1:10" x14ac:dyDescent="0.45">
      <c r="G27" s="52" t="s">
        <v>126</v>
      </c>
    </row>
    <row r="28" spans="1:10" x14ac:dyDescent="0.45">
      <c r="G28" s="53"/>
      <c r="J28" s="18"/>
    </row>
    <row r="29" spans="1:10" x14ac:dyDescent="0.45">
      <c r="A29" s="20"/>
      <c r="B29" s="36" t="s">
        <v>50</v>
      </c>
      <c r="C29" s="36"/>
      <c r="D29" s="36"/>
      <c r="E29" s="20" t="s">
        <v>8</v>
      </c>
      <c r="F29" s="20" t="s">
        <v>35</v>
      </c>
      <c r="G29" s="21" t="s">
        <v>36</v>
      </c>
    </row>
    <row r="30" spans="1:10" x14ac:dyDescent="0.45">
      <c r="A30" s="3"/>
      <c r="B30" s="37"/>
      <c r="C30" s="37"/>
      <c r="D30" s="37"/>
      <c r="E30" s="4"/>
      <c r="F30" s="10">
        <v>1</v>
      </c>
      <c r="G30" s="17"/>
      <c r="H30" s="19" t="str">
        <f>HYPERLINK("#G30",CHAR(128))</f>
        <v>€</v>
      </c>
    </row>
    <row r="31" spans="1:10" x14ac:dyDescent="0.45">
      <c r="A31" s="2"/>
      <c r="B31" s="38"/>
      <c r="C31" s="38"/>
      <c r="D31" s="38"/>
      <c r="E31" s="1"/>
      <c r="F31" s="16">
        <v>1</v>
      </c>
      <c r="G31" s="26"/>
      <c r="H31" s="19" t="str">
        <f>HYPERLINK("#G31",CHAR(128))</f>
        <v>€</v>
      </c>
    </row>
    <row r="32" spans="1:10" x14ac:dyDescent="0.45">
      <c r="A32" s="3"/>
      <c r="B32" s="37"/>
      <c r="C32" s="37"/>
      <c r="D32" s="37"/>
      <c r="E32" s="4"/>
      <c r="F32" s="4">
        <v>1</v>
      </c>
      <c r="G32" s="27"/>
      <c r="H32" s="19" t="str">
        <f>HYPERLINK("#G32",CHAR(128))</f>
        <v>€</v>
      </c>
    </row>
    <row r="33" spans="1:8" x14ac:dyDescent="0.45">
      <c r="A33" s="2"/>
      <c r="B33" s="38"/>
      <c r="C33" s="38"/>
      <c r="D33" s="38"/>
      <c r="E33" s="1"/>
      <c r="F33" s="16">
        <v>1</v>
      </c>
      <c r="G33" s="26"/>
      <c r="H33" s="19" t="str">
        <f>HYPERLINK("#G33",CHAR(128))</f>
        <v>€</v>
      </c>
    </row>
    <row r="34" spans="1:8" x14ac:dyDescent="0.45">
      <c r="A34" s="3"/>
      <c r="B34" s="37"/>
      <c r="C34" s="37"/>
      <c r="D34" s="37"/>
      <c r="E34" s="4"/>
      <c r="F34" s="4">
        <v>1</v>
      </c>
      <c r="G34" s="27"/>
      <c r="H34" s="19" t="str">
        <f>HYPERLINK("#G34",CHAR(128))</f>
        <v>€</v>
      </c>
    </row>
    <row r="37" spans="1:8" x14ac:dyDescent="0.45">
      <c r="A37" t="s">
        <v>40</v>
      </c>
      <c r="B37" t="s">
        <v>7</v>
      </c>
      <c r="C37" t="s">
        <v>67</v>
      </c>
      <c r="D37" t="s">
        <v>69</v>
      </c>
    </row>
  </sheetData>
  <mergeCells count="38">
    <mergeCell ref="G27:G28"/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14 G21:G26 G16:G19">
    <cfRule type="cellIs" dxfId="26" priority="2" operator="equal">
      <formula>"Returned"</formula>
    </cfRule>
    <cfRule type="cellIs" dxfId="25" priority="5" operator="equal">
      <formula>"Ready To Order"</formula>
    </cfRule>
    <cfRule type="cellIs" dxfId="24" priority="6" operator="equal">
      <formula>"UNP"</formula>
    </cfRule>
    <cfRule type="containsText" dxfId="23" priority="7" operator="containsText" text="Ordered">
      <formula>NOT(ISERROR(SEARCH("Ordered",G6)))</formula>
    </cfRule>
    <cfRule type="containsText" dxfId="22" priority="8" operator="containsText" text="Pick Up">
      <formula>NOT(ISERROR(SEARCH("Pick Up",G6)))</formula>
    </cfRule>
    <cfRule type="containsText" dxfId="21" priority="9" operator="containsText" text="Complete">
      <formula>NOT(ISERROR(SEARCH("Complete",G6)))</formula>
    </cfRule>
  </conditionalFormatting>
  <conditionalFormatting sqref="G30:G33">
    <cfRule type="containsText" dxfId="20" priority="4" operator="containsText" text="Given">
      <formula>NOT(ISERROR(SEARCH("Given",G30)))</formula>
    </cfRule>
  </conditionalFormatting>
  <conditionalFormatting sqref="G30:G34">
    <cfRule type="containsText" dxfId="19" priority="3" operator="containsText" text="Returned">
      <formula>NOT(ISERROR(SEARCH("Returned",G30)))</formula>
    </cfRule>
  </conditionalFormatting>
  <conditionalFormatting sqref="G6:G14 G21:G26 G16:G19">
    <cfRule type="cellIs" dxfId="18" priority="1" operator="equal">
      <formula>"In Stock"</formula>
    </cfRule>
  </conditionalFormatting>
  <dataValidations count="3">
    <dataValidation type="list" allowBlank="1" showInputMessage="1" showErrorMessage="1" sqref="G30:G34" xr:uid="{EB1830CB-3AD6-47FB-A03B-78E7F82FA12F}">
      <formula1>"--,Returned, Given"</formula1>
    </dataValidation>
    <dataValidation type="list" allowBlank="1" showInputMessage="1" showErrorMessage="1" sqref="G16:G19 G21:G24 G26 G6:G14" xr:uid="{52136314-50FE-42D5-B550-73849E6200B1}">
      <formula1>"UNP, Ready To Order, Ordered, In Stock, Pick Up, Complete, Returned"</formula1>
    </dataValidation>
    <dataValidation type="decimal" allowBlank="1" showInputMessage="1" showErrorMessage="1" sqref="L2" xr:uid="{908C3F30-6FB3-44BF-A4BB-E73BAFABB747}">
      <formula1>19</formula1>
      <formula2>26</formula2>
    </dataValidation>
  </dataValidations>
  <hyperlinks>
    <hyperlink ref="A1:A2" location="Menu!A1" display="Back to Menu" xr:uid="{504A2FCB-9FA9-4499-A6F6-EC55BD293351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873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9525</xdr:colOff>
                    <xdr:row>10</xdr:row>
                    <xdr:rowOff>200025</xdr:rowOff>
                  </from>
                  <to>
                    <xdr:col>12</xdr:col>
                    <xdr:colOff>9525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74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204788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75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28575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76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600075</xdr:colOff>
                    <xdr:row>32</xdr:row>
                    <xdr:rowOff>166688</xdr:rowOff>
                  </from>
                  <to>
                    <xdr:col>12</xdr:col>
                    <xdr:colOff>0</xdr:colOff>
                    <xdr:row>33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77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600075</xdr:colOff>
                    <xdr:row>30</xdr:row>
                    <xdr:rowOff>176213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78" r:id="rId8" name="Button 6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176213</xdr:rowOff>
                  </from>
                  <to>
                    <xdr:col>12</xdr:col>
                    <xdr:colOff>9525</xdr:colOff>
                    <xdr:row>26</xdr:row>
                    <xdr:rowOff>109538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39789-564E-4C85-96C8-3D856731E567}">
  <sheetPr codeName="Sheet8"/>
  <dimension ref="A1:L37"/>
  <sheetViews>
    <sheetView workbookViewId="0">
      <selection activeCell="E11" sqref="E11"/>
    </sheetView>
  </sheetViews>
  <sheetFormatPr defaultRowHeight="14.25" x14ac:dyDescent="0.45"/>
  <cols>
    <col min="1" max="1" width="18.46484375" customWidth="1"/>
    <col min="3" max="3" width="9.1328125" customWidth="1"/>
    <col min="4" max="4" width="10" customWidth="1"/>
    <col min="5" max="5" width="15.59765625" customWidth="1"/>
    <col min="7" max="7" width="16.59765625" customWidth="1"/>
    <col min="8" max="8" width="2.3984375" customWidth="1"/>
    <col min="11" max="11" width="12" customWidth="1"/>
    <col min="12" max="12" width="13" customWidth="1"/>
  </cols>
  <sheetData>
    <row r="1" spans="1:12" x14ac:dyDescent="0.45">
      <c r="A1" s="44" t="s">
        <v>42</v>
      </c>
      <c r="B1" s="20" t="s">
        <v>3</v>
      </c>
      <c r="C1" s="36" t="s">
        <v>0</v>
      </c>
      <c r="D1" s="36"/>
      <c r="E1" s="36" t="s">
        <v>2</v>
      </c>
      <c r="F1" s="36"/>
      <c r="G1" s="20" t="s">
        <v>34</v>
      </c>
      <c r="K1" s="20" t="s">
        <v>38</v>
      </c>
      <c r="L1" s="20" t="s">
        <v>10</v>
      </c>
    </row>
    <row r="2" spans="1:12" x14ac:dyDescent="0.45">
      <c r="A2" s="45"/>
      <c r="B2" s="2" t="s">
        <v>43</v>
      </c>
      <c r="C2" s="38" t="s">
        <v>72</v>
      </c>
      <c r="D2" s="38"/>
      <c r="E2" s="38" t="s">
        <v>130</v>
      </c>
      <c r="F2" s="38"/>
      <c r="G2" s="1" t="s">
        <v>131</v>
      </c>
      <c r="K2" s="4" t="s">
        <v>9</v>
      </c>
      <c r="L2" s="4">
        <v>22</v>
      </c>
    </row>
    <row r="3" spans="1:12" x14ac:dyDescent="0.45">
      <c r="A3" s="20" t="s">
        <v>1</v>
      </c>
      <c r="B3" s="46" t="s">
        <v>4</v>
      </c>
      <c r="C3" s="47"/>
      <c r="D3" s="48"/>
      <c r="E3" s="46" t="s">
        <v>49</v>
      </c>
      <c r="F3" s="48"/>
      <c r="G3" s="20" t="s">
        <v>5</v>
      </c>
      <c r="K3" s="1" t="s">
        <v>11</v>
      </c>
      <c r="L3" s="1">
        <v>15.7</v>
      </c>
    </row>
    <row r="4" spans="1:12" x14ac:dyDescent="0.45">
      <c r="A4" s="1" t="s">
        <v>39</v>
      </c>
      <c r="B4" s="43">
        <v>7345806215</v>
      </c>
      <c r="C4" s="43"/>
      <c r="D4" s="43"/>
      <c r="E4" s="38" t="s">
        <v>52</v>
      </c>
      <c r="F4" s="38"/>
      <c r="G4" s="1" t="s">
        <v>44</v>
      </c>
      <c r="K4" s="4" t="s">
        <v>12</v>
      </c>
      <c r="L4" s="4">
        <v>53.1</v>
      </c>
    </row>
    <row r="5" spans="1:12" x14ac:dyDescent="0.45">
      <c r="A5" s="20" t="s">
        <v>6</v>
      </c>
      <c r="B5" s="36" t="s">
        <v>7</v>
      </c>
      <c r="C5" s="36"/>
      <c r="D5" s="36"/>
      <c r="E5" s="20" t="s">
        <v>8</v>
      </c>
      <c r="F5" s="20" t="s">
        <v>35</v>
      </c>
      <c r="G5" s="20" t="s">
        <v>36</v>
      </c>
      <c r="K5" s="1" t="s">
        <v>13</v>
      </c>
      <c r="L5" s="1">
        <v>59.4</v>
      </c>
    </row>
    <row r="6" spans="1:12" x14ac:dyDescent="0.45">
      <c r="A6" s="3" t="s">
        <v>132</v>
      </c>
      <c r="B6" s="37" t="s">
        <v>18</v>
      </c>
      <c r="C6" s="37"/>
      <c r="D6" s="37"/>
      <c r="E6" s="4">
        <v>7054</v>
      </c>
      <c r="F6" s="4">
        <v>1</v>
      </c>
      <c r="G6" s="25" t="s">
        <v>65</v>
      </c>
      <c r="H6" s="28" t="str">
        <f>HYPERLINK("#G6",CHAR(128))</f>
        <v>€</v>
      </c>
      <c r="K6" s="4" t="s">
        <v>14</v>
      </c>
      <c r="L6" s="4">
        <v>53.5</v>
      </c>
    </row>
    <row r="7" spans="1:12" x14ac:dyDescent="0.45">
      <c r="A7" s="2" t="s">
        <v>134</v>
      </c>
      <c r="B7" s="38" t="s">
        <v>21</v>
      </c>
      <c r="C7" s="38"/>
      <c r="D7" s="38"/>
      <c r="E7" s="1" t="s">
        <v>133</v>
      </c>
      <c r="F7" s="16">
        <v>1</v>
      </c>
      <c r="G7" s="25" t="s">
        <v>65</v>
      </c>
      <c r="H7" s="28" t="str">
        <f>HYPERLINK("#G7",CHAR(128))</f>
        <v>€</v>
      </c>
      <c r="K7" s="1" t="s">
        <v>15</v>
      </c>
      <c r="L7" s="1">
        <v>57.6</v>
      </c>
    </row>
    <row r="8" spans="1:12" x14ac:dyDescent="0.45">
      <c r="A8" s="3" t="s">
        <v>74</v>
      </c>
      <c r="B8" s="37" t="s">
        <v>19</v>
      </c>
      <c r="C8" s="37"/>
      <c r="D8" s="37"/>
      <c r="E8" s="57" t="s">
        <v>60</v>
      </c>
      <c r="F8" s="4">
        <v>1</v>
      </c>
      <c r="G8" s="25" t="s">
        <v>45</v>
      </c>
      <c r="H8" s="28" t="str">
        <f>HYPERLINK("#G8",CHAR(128))</f>
        <v>€</v>
      </c>
      <c r="K8" s="4" t="s">
        <v>16</v>
      </c>
      <c r="L8" s="4">
        <v>240.8</v>
      </c>
    </row>
    <row r="9" spans="1:12" x14ac:dyDescent="0.45">
      <c r="A9" s="2" t="s">
        <v>75</v>
      </c>
      <c r="B9" s="38" t="s">
        <v>20</v>
      </c>
      <c r="C9" s="38"/>
      <c r="D9" s="38"/>
      <c r="E9" s="1">
        <v>7060</v>
      </c>
      <c r="F9" s="16">
        <v>1</v>
      </c>
      <c r="G9" s="25" t="s">
        <v>65</v>
      </c>
      <c r="H9" s="28" t="str">
        <f>HYPERLINK("#G9",CHAR(128))</f>
        <v>€</v>
      </c>
      <c r="I9" s="11"/>
      <c r="K9" s="1" t="s">
        <v>17</v>
      </c>
      <c r="L9" s="1">
        <v>111.6</v>
      </c>
    </row>
    <row r="10" spans="1:12" x14ac:dyDescent="0.45">
      <c r="A10" s="3" t="s">
        <v>135</v>
      </c>
      <c r="B10" s="37" t="s">
        <v>24</v>
      </c>
      <c r="C10" s="37"/>
      <c r="D10" s="37"/>
      <c r="E10" s="8">
        <v>7</v>
      </c>
      <c r="F10" s="4">
        <v>1</v>
      </c>
      <c r="G10" s="25" t="s">
        <v>65</v>
      </c>
      <c r="H10" s="28" t="str">
        <f>HYPERLINK("#G10",CHAR(128))</f>
        <v>€</v>
      </c>
      <c r="K10" s="15" t="s">
        <v>47</v>
      </c>
      <c r="L10" s="15">
        <v>9.6999999999999993</v>
      </c>
    </row>
    <row r="11" spans="1:12" x14ac:dyDescent="0.45">
      <c r="A11" s="2" t="s">
        <v>63</v>
      </c>
      <c r="B11" s="38" t="s">
        <v>23</v>
      </c>
      <c r="C11" s="38"/>
      <c r="D11" s="38"/>
      <c r="E11" s="1" t="s">
        <v>62</v>
      </c>
      <c r="F11" s="16">
        <v>1</v>
      </c>
      <c r="G11" s="25" t="s">
        <v>65</v>
      </c>
      <c r="H11" s="28" t="str">
        <f>HYPERLINK("#G11",CHAR(128))</f>
        <v>€</v>
      </c>
    </row>
    <row r="12" spans="1:12" x14ac:dyDescent="0.45">
      <c r="A12" s="5"/>
      <c r="B12" s="37" t="s">
        <v>25</v>
      </c>
      <c r="C12" s="37"/>
      <c r="D12" s="37"/>
      <c r="E12" s="4"/>
      <c r="F12" s="4">
        <v>1</v>
      </c>
      <c r="G12" s="25" t="s">
        <v>45</v>
      </c>
      <c r="H12" s="28" t="str">
        <f>HYPERLINK("#G12",CHAR(128))</f>
        <v>€</v>
      </c>
    </row>
    <row r="13" spans="1:12" x14ac:dyDescent="0.45">
      <c r="A13" s="2" t="s">
        <v>95</v>
      </c>
      <c r="B13" s="38" t="s">
        <v>26</v>
      </c>
      <c r="C13" s="38"/>
      <c r="D13" s="38"/>
      <c r="E13" s="1" t="s">
        <v>60</v>
      </c>
      <c r="F13" s="16">
        <v>1</v>
      </c>
      <c r="G13" s="25" t="s">
        <v>65</v>
      </c>
      <c r="H13" s="28" t="str">
        <f>HYPERLINK("#G13",CHAR(128))</f>
        <v>€</v>
      </c>
    </row>
    <row r="14" spans="1:12" x14ac:dyDescent="0.45">
      <c r="A14" s="5" t="s">
        <v>137</v>
      </c>
      <c r="B14" s="37" t="s">
        <v>27</v>
      </c>
      <c r="C14" s="37"/>
      <c r="D14" s="37"/>
      <c r="E14" s="4" t="s">
        <v>136</v>
      </c>
      <c r="F14" s="4">
        <v>1</v>
      </c>
      <c r="G14" s="25" t="s">
        <v>65</v>
      </c>
      <c r="H14" s="28" t="str">
        <f>HYPERLINK("#G14",CHAR(128))</f>
        <v>€</v>
      </c>
    </row>
    <row r="15" spans="1:12" x14ac:dyDescent="0.45">
      <c r="A15" s="2"/>
      <c r="B15" s="39"/>
      <c r="C15" s="39"/>
      <c r="D15" s="39"/>
      <c r="E15" s="1"/>
      <c r="F15" s="16"/>
      <c r="G15" s="16"/>
      <c r="H15" s="14"/>
    </row>
    <row r="16" spans="1:12" x14ac:dyDescent="0.45">
      <c r="A16" s="5" t="s">
        <v>46</v>
      </c>
      <c r="B16" s="37" t="s">
        <v>28</v>
      </c>
      <c r="C16" s="37"/>
      <c r="D16" s="37"/>
      <c r="E16" s="4" t="s">
        <v>51</v>
      </c>
      <c r="F16" s="4">
        <v>1</v>
      </c>
      <c r="G16" s="25" t="s">
        <v>65</v>
      </c>
      <c r="H16" s="23" t="str">
        <f>HYPERLINK("#G16",CHAR(128))</f>
        <v>€</v>
      </c>
    </row>
    <row r="17" spans="1:10" x14ac:dyDescent="0.45">
      <c r="A17" s="2" t="s">
        <v>138</v>
      </c>
      <c r="B17" s="38" t="s">
        <v>22</v>
      </c>
      <c r="C17" s="38"/>
      <c r="D17" s="38"/>
      <c r="E17" s="1" t="s">
        <v>109</v>
      </c>
      <c r="F17" s="16">
        <v>1</v>
      </c>
      <c r="G17" s="25" t="s">
        <v>65</v>
      </c>
      <c r="H17" s="23" t="str">
        <f>HYPERLINK("#G17",CHAR(128))</f>
        <v>€</v>
      </c>
    </row>
    <row r="18" spans="1:10" x14ac:dyDescent="0.45">
      <c r="A18" s="5" t="s">
        <v>98</v>
      </c>
      <c r="B18" s="37" t="s">
        <v>29</v>
      </c>
      <c r="C18" s="37"/>
      <c r="D18" s="37"/>
      <c r="E18" s="4">
        <v>7656</v>
      </c>
      <c r="F18" s="4">
        <v>1</v>
      </c>
      <c r="G18" s="25" t="s">
        <v>65</v>
      </c>
      <c r="H18" s="23" t="str">
        <f>HYPERLINK("#G18",CHAR(128))</f>
        <v>€</v>
      </c>
    </row>
    <row r="19" spans="1:10" x14ac:dyDescent="0.45">
      <c r="A19" s="2" t="s">
        <v>100</v>
      </c>
      <c r="B19" s="38" t="s">
        <v>30</v>
      </c>
      <c r="C19" s="38"/>
      <c r="D19" s="38"/>
      <c r="E19" s="1" t="s">
        <v>99</v>
      </c>
      <c r="F19" s="16">
        <v>1</v>
      </c>
      <c r="G19" s="25" t="s">
        <v>65</v>
      </c>
      <c r="H19" s="23" t="str">
        <f>HYPERLINK("#G19",CHAR(128))</f>
        <v>€</v>
      </c>
    </row>
    <row r="20" spans="1:10" x14ac:dyDescent="0.45">
      <c r="A20" s="5"/>
      <c r="B20" s="40"/>
      <c r="C20" s="41"/>
      <c r="D20" s="42"/>
      <c r="E20" s="4"/>
      <c r="F20" s="4"/>
      <c r="G20" s="4"/>
      <c r="H20" s="14"/>
    </row>
    <row r="21" spans="1:10" x14ac:dyDescent="0.45">
      <c r="A21" s="2" t="s">
        <v>139</v>
      </c>
      <c r="B21" s="38" t="s">
        <v>33</v>
      </c>
      <c r="C21" s="38"/>
      <c r="D21" s="38"/>
      <c r="E21" s="9">
        <v>7</v>
      </c>
      <c r="F21" s="16">
        <v>1</v>
      </c>
      <c r="G21" s="25" t="s">
        <v>65</v>
      </c>
      <c r="H21" s="23" t="str">
        <f>HYPERLINK("#G21",CHAR(128))</f>
        <v>€</v>
      </c>
    </row>
    <row r="22" spans="1:10" x14ac:dyDescent="0.45">
      <c r="A22" s="5"/>
      <c r="B22" s="37" t="s">
        <v>31</v>
      </c>
      <c r="C22" s="37"/>
      <c r="D22" s="37"/>
      <c r="E22" s="4"/>
      <c r="F22" s="4">
        <v>1</v>
      </c>
      <c r="G22" s="25" t="s">
        <v>45</v>
      </c>
      <c r="H22" s="23" t="str">
        <f>HYPERLINK("#G22",CHAR(128))</f>
        <v>€</v>
      </c>
    </row>
    <row r="23" spans="1:10" x14ac:dyDescent="0.45">
      <c r="A23" s="2"/>
      <c r="B23" s="38" t="s">
        <v>48</v>
      </c>
      <c r="C23" s="38"/>
      <c r="D23" s="38"/>
      <c r="E23" s="1"/>
      <c r="F23" s="16">
        <v>1</v>
      </c>
      <c r="G23" s="25" t="s">
        <v>45</v>
      </c>
      <c r="H23" s="22" t="str">
        <f>HYPERLINK("#G23",CHAR(128))</f>
        <v>€</v>
      </c>
    </row>
    <row r="24" spans="1:10" x14ac:dyDescent="0.45">
      <c r="A24" s="5" t="s">
        <v>125</v>
      </c>
      <c r="B24" s="37" t="s">
        <v>32</v>
      </c>
      <c r="C24" s="37"/>
      <c r="D24" s="37"/>
      <c r="E24" s="4" t="s">
        <v>124</v>
      </c>
      <c r="F24" s="4">
        <v>1</v>
      </c>
      <c r="G24" s="25" t="s">
        <v>65</v>
      </c>
      <c r="H24" s="22" t="str">
        <f>HYPERLINK("#G24",CHAR(128))</f>
        <v>€</v>
      </c>
    </row>
    <row r="25" spans="1:10" x14ac:dyDescent="0.45">
      <c r="A25" s="2"/>
      <c r="B25" s="38"/>
      <c r="C25" s="38"/>
      <c r="D25" s="38"/>
      <c r="E25" s="1"/>
      <c r="F25" s="16"/>
      <c r="G25" s="16"/>
      <c r="H25" s="14"/>
      <c r="I25" s="12"/>
    </row>
    <row r="26" spans="1:10" x14ac:dyDescent="0.45">
      <c r="A26" s="5"/>
      <c r="B26" s="37" t="s">
        <v>37</v>
      </c>
      <c r="C26" s="37"/>
      <c r="D26" s="37"/>
      <c r="E26" s="4" t="str">
        <f>C2</f>
        <v>Anderson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45">
      <c r="J28" s="18"/>
    </row>
    <row r="29" spans="1:10" x14ac:dyDescent="0.45">
      <c r="A29" s="20"/>
      <c r="B29" s="36" t="s">
        <v>50</v>
      </c>
      <c r="C29" s="36"/>
      <c r="D29" s="36"/>
      <c r="E29" s="20" t="s">
        <v>8</v>
      </c>
      <c r="F29" s="20" t="s">
        <v>35</v>
      </c>
      <c r="G29" s="21" t="s">
        <v>36</v>
      </c>
    </row>
    <row r="30" spans="1:10" x14ac:dyDescent="0.45">
      <c r="A30" s="3"/>
      <c r="B30" s="37"/>
      <c r="C30" s="37"/>
      <c r="D30" s="37"/>
      <c r="E30" s="4"/>
      <c r="F30" s="10">
        <v>1</v>
      </c>
      <c r="G30" s="17"/>
      <c r="H30" s="19" t="str">
        <f>HYPERLINK("#G30",CHAR(128))</f>
        <v>€</v>
      </c>
    </row>
    <row r="31" spans="1:10" x14ac:dyDescent="0.45">
      <c r="A31" s="2"/>
      <c r="B31" s="38"/>
      <c r="C31" s="38"/>
      <c r="D31" s="38"/>
      <c r="E31" s="1"/>
      <c r="F31" s="16">
        <v>1</v>
      </c>
      <c r="G31" s="26"/>
      <c r="H31" s="19" t="str">
        <f>HYPERLINK("#G31",CHAR(128))</f>
        <v>€</v>
      </c>
    </row>
    <row r="32" spans="1:10" x14ac:dyDescent="0.45">
      <c r="A32" s="3"/>
      <c r="B32" s="37"/>
      <c r="C32" s="37"/>
      <c r="D32" s="37"/>
      <c r="E32" s="4"/>
      <c r="F32" s="4">
        <v>1</v>
      </c>
      <c r="G32" s="27"/>
      <c r="H32" s="19" t="str">
        <f>HYPERLINK("#G32",CHAR(128))</f>
        <v>€</v>
      </c>
    </row>
    <row r="33" spans="1:8" x14ac:dyDescent="0.45">
      <c r="A33" s="2"/>
      <c r="B33" s="38"/>
      <c r="C33" s="38"/>
      <c r="D33" s="38"/>
      <c r="E33" s="1"/>
      <c r="F33" s="16">
        <v>1</v>
      </c>
      <c r="G33" s="26"/>
      <c r="H33" s="19" t="str">
        <f>HYPERLINK("#G33",CHAR(128))</f>
        <v>€</v>
      </c>
    </row>
    <row r="34" spans="1:8" x14ac:dyDescent="0.45">
      <c r="A34" s="3"/>
      <c r="B34" s="37"/>
      <c r="C34" s="37"/>
      <c r="D34" s="37"/>
      <c r="E34" s="4"/>
      <c r="F34" s="4">
        <v>1</v>
      </c>
      <c r="G34" s="27"/>
      <c r="H34" s="19" t="str">
        <f>HYPERLINK("#G34",CHAR(128))</f>
        <v>€</v>
      </c>
    </row>
    <row r="37" spans="1:8" x14ac:dyDescent="0.45">
      <c r="A37" t="s">
        <v>40</v>
      </c>
      <c r="B37" t="s">
        <v>7</v>
      </c>
      <c r="C37" t="s">
        <v>67</v>
      </c>
      <c r="D37" t="s">
        <v>69</v>
      </c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14 G21:G26 G16:G19">
    <cfRule type="cellIs" dxfId="8" priority="2" operator="equal">
      <formula>"Returned"</formula>
    </cfRule>
    <cfRule type="cellIs" dxfId="7" priority="5" operator="equal">
      <formula>"Ready To Order"</formula>
    </cfRule>
    <cfRule type="cellIs" dxfId="6" priority="6" operator="equal">
      <formula>"UNP"</formula>
    </cfRule>
    <cfRule type="containsText" dxfId="5" priority="7" operator="containsText" text="Ordered">
      <formula>NOT(ISERROR(SEARCH("Ordered",G6)))</formula>
    </cfRule>
    <cfRule type="containsText" dxfId="4" priority="8" operator="containsText" text="Pick Up">
      <formula>NOT(ISERROR(SEARCH("Pick Up",G6)))</formula>
    </cfRule>
    <cfRule type="containsText" dxfId="3" priority="9" operator="containsText" text="Complete">
      <formula>NOT(ISERROR(SEARCH("Complete",G6)))</formula>
    </cfRule>
  </conditionalFormatting>
  <conditionalFormatting sqref="G30:G33">
    <cfRule type="containsText" dxfId="2" priority="4" operator="containsText" text="Given">
      <formula>NOT(ISERROR(SEARCH("Given",G30)))</formula>
    </cfRule>
  </conditionalFormatting>
  <conditionalFormatting sqref="G30:G34">
    <cfRule type="containsText" dxfId="1" priority="3" operator="containsText" text="Returned">
      <formula>NOT(ISERROR(SEARCH("Returned",G30)))</formula>
    </cfRule>
  </conditionalFormatting>
  <conditionalFormatting sqref="G6:G14 G21:G26 G16:G19">
    <cfRule type="cellIs" dxfId="0" priority="1" operator="equal">
      <formula>"In Stock"</formula>
    </cfRule>
  </conditionalFormatting>
  <dataValidations count="3">
    <dataValidation type="list" allowBlank="1" showInputMessage="1" showErrorMessage="1" sqref="G30:G34" xr:uid="{6ACC78A7-261D-44AD-975B-01963BB8DD89}">
      <formula1>"--,Returned, Given"</formula1>
    </dataValidation>
    <dataValidation type="list" allowBlank="1" showInputMessage="1" showErrorMessage="1" sqref="G16:G19 G21:G24 G26 G6:G14" xr:uid="{109F5442-D4A2-4D82-8D7C-2E6A14EA8321}">
      <formula1>"UNP, Ready To Order, Ordered, In Stock, Pick Up, Complete, Returned"</formula1>
    </dataValidation>
    <dataValidation type="decimal" allowBlank="1" showInputMessage="1" showErrorMessage="1" sqref="L2" xr:uid="{F51527CC-0894-4DF2-B174-D5C13B55F690}">
      <formula1>19</formula1>
      <formula2>26</formula2>
    </dataValidation>
  </dataValidations>
  <hyperlinks>
    <hyperlink ref="A1:A2" location="Menu!A1" display="Back to Menu" xr:uid="{0CEE4971-FA6F-4AE9-A7CB-677F13288FE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897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9525</xdr:colOff>
                    <xdr:row>10</xdr:row>
                    <xdr:rowOff>200025</xdr:rowOff>
                  </from>
                  <to>
                    <xdr:col>12</xdr:col>
                    <xdr:colOff>9525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98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204788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99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28575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00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600075</xdr:colOff>
                    <xdr:row>32</xdr:row>
                    <xdr:rowOff>166688</xdr:rowOff>
                  </from>
                  <to>
                    <xdr:col>12</xdr:col>
                    <xdr:colOff>0</xdr:colOff>
                    <xdr:row>33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01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600075</xdr:colOff>
                    <xdr:row>30</xdr:row>
                    <xdr:rowOff>176213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02" r:id="rId8" name="Button 6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176213</xdr:rowOff>
                  </from>
                  <to>
                    <xdr:col>12</xdr:col>
                    <xdr:colOff>9525</xdr:colOff>
                    <xdr:row>26</xdr:row>
                    <xdr:rowOff>109538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21E3-E0E8-4923-A85D-C119C4FF25D4}">
  <sheetPr codeName="Sheet1"/>
  <dimension ref="A1:N37"/>
  <sheetViews>
    <sheetView zoomScaleNormal="100" workbookViewId="0">
      <selection sqref="A1:L38"/>
    </sheetView>
  </sheetViews>
  <sheetFormatPr defaultRowHeight="14.25" x14ac:dyDescent="0.45"/>
  <cols>
    <col min="1" max="1" width="18.53125" customWidth="1"/>
    <col min="3" max="3" width="9.46484375" customWidth="1"/>
    <col min="4" max="4" width="10.796875" customWidth="1"/>
    <col min="5" max="5" width="14.33203125" customWidth="1"/>
    <col min="7" max="7" width="16.53125" customWidth="1"/>
    <col min="8" max="9" width="10.46484375" customWidth="1"/>
    <col min="11" max="11" width="12.1328125" customWidth="1"/>
    <col min="12" max="12" width="13.1328125" customWidth="1"/>
  </cols>
  <sheetData>
    <row r="1" spans="1:12" ht="17.25" customHeight="1" x14ac:dyDescent="0.45">
      <c r="A1" s="44" t="s">
        <v>42</v>
      </c>
      <c r="B1" s="20" t="s">
        <v>3</v>
      </c>
      <c r="C1" s="36" t="s">
        <v>0</v>
      </c>
      <c r="D1" s="36"/>
      <c r="E1" s="36" t="s">
        <v>2</v>
      </c>
      <c r="F1" s="36"/>
      <c r="G1" s="20" t="s">
        <v>34</v>
      </c>
      <c r="K1" s="20" t="s">
        <v>38</v>
      </c>
      <c r="L1" s="20" t="s">
        <v>10</v>
      </c>
    </row>
    <row r="2" spans="1:12" ht="17.25" customHeight="1" x14ac:dyDescent="0.45">
      <c r="A2" s="45"/>
      <c r="B2" s="2"/>
      <c r="C2" s="38"/>
      <c r="D2" s="38"/>
      <c r="E2" s="38"/>
      <c r="F2" s="38"/>
      <c r="G2" s="1"/>
      <c r="K2" s="4" t="s">
        <v>9</v>
      </c>
      <c r="L2" s="4"/>
    </row>
    <row r="3" spans="1:12" ht="17.25" customHeight="1" x14ac:dyDescent="0.45">
      <c r="A3" s="20" t="s">
        <v>1</v>
      </c>
      <c r="B3" s="46" t="s">
        <v>4</v>
      </c>
      <c r="C3" s="47"/>
      <c r="D3" s="48"/>
      <c r="E3" s="46" t="s">
        <v>49</v>
      </c>
      <c r="F3" s="48"/>
      <c r="G3" s="20" t="s">
        <v>5</v>
      </c>
      <c r="K3" s="1" t="s">
        <v>11</v>
      </c>
      <c r="L3" s="1"/>
    </row>
    <row r="4" spans="1:12" ht="17.25" customHeight="1" x14ac:dyDescent="0.45">
      <c r="A4" s="1" t="s">
        <v>39</v>
      </c>
      <c r="B4" s="43"/>
      <c r="C4" s="43"/>
      <c r="D4" s="43"/>
      <c r="E4" s="38"/>
      <c r="F4" s="38"/>
      <c r="G4" s="1"/>
      <c r="K4" s="4" t="s">
        <v>12</v>
      </c>
      <c r="L4" s="4"/>
    </row>
    <row r="5" spans="1:12" ht="17.25" customHeight="1" x14ac:dyDescent="0.45">
      <c r="A5" s="20" t="s">
        <v>6</v>
      </c>
      <c r="B5" s="36" t="s">
        <v>7</v>
      </c>
      <c r="C5" s="36"/>
      <c r="D5" s="36"/>
      <c r="E5" s="20" t="s">
        <v>8</v>
      </c>
      <c r="F5" s="20" t="s">
        <v>35</v>
      </c>
      <c r="G5" s="20" t="s">
        <v>36</v>
      </c>
      <c r="K5" s="1" t="s">
        <v>13</v>
      </c>
      <c r="L5" s="1"/>
    </row>
    <row r="6" spans="1:12" ht="17.25" customHeight="1" x14ac:dyDescent="0.45">
      <c r="A6" s="3"/>
      <c r="B6" s="37" t="s">
        <v>18</v>
      </c>
      <c r="C6" s="37"/>
      <c r="D6" s="37"/>
      <c r="E6" s="4"/>
      <c r="F6" s="4">
        <v>1</v>
      </c>
      <c r="G6" s="25" t="s">
        <v>45</v>
      </c>
      <c r="H6" s="28" t="str">
        <f>HYPERLINK("#G6",CHAR(128))</f>
        <v>€</v>
      </c>
      <c r="K6" s="4" t="s">
        <v>14</v>
      </c>
      <c r="L6" s="4"/>
    </row>
    <row r="7" spans="1:12" ht="17.25" customHeight="1" x14ac:dyDescent="0.45">
      <c r="A7" s="2"/>
      <c r="B7" s="38" t="s">
        <v>21</v>
      </c>
      <c r="C7" s="38"/>
      <c r="D7" s="38"/>
      <c r="E7" s="1"/>
      <c r="F7" s="16">
        <v>1</v>
      </c>
      <c r="G7" s="25" t="s">
        <v>45</v>
      </c>
      <c r="H7" s="28" t="str">
        <f>HYPERLINK("#G7",CHAR(128))</f>
        <v>€</v>
      </c>
      <c r="K7" s="1" t="s">
        <v>15</v>
      </c>
      <c r="L7" s="1"/>
    </row>
    <row r="8" spans="1:12" ht="17.25" customHeight="1" x14ac:dyDescent="0.45">
      <c r="A8" s="3"/>
      <c r="B8" s="37" t="s">
        <v>19</v>
      </c>
      <c r="C8" s="37"/>
      <c r="D8" s="37"/>
      <c r="E8" s="4"/>
      <c r="F8" s="4">
        <v>1</v>
      </c>
      <c r="G8" s="25" t="s">
        <v>45</v>
      </c>
      <c r="H8" s="28" t="str">
        <f>HYPERLINK("#G8",CHAR(128))</f>
        <v>€</v>
      </c>
      <c r="K8" s="4" t="s">
        <v>16</v>
      </c>
      <c r="L8" s="4"/>
    </row>
    <row r="9" spans="1:12" ht="17.25" customHeight="1" x14ac:dyDescent="0.45">
      <c r="A9" s="2"/>
      <c r="B9" s="38" t="s">
        <v>20</v>
      </c>
      <c r="C9" s="38"/>
      <c r="D9" s="38"/>
      <c r="E9" s="1"/>
      <c r="F9" s="16">
        <v>1</v>
      </c>
      <c r="G9" s="25" t="s">
        <v>45</v>
      </c>
      <c r="H9" s="28" t="str">
        <f>HYPERLINK("#G9",CHAR(128))</f>
        <v>€</v>
      </c>
      <c r="I9" s="11"/>
      <c r="K9" s="1" t="s">
        <v>17</v>
      </c>
      <c r="L9" s="1"/>
    </row>
    <row r="10" spans="1:12" ht="17.25" customHeight="1" x14ac:dyDescent="0.45">
      <c r="A10" s="3"/>
      <c r="B10" s="37" t="s">
        <v>24</v>
      </c>
      <c r="C10" s="37"/>
      <c r="D10" s="37"/>
      <c r="E10" s="8"/>
      <c r="F10" s="4">
        <v>1</v>
      </c>
      <c r="G10" s="25" t="s">
        <v>45</v>
      </c>
      <c r="H10" s="28" t="str">
        <f>HYPERLINK("#G10",CHAR(128))</f>
        <v>€</v>
      </c>
      <c r="K10" s="15" t="s">
        <v>47</v>
      </c>
      <c r="L10" s="15"/>
    </row>
    <row r="11" spans="1:12" ht="17.25" customHeight="1" x14ac:dyDescent="0.45">
      <c r="A11" s="2"/>
      <c r="B11" s="38" t="s">
        <v>23</v>
      </c>
      <c r="C11" s="38"/>
      <c r="D11" s="38"/>
      <c r="E11" s="1"/>
      <c r="F11" s="16">
        <v>1</v>
      </c>
      <c r="G11" s="25" t="s">
        <v>45</v>
      </c>
      <c r="H11" s="28" t="str">
        <f>HYPERLINK("#G11",CHAR(128))</f>
        <v>€</v>
      </c>
    </row>
    <row r="12" spans="1:12" ht="17.25" customHeight="1" x14ac:dyDescent="0.45">
      <c r="A12" s="5"/>
      <c r="B12" s="37" t="s">
        <v>25</v>
      </c>
      <c r="C12" s="37"/>
      <c r="D12" s="37"/>
      <c r="E12" s="4"/>
      <c r="F12" s="4">
        <v>1</v>
      </c>
      <c r="G12" s="25" t="s">
        <v>45</v>
      </c>
      <c r="H12" s="28" t="str">
        <f>HYPERLINK("#G12",CHAR(128))</f>
        <v>€</v>
      </c>
    </row>
    <row r="13" spans="1:12" ht="17.25" customHeight="1" x14ac:dyDescent="0.45">
      <c r="A13" s="2"/>
      <c r="B13" s="38" t="s">
        <v>26</v>
      </c>
      <c r="C13" s="38"/>
      <c r="D13" s="38"/>
      <c r="E13" s="1"/>
      <c r="F13" s="16">
        <v>1</v>
      </c>
      <c r="G13" s="25" t="s">
        <v>45</v>
      </c>
      <c r="H13" s="28" t="str">
        <f>HYPERLINK("#G13",CHAR(128))</f>
        <v>€</v>
      </c>
    </row>
    <row r="14" spans="1:12" ht="17.25" customHeight="1" x14ac:dyDescent="0.45">
      <c r="A14" s="5"/>
      <c r="B14" s="37" t="s">
        <v>27</v>
      </c>
      <c r="C14" s="37"/>
      <c r="D14" s="37"/>
      <c r="E14" s="4"/>
      <c r="F14" s="4">
        <v>1</v>
      </c>
      <c r="G14" s="25" t="s">
        <v>45</v>
      </c>
      <c r="H14" s="28" t="str">
        <f>HYPERLINK("#G14",CHAR(128))</f>
        <v>€</v>
      </c>
    </row>
    <row r="15" spans="1:12" ht="17.25" customHeight="1" x14ac:dyDescent="0.45">
      <c r="A15" s="2"/>
      <c r="B15" s="39"/>
      <c r="C15" s="39"/>
      <c r="D15" s="39"/>
      <c r="E15" s="1"/>
      <c r="F15" s="16"/>
      <c r="G15" s="16"/>
      <c r="H15" s="14"/>
    </row>
    <row r="16" spans="1:12" ht="17.25" customHeight="1" x14ac:dyDescent="0.45">
      <c r="A16" s="5"/>
      <c r="B16" s="37" t="s">
        <v>28</v>
      </c>
      <c r="C16" s="37"/>
      <c r="D16" s="37"/>
      <c r="E16" s="4"/>
      <c r="F16" s="4">
        <v>1</v>
      </c>
      <c r="G16" s="25" t="s">
        <v>45</v>
      </c>
      <c r="H16" s="23" t="str">
        <f>HYPERLINK("#G16",CHAR(128))</f>
        <v>€</v>
      </c>
    </row>
    <row r="17" spans="1:14" ht="17.25" customHeight="1" x14ac:dyDescent="0.45">
      <c r="A17" s="2"/>
      <c r="B17" s="38" t="s">
        <v>22</v>
      </c>
      <c r="C17" s="38"/>
      <c r="D17" s="38"/>
      <c r="E17" s="1"/>
      <c r="F17" s="16">
        <v>1</v>
      </c>
      <c r="G17" s="25" t="s">
        <v>45</v>
      </c>
      <c r="H17" s="23" t="str">
        <f>HYPERLINK("#G17",CHAR(128))</f>
        <v>€</v>
      </c>
    </row>
    <row r="18" spans="1:14" ht="17.25" customHeight="1" x14ac:dyDescent="0.45">
      <c r="A18" s="5"/>
      <c r="B18" s="37" t="s">
        <v>29</v>
      </c>
      <c r="C18" s="37"/>
      <c r="D18" s="37"/>
      <c r="E18" s="4"/>
      <c r="F18" s="4">
        <v>1</v>
      </c>
      <c r="G18" s="25" t="s">
        <v>45</v>
      </c>
      <c r="H18" s="23" t="str">
        <f>HYPERLINK("#G18",CHAR(128))</f>
        <v>€</v>
      </c>
    </row>
    <row r="19" spans="1:14" ht="17.25" customHeight="1" x14ac:dyDescent="0.45">
      <c r="A19" s="2"/>
      <c r="B19" s="38" t="s">
        <v>30</v>
      </c>
      <c r="C19" s="38"/>
      <c r="D19" s="38"/>
      <c r="E19" s="1"/>
      <c r="F19" s="16">
        <v>1</v>
      </c>
      <c r="G19" s="25" t="s">
        <v>45</v>
      </c>
      <c r="H19" s="23" t="str">
        <f>HYPERLINK("#G19",CHAR(128))</f>
        <v>€</v>
      </c>
    </row>
    <row r="20" spans="1:14" ht="17.25" customHeight="1" x14ac:dyDescent="0.45">
      <c r="A20" s="5"/>
      <c r="B20" s="40"/>
      <c r="C20" s="41"/>
      <c r="D20" s="42"/>
      <c r="E20" s="4"/>
      <c r="F20" s="4"/>
      <c r="G20" s="4"/>
      <c r="H20" s="14"/>
    </row>
    <row r="21" spans="1:14" x14ac:dyDescent="0.45">
      <c r="A21" s="2"/>
      <c r="B21" s="38" t="s">
        <v>33</v>
      </c>
      <c r="C21" s="38"/>
      <c r="D21" s="38"/>
      <c r="E21" s="9"/>
      <c r="F21" s="16">
        <v>1</v>
      </c>
      <c r="G21" s="25" t="s">
        <v>45</v>
      </c>
      <c r="H21" s="23" t="str">
        <f>HYPERLINK("#G21",CHAR(128))</f>
        <v>€</v>
      </c>
    </row>
    <row r="22" spans="1:14" x14ac:dyDescent="0.45">
      <c r="A22" s="5"/>
      <c r="B22" s="37" t="s">
        <v>31</v>
      </c>
      <c r="C22" s="37"/>
      <c r="D22" s="37"/>
      <c r="E22" s="4"/>
      <c r="F22" s="4">
        <v>1</v>
      </c>
      <c r="G22" s="25" t="s">
        <v>45</v>
      </c>
      <c r="H22" s="23" t="str">
        <f>HYPERLINK("#G22",CHAR(128))</f>
        <v>€</v>
      </c>
      <c r="N22" s="2"/>
    </row>
    <row r="23" spans="1:14" x14ac:dyDescent="0.45">
      <c r="A23" s="2"/>
      <c r="B23" s="38" t="s">
        <v>48</v>
      </c>
      <c r="C23" s="38"/>
      <c r="D23" s="38"/>
      <c r="E23" s="1"/>
      <c r="F23" s="16">
        <v>1</v>
      </c>
      <c r="G23" s="25" t="s">
        <v>45</v>
      </c>
      <c r="H23" s="22" t="str">
        <f>HYPERLINK("#G23",CHAR(128))</f>
        <v>€</v>
      </c>
    </row>
    <row r="24" spans="1:14" x14ac:dyDescent="0.45">
      <c r="A24" s="5"/>
      <c r="B24" s="37" t="s">
        <v>32</v>
      </c>
      <c r="C24" s="37"/>
      <c r="D24" s="37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4" x14ac:dyDescent="0.45">
      <c r="A25" s="2"/>
      <c r="B25" s="38"/>
      <c r="C25" s="38"/>
      <c r="D25" s="38"/>
      <c r="E25" s="1"/>
      <c r="F25" s="16"/>
      <c r="G25" s="16"/>
      <c r="H25" s="14"/>
      <c r="I25" s="12"/>
    </row>
    <row r="26" spans="1:14" x14ac:dyDescent="0.45">
      <c r="A26" s="5"/>
      <c r="B26" s="37" t="s">
        <v>37</v>
      </c>
      <c r="C26" s="37"/>
      <c r="D26" s="37"/>
      <c r="E26" s="4">
        <f>C2</f>
        <v>0</v>
      </c>
      <c r="F26" s="4">
        <v>1</v>
      </c>
      <c r="G26" s="25" t="s">
        <v>45</v>
      </c>
      <c r="H26" s="24" t="str">
        <f>HYPERLINK("#G26",CHAR(128))</f>
        <v>€</v>
      </c>
    </row>
    <row r="28" spans="1:14" x14ac:dyDescent="0.45">
      <c r="J28" s="18"/>
    </row>
    <row r="29" spans="1:14" x14ac:dyDescent="0.45">
      <c r="A29" s="20"/>
      <c r="B29" s="36" t="s">
        <v>50</v>
      </c>
      <c r="C29" s="36"/>
      <c r="D29" s="36"/>
      <c r="E29" s="20" t="s">
        <v>8</v>
      </c>
      <c r="F29" s="20" t="s">
        <v>35</v>
      </c>
      <c r="G29" s="21" t="s">
        <v>36</v>
      </c>
    </row>
    <row r="30" spans="1:14" x14ac:dyDescent="0.45">
      <c r="A30" s="3"/>
      <c r="B30" s="37"/>
      <c r="C30" s="37"/>
      <c r="D30" s="37"/>
      <c r="E30" s="4"/>
      <c r="F30" s="10">
        <v>1</v>
      </c>
      <c r="G30" s="17"/>
      <c r="H30" s="19" t="str">
        <f>HYPERLINK("#G30",CHAR(128))</f>
        <v>€</v>
      </c>
    </row>
    <row r="31" spans="1:14" x14ac:dyDescent="0.45">
      <c r="A31" s="2"/>
      <c r="B31" s="38"/>
      <c r="C31" s="38"/>
      <c r="D31" s="38"/>
      <c r="E31" s="1"/>
      <c r="F31" s="16">
        <v>1</v>
      </c>
      <c r="G31" s="26"/>
      <c r="H31" s="19" t="str">
        <f>HYPERLINK("#G31",CHAR(128))</f>
        <v>€</v>
      </c>
    </row>
    <row r="32" spans="1:14" x14ac:dyDescent="0.45">
      <c r="A32" s="3"/>
      <c r="B32" s="37"/>
      <c r="C32" s="37"/>
      <c r="D32" s="37"/>
      <c r="E32" s="4"/>
      <c r="F32" s="4">
        <v>1</v>
      </c>
      <c r="G32" s="27"/>
      <c r="H32" s="19" t="str">
        <f>HYPERLINK("#G32",CHAR(128))</f>
        <v>€</v>
      </c>
    </row>
    <row r="33" spans="1:8" x14ac:dyDescent="0.45">
      <c r="A33" s="2"/>
      <c r="B33" s="38"/>
      <c r="C33" s="38"/>
      <c r="D33" s="38"/>
      <c r="E33" s="1"/>
      <c r="F33" s="16">
        <v>1</v>
      </c>
      <c r="G33" s="26"/>
      <c r="H33" s="19" t="str">
        <f>HYPERLINK("#G33",CHAR(128))</f>
        <v>€</v>
      </c>
    </row>
    <row r="34" spans="1:8" x14ac:dyDescent="0.45">
      <c r="A34" s="3"/>
      <c r="B34" s="37"/>
      <c r="C34" s="37"/>
      <c r="D34" s="37"/>
      <c r="E34" s="4"/>
      <c r="F34" s="4">
        <v>1</v>
      </c>
      <c r="G34" s="27"/>
      <c r="H34" s="19" t="str">
        <f>HYPERLINK("#G34",CHAR(128))</f>
        <v>€</v>
      </c>
    </row>
    <row r="37" spans="1:8" x14ac:dyDescent="0.45">
      <c r="A37" t="s">
        <v>40</v>
      </c>
      <c r="B37" t="s">
        <v>7</v>
      </c>
      <c r="C37" t="s">
        <v>67</v>
      </c>
      <c r="D37" t="s">
        <v>69</v>
      </c>
    </row>
  </sheetData>
  <mergeCells count="37">
    <mergeCell ref="E1:F1"/>
    <mergeCell ref="C2:D2"/>
    <mergeCell ref="E2:F2"/>
    <mergeCell ref="B3:D3"/>
    <mergeCell ref="B4:D4"/>
    <mergeCell ref="E3:F3"/>
    <mergeCell ref="E4:F4"/>
    <mergeCell ref="A1:A2"/>
    <mergeCell ref="B14:D14"/>
    <mergeCell ref="B10:D10"/>
    <mergeCell ref="B11:D11"/>
    <mergeCell ref="B12:D12"/>
    <mergeCell ref="B13:D13"/>
    <mergeCell ref="B5:D5"/>
    <mergeCell ref="C1:D1"/>
    <mergeCell ref="B6:D6"/>
    <mergeCell ref="B7:D7"/>
    <mergeCell ref="B8:D8"/>
    <mergeCell ref="B9:D9"/>
    <mergeCell ref="B21:D21"/>
    <mergeCell ref="B15:D15"/>
    <mergeCell ref="B30:D30"/>
    <mergeCell ref="B16:D16"/>
    <mergeCell ref="B17:D17"/>
    <mergeCell ref="B18:D18"/>
    <mergeCell ref="B19:D19"/>
    <mergeCell ref="B22:D22"/>
    <mergeCell ref="B29:D29"/>
    <mergeCell ref="B26:D26"/>
    <mergeCell ref="B25:D25"/>
    <mergeCell ref="B20:D20"/>
    <mergeCell ref="B31:D31"/>
    <mergeCell ref="B32:D32"/>
    <mergeCell ref="B33:D33"/>
    <mergeCell ref="B34:D34"/>
    <mergeCell ref="B23:D23"/>
    <mergeCell ref="B24:D24"/>
  </mergeCells>
  <conditionalFormatting sqref="G6:G14 G21:G26 G16:G19">
    <cfRule type="cellIs" dxfId="17" priority="2" operator="equal">
      <formula>"Returned"</formula>
    </cfRule>
    <cfRule type="cellIs" dxfId="16" priority="12" operator="equal">
      <formula>"Ready To Order"</formula>
    </cfRule>
    <cfRule type="cellIs" dxfId="15" priority="13" operator="equal">
      <formula>"UNP"</formula>
    </cfRule>
    <cfRule type="containsText" dxfId="14" priority="14" operator="containsText" text="Ordered">
      <formula>NOT(ISERROR(SEARCH("Ordered",G6)))</formula>
    </cfRule>
    <cfRule type="containsText" dxfId="13" priority="15" operator="containsText" text="Pick Up">
      <formula>NOT(ISERROR(SEARCH("Pick Up",G6)))</formula>
    </cfRule>
    <cfRule type="containsText" dxfId="12" priority="16" operator="containsText" text="Complete">
      <formula>NOT(ISERROR(SEARCH("Complete",G6)))</formula>
    </cfRule>
  </conditionalFormatting>
  <conditionalFormatting sqref="G30:G33">
    <cfRule type="containsText" dxfId="11" priority="4" operator="containsText" text="Given">
      <formula>NOT(ISERROR(SEARCH("Given",G30)))</formula>
    </cfRule>
  </conditionalFormatting>
  <conditionalFormatting sqref="G30:G34">
    <cfRule type="containsText" dxfId="10" priority="3" operator="containsText" text="Returned">
      <formula>NOT(ISERROR(SEARCH("Returned",G30)))</formula>
    </cfRule>
  </conditionalFormatting>
  <conditionalFormatting sqref="G6:G14 G21:G26 G16:G19">
    <cfRule type="cellIs" dxfId="9" priority="1" operator="equal">
      <formula>"In Stock"</formula>
    </cfRule>
  </conditionalFormatting>
  <dataValidations count="3">
    <dataValidation type="decimal" allowBlank="1" showInputMessage="1" showErrorMessage="1" sqref="L2" xr:uid="{7527E896-C660-4838-87BF-DF0EE98B7B8A}">
      <formula1>19</formula1>
      <formula2>26</formula2>
    </dataValidation>
    <dataValidation type="list" allowBlank="1" showInputMessage="1" showErrorMessage="1" sqref="G16:G19 G21:G24 G26 G6:G14" xr:uid="{CFD8070B-3CF9-4334-8473-D077F2C3716E}">
      <formula1>"UNP, Ready To Order, Ordered, In Stock, Pick Up, Complete, Returned"</formula1>
    </dataValidation>
    <dataValidation type="list" allowBlank="1" showInputMessage="1" showErrorMessage="1" sqref="G30:G34" xr:uid="{01B9C70D-5AF7-4248-9017-6FBE7D1B9D7E}">
      <formula1>"--,Returned, Given"</formula1>
    </dataValidation>
  </dataValidations>
  <hyperlinks>
    <hyperlink ref="A1:A2" location="Menu!A1" display="Back to Menu" xr:uid="{BA8DDA18-7F61-4A99-B731-833B39AFB87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21" r:id="rId3" name="Button 5">
              <controlPr defaultSize="0" print="0" autoFill="0" autoPict="0" macro="[0]!Resize">
                <anchor moveWithCells="1" sizeWithCells="1">
                  <from>
                    <xdr:col>10</xdr:col>
                    <xdr:colOff>9525</xdr:colOff>
                    <xdr:row>10</xdr:row>
                    <xdr:rowOff>200025</xdr:rowOff>
                  </from>
                  <to>
                    <xdr:col>12</xdr:col>
                    <xdr:colOff>9525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4" name="Button 6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204788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5" name="Button 8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28575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6" name="Button 11">
              <controlPr defaultSize="0" print="0" autoFill="0" autoPict="0" macro="[0]!_xludf.Terminate">
                <anchor moveWithCells="1" sizeWithCells="1">
                  <from>
                    <xdr:col>9</xdr:col>
                    <xdr:colOff>600075</xdr:colOff>
                    <xdr:row>32</xdr:row>
                    <xdr:rowOff>166688</xdr:rowOff>
                  </from>
                  <to>
                    <xdr:col>12</xdr:col>
                    <xdr:colOff>0</xdr:colOff>
                    <xdr:row>33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7" name="Button 12">
              <controlPr defaultSize="0" print="0" autoFill="0" autoPict="0" macro="[0]!MarkAsSOS">
                <anchor moveWithCells="1" sizeWithCells="1">
                  <from>
                    <xdr:col>9</xdr:col>
                    <xdr:colOff>600075</xdr:colOff>
                    <xdr:row>30</xdr:row>
                    <xdr:rowOff>176213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8" name="Button 13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176213</xdr:rowOff>
                  </from>
                  <to>
                    <xdr:col>12</xdr:col>
                    <xdr:colOff>9525</xdr:colOff>
                    <xdr:row>26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Menu</vt:lpstr>
      <vt:lpstr>Importing</vt:lpstr>
      <vt:lpstr>Pickup</vt:lpstr>
      <vt:lpstr>Mia_Wilson_795DB783</vt:lpstr>
      <vt:lpstr>aaaa_aaa_F3E668A6</vt:lpstr>
      <vt:lpstr>Frank_Thomas_215B12B4</vt:lpstr>
      <vt:lpstr>Quinn_Anderson_BF947EB3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Rodger Zheng Lu</dc:creator>
  <cp:lastModifiedBy>luhan ma</cp:lastModifiedBy>
  <cp:lastPrinted>2023-12-28T05:00:54Z</cp:lastPrinted>
  <dcterms:created xsi:type="dcterms:W3CDTF">2023-08-20T19:28:09Z</dcterms:created>
  <dcterms:modified xsi:type="dcterms:W3CDTF">2023-12-28T05:06:10Z</dcterms:modified>
</cp:coreProperties>
</file>