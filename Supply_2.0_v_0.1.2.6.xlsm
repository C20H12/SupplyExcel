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7a2fd30cf77674c/Desktop/Coding/Supply Excel Github/SupplyExcel/"/>
    </mc:Choice>
  </mc:AlternateContent>
  <xr:revisionPtr revIDLastSave="409" documentId="13_ncr:1_{B620C5CC-B2F6-46D1-B7F8-AD42E8D6FBC0}" xr6:coauthVersionLast="47" xr6:coauthVersionMax="47" xr10:uidLastSave="{CC44A010-0406-4EF1-8A6D-ADC0176EABC3}"/>
  <bookViews>
    <workbookView xWindow="-108" yWindow="-108" windowWidth="23256" windowHeight="12456" tabRatio="856" firstSheet="2" activeTab="8" xr2:uid="{01218C0E-FF84-42AC-8993-DD76AC11461D}"/>
  </bookViews>
  <sheets>
    <sheet name="Menu" sheetId="48" r:id="rId1"/>
    <sheet name="Importing" sheetId="124" r:id="rId2"/>
    <sheet name="Pickup" sheetId="181" r:id="rId3"/>
    <sheet name="Rachel_Harris_58A8DF86" sheetId="199" r:id="rId4"/>
    <sheet name="Noah_Moore_998FC8A6" sheetId="200" r:id="rId5"/>
    <sheet name="Bob_Robinson_FF73588A" sheetId="201" r:id="rId6"/>
    <sheet name="Olivia_Martin_DD9D1980" sheetId="202" r:id="rId7"/>
    <sheet name="Mia_Williams_49EC0EBF" sheetId="203" r:id="rId8"/>
    <sheet name="Template" sheetId="1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203" l="1"/>
  <c r="H33" i="203"/>
  <c r="H32" i="203"/>
  <c r="H31" i="203"/>
  <c r="H30" i="203"/>
  <c r="H26" i="203"/>
  <c r="E26" i="203"/>
  <c r="H24" i="203"/>
  <c r="H23" i="203"/>
  <c r="H22" i="203"/>
  <c r="H21" i="203"/>
  <c r="H19" i="203"/>
  <c r="H18" i="203"/>
  <c r="H17" i="203"/>
  <c r="H16" i="203"/>
  <c r="H14" i="203"/>
  <c r="H13" i="203"/>
  <c r="H12" i="203"/>
  <c r="H11" i="203"/>
  <c r="H10" i="203"/>
  <c r="H9" i="203"/>
  <c r="H8" i="203"/>
  <c r="H7" i="203"/>
  <c r="H6" i="203"/>
  <c r="H34" i="202"/>
  <c r="H33" i="202"/>
  <c r="H32" i="202"/>
  <c r="H31" i="202"/>
  <c r="H30" i="202"/>
  <c r="H26" i="202"/>
  <c r="E26" i="202"/>
  <c r="H24" i="202"/>
  <c r="H23" i="202"/>
  <c r="H22" i="202"/>
  <c r="H21" i="202"/>
  <c r="H19" i="202"/>
  <c r="H18" i="202"/>
  <c r="H17" i="202"/>
  <c r="H16" i="202"/>
  <c r="H14" i="202"/>
  <c r="H13" i="202"/>
  <c r="H12" i="202"/>
  <c r="H11" i="202"/>
  <c r="H10" i="202"/>
  <c r="H9" i="202"/>
  <c r="H8" i="202"/>
  <c r="H7" i="202"/>
  <c r="H6" i="202"/>
  <c r="H34" i="201"/>
  <c r="H33" i="201"/>
  <c r="H32" i="201"/>
  <c r="H31" i="201"/>
  <c r="H30" i="201"/>
  <c r="H26" i="201"/>
  <c r="E26" i="201"/>
  <c r="H24" i="201"/>
  <c r="H23" i="201"/>
  <c r="H22" i="201"/>
  <c r="H21" i="201"/>
  <c r="H19" i="201"/>
  <c r="H18" i="201"/>
  <c r="H17" i="201"/>
  <c r="H16" i="201"/>
  <c r="H14" i="201"/>
  <c r="H13" i="201"/>
  <c r="H12" i="201"/>
  <c r="H11" i="201"/>
  <c r="H10" i="201"/>
  <c r="H9" i="201"/>
  <c r="H8" i="201"/>
  <c r="H7" i="201"/>
  <c r="H6" i="201"/>
  <c r="H34" i="200"/>
  <c r="H33" i="200"/>
  <c r="H32" i="200"/>
  <c r="H31" i="200"/>
  <c r="H30" i="200"/>
  <c r="H26" i="200"/>
  <c r="E26" i="200"/>
  <c r="H24" i="200"/>
  <c r="H23" i="200"/>
  <c r="H22" i="200"/>
  <c r="H21" i="200"/>
  <c r="H19" i="200"/>
  <c r="H18" i="200"/>
  <c r="H17" i="200"/>
  <c r="H16" i="200"/>
  <c r="H14" i="200"/>
  <c r="H13" i="200"/>
  <c r="H12" i="200"/>
  <c r="H11" i="200"/>
  <c r="H10" i="200"/>
  <c r="H9" i="200"/>
  <c r="H8" i="200"/>
  <c r="H7" i="200"/>
  <c r="H6" i="200"/>
  <c r="H34" i="199"/>
  <c r="H33" i="199"/>
  <c r="H32" i="199"/>
  <c r="H31" i="199"/>
  <c r="H30" i="199"/>
  <c r="H26" i="199"/>
  <c r="E26" i="199"/>
  <c r="H24" i="199"/>
  <c r="H23" i="199"/>
  <c r="H22" i="199"/>
  <c r="H21" i="199"/>
  <c r="H19" i="199"/>
  <c r="H18" i="199"/>
  <c r="H17" i="199"/>
  <c r="H16" i="199"/>
  <c r="H14" i="199"/>
  <c r="H13" i="199"/>
  <c r="H12" i="199"/>
  <c r="H11" i="199"/>
  <c r="H10" i="199"/>
  <c r="H9" i="199"/>
  <c r="H8" i="199"/>
  <c r="H7" i="199"/>
  <c r="H6" i="199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<sst xmlns="http://schemas.openxmlformats.org/spreadsheetml/2006/main" count="620" uniqueCount="165">
  <si>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</si>
  <si>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</si>
  <si>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</si>
  <si>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</si>
  <si>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</si>
  <si>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</si>
  <si>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</si>
  <si>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</si>
  <si>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</si>
  <si>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</si>
  <si>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</si>
  <si>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</si>
  <si>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</si>
  <si>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</si>
  <si>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</si>
  <si>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</si>
  <si>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</si>
  <si>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</si>
  <si>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</si>
  <si>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</si>
  <si>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</si>
  <si>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</si>
  <si>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</si>
  <si>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</si>
  <si>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</si>
  <si>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</si>
  <si>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</si>
  <si>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</si>
  <si>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</si>
  <si>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</si>
  <si>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</si>
  <si>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</si>
  <si>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</si>
  <si>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</si>
  <si>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</si>
  <si>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</si>
  <si>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</si>
  <si>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</si>
  <si>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</si>
  <si>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</si>
  <si>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</si>
  <si>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</si>
  <si>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</si>
  <si>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</si>
  <si>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</si>
  <si>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UNP</t>
  </si>
  <si>
    <t>8405-21-907-9466</t>
  </si>
  <si>
    <t>Hand Length</t>
  </si>
  <si>
    <t>FTU Pants</t>
  </si>
  <si>
    <t>Email</t>
  </si>
  <si>
    <t>Extra Items</t>
  </si>
  <si>
    <t>320/126</t>
  </si>
  <si>
    <t>UNI</t>
  </si>
  <si>
    <t>Jesus@hotmail.com</t>
  </si>
  <si>
    <t>8430-20-006-2569</t>
  </si>
  <si>
    <t>Last Name</t>
  </si>
  <si>
    <t>Is Male</t>
  </si>
  <si>
    <t>Hip</t>
  </si>
  <si>
    <t>Foot Len</t>
  </si>
  <si>
    <t>Foot Wid</t>
  </si>
  <si>
    <t>XXL</t>
  </si>
  <si>
    <t>1000-21-215-7658</t>
  </si>
  <si>
    <t>M</t>
  </si>
  <si>
    <t>Hand</t>
  </si>
  <si>
    <t>R (50 inch)</t>
  </si>
  <si>
    <t>8440-21-905-7384</t>
  </si>
  <si>
    <t>8405-21-920-7281</t>
  </si>
  <si>
    <t>8405-21-920-7092</t>
  </si>
  <si>
    <t>L</t>
  </si>
  <si>
    <t>8420-20-001-0731</t>
  </si>
  <si>
    <t>Name</t>
  </si>
  <si>
    <t>Complete</t>
  </si>
  <si>
    <t>In Stock</t>
  </si>
  <si>
    <t xml:space="preserve"> </t>
  </si>
  <si>
    <t>Rachel</t>
  </si>
  <si>
    <t>Old Size</t>
  </si>
  <si>
    <t xml:space="preserve">New Size </t>
  </si>
  <si>
    <t>8405-20-003-5848</t>
  </si>
  <si>
    <t>8405-20-013-1478</t>
  </si>
  <si>
    <t>8440-20-006-6070</t>
  </si>
  <si>
    <t>(XS / TP)</t>
  </si>
  <si>
    <t>1001-21-154-2000</t>
  </si>
  <si>
    <t>Harris</t>
  </si>
  <si>
    <t>58A8DF86</t>
  </si>
  <si>
    <t>1000-21-059-6140</t>
  </si>
  <si>
    <t>15-1/2</t>
  </si>
  <si>
    <t>8405-20-001-4509</t>
  </si>
  <si>
    <t>1000-21-070-6452</t>
  </si>
  <si>
    <t>8405-20-004-7485</t>
  </si>
  <si>
    <t>Moore</t>
  </si>
  <si>
    <t>Noah</t>
  </si>
  <si>
    <t>998FC8A6</t>
  </si>
  <si>
    <t>1000-21-059-7062</t>
  </si>
  <si>
    <t>1000-21-316-2000</t>
  </si>
  <si>
    <t>1000-21-070-6458</t>
  </si>
  <si>
    <t>8405-20-003-5844</t>
  </si>
  <si>
    <t>S/P</t>
  </si>
  <si>
    <t>8440-20-006-6071</t>
  </si>
  <si>
    <t>310/122</t>
  </si>
  <si>
    <t>8430-20-006-2568</t>
  </si>
  <si>
    <t>8405-21-920-7279</t>
  </si>
  <si>
    <t>(L/XL - G/TG)</t>
  </si>
  <si>
    <t>8415-20-006-8917</t>
  </si>
  <si>
    <t>8405-20-013-1474</t>
  </si>
  <si>
    <t>Robinson</t>
  </si>
  <si>
    <t>Bob</t>
  </si>
  <si>
    <t>FF73588A</t>
  </si>
  <si>
    <t>8405-20-001-4542</t>
  </si>
  <si>
    <t>8405-20-001-4516</t>
  </si>
  <si>
    <t>XXXL</t>
  </si>
  <si>
    <t>8420-20-001-0735</t>
  </si>
  <si>
    <t>8405-20-003-5839</t>
  </si>
  <si>
    <t>XL/TG</t>
  </si>
  <si>
    <t>8440-20-006-6068</t>
  </si>
  <si>
    <t>275/100</t>
  </si>
  <si>
    <t>8430-20-006-2544</t>
  </si>
  <si>
    <t>S</t>
  </si>
  <si>
    <t>8405-21-920-7276</t>
  </si>
  <si>
    <t>8405-20-001-1049</t>
  </si>
  <si>
    <t>(S/M - P/M)</t>
  </si>
  <si>
    <t>8415-20-006-8916</t>
  </si>
  <si>
    <t>8405-20-013-1469</t>
  </si>
  <si>
    <t>8405-20-004-7494</t>
  </si>
  <si>
    <t>10D</t>
  </si>
  <si>
    <t>8430-20-A0X-9201</t>
  </si>
  <si>
    <t>New Size</t>
  </si>
  <si>
    <t>Martin</t>
  </si>
  <si>
    <t>Olivia</t>
  </si>
  <si>
    <t>DD9D1980</t>
  </si>
  <si>
    <t>Female</t>
  </si>
  <si>
    <t>1000-21-059-7030</t>
  </si>
  <si>
    <t>22M</t>
  </si>
  <si>
    <t>8410-21-912-7793</t>
  </si>
  <si>
    <t>XS</t>
  </si>
  <si>
    <t>8420-20-001-0711</t>
  </si>
  <si>
    <t>7038 (H48-1/2)</t>
  </si>
  <si>
    <t>8410-21-912-3657</t>
  </si>
  <si>
    <t>L (56 inch)</t>
  </si>
  <si>
    <t>8440-21-899-1182</t>
  </si>
  <si>
    <t>REG</t>
  </si>
  <si>
    <t>8440-20-008-7936</t>
  </si>
  <si>
    <t>L/G</t>
  </si>
  <si>
    <t>8440-20-006-6069</t>
  </si>
  <si>
    <t>270/110</t>
  </si>
  <si>
    <t>8430-20-006-2542</t>
  </si>
  <si>
    <t>8405-21-920-7093</t>
  </si>
  <si>
    <t>8405-20-004-7490</t>
  </si>
  <si>
    <t>8405-20-004-7515</t>
  </si>
  <si>
    <t>13EEE</t>
  </si>
  <si>
    <t>8430-20-A0X-9357</t>
  </si>
  <si>
    <t>Pick Up</t>
  </si>
  <si>
    <t>UNP, Pick Up, In Stock, Complete</t>
  </si>
  <si>
    <t>Williams</t>
  </si>
  <si>
    <t>Mia</t>
  </si>
  <si>
    <t>49EC0EBF</t>
  </si>
  <si>
    <t>8405-21-905-7814</t>
  </si>
  <si>
    <t>8420-20-001-0728</t>
  </si>
  <si>
    <t>6750 (H60-1/2)</t>
  </si>
  <si>
    <t>1000-21-198-6750</t>
  </si>
  <si>
    <t>8405-20-003-5842</t>
  </si>
  <si>
    <t>XL</t>
  </si>
  <si>
    <t>1000-21-215-7652</t>
  </si>
  <si>
    <t>8405-20-013-1472</t>
  </si>
  <si>
    <t>8405-20-004-7483</t>
  </si>
  <si>
    <t>8405-20-004-7512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</si>
</sst>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55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0" fontId="0" fillId="8" borderId="0" xfId="0" applyFill="1"/>
    <xf numFmtId="0" fontId="0" fillId="9" borderId="0" xfId="0" applyFill="1"/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14" fontId="0" fillId="7" borderId="14" xfId="0" applyNumberFormat="1" applyFill="1" applyBorder="1" applyAlignment="1">
      <alignment horizontal="center" vertical="center"/>
    </xf>
    <xf numFmtId="14" fontId="0" fillId="7" borderId="0" xfId="0" applyNumberFormat="1" applyFill="1" applyAlignment="1">
      <alignment horizontal="center" vertical="center"/>
    </xf>
    <xf numFmtId="0" fontId="1" fillId="2" borderId="1" xfId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89"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theme="1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rgb="FFFBA3FB"/>
        </patternFill>
      </fill>
    </dxf>
    <dxf>
      <font>
        <color theme="2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88"/>
      <tableStyleElement type="headerRow" dxfId="87"/>
      <tableStyleElement type="firstRowStripe" dxfId="86"/>
      <tableStyleElement type="secondRowStripe" dxfId="85"/>
    </tableStyle>
  </tableStyles>
  <colors>
    <mruColors>
      <color rgb="FFFBA3FB"/>
      <color rgb="FF66FF99"/>
      <color rgb="FFC39BE1"/>
      <color rgb="FF70AE8C"/>
      <color rgb="FFDAA100"/>
      <color rgb="FF03E4DF"/>
      <color rgb="FF699BFF"/>
      <color rgb="FFFB873F"/>
      <color rgb="FFFF7575"/>
      <color rgb="FFF6F6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0</xdr:row>
          <xdr:rowOff>0</xdr:rowOff>
        </xdr:from>
        <xdr:to>
          <xdr:col>7</xdr:col>
          <xdr:colOff>487680</xdr:colOff>
          <xdr:row>0</xdr:row>
          <xdr:rowOff>480060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350520</xdr:colOff>
          <xdr:row>0</xdr:row>
          <xdr:rowOff>0</xdr:rowOff>
        </xdr:from>
        <xdr:to>
          <xdr:col>12</xdr:col>
          <xdr:colOff>525780</xdr:colOff>
          <xdr:row>0</xdr:row>
          <xdr:rowOff>472440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0</xdr:row>
          <xdr:rowOff>0</xdr:rowOff>
        </xdr:from>
        <xdr:to>
          <xdr:col>10</xdr:col>
          <xdr:colOff>175260</xdr:colOff>
          <xdr:row>0</xdr:row>
          <xdr:rowOff>480060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83820</xdr:colOff>
          <xdr:row>0</xdr:row>
          <xdr:rowOff>0</xdr:rowOff>
        </xdr:from>
        <xdr:to>
          <xdr:col>15</xdr:col>
          <xdr:colOff>259080</xdr:colOff>
          <xdr:row>0</xdr:row>
          <xdr:rowOff>480060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396240</xdr:colOff>
          <xdr:row>0</xdr:row>
          <xdr:rowOff>129540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0</xdr:row>
          <xdr:rowOff>68580</xdr:rowOff>
        </xdr:from>
        <xdr:to>
          <xdr:col>22</xdr:col>
          <xdr:colOff>502920</xdr:colOff>
          <xdr:row>0</xdr:row>
          <xdr:rowOff>441960</xdr:rowOff>
        </xdr:to>
        <xdr:sp macro="" textlink="">
          <xdr:nvSpPr>
            <xdr:cNvPr id="163873" name="Button 33" hidden="1">
              <a:extLst>
                <a:ext uri="{63B3BB69-23CF-44E3-9099-C40C66FF867C}">
                  <a14:compatExt spid="_x0000_s163873"/>
                </a:ext>
                <a:ext uri="{FF2B5EF4-FFF2-40B4-BE49-F238E27FC236}">
                  <a16:creationId xmlns:a16="http://schemas.microsoft.com/office/drawing/2014/main" id="{00000000-0008-0000-0200-00002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89441" name="Button 1" hidden="1">
              <a:extLst>
                <a:ext uri="{63B3BB69-23CF-44E3-9099-C40C66FF867C}">
                  <a14:compatExt spid="_x0000_s189441"/>
                </a:ext>
                <a:ext uri="{FF2B5EF4-FFF2-40B4-BE49-F238E27FC236}">
                  <a16:creationId xmlns:a16="http://schemas.microsoft.com/office/drawing/2014/main" id="{00000000-0008-0000-0300-000001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89442" name="Button 2" hidden="1">
              <a:extLst>
                <a:ext uri="{63B3BB69-23CF-44E3-9099-C40C66FF867C}">
                  <a14:compatExt spid="_x0000_s189442"/>
                </a:ext>
                <a:ext uri="{FF2B5EF4-FFF2-40B4-BE49-F238E27FC236}">
                  <a16:creationId xmlns:a16="http://schemas.microsoft.com/office/drawing/2014/main" id="{00000000-0008-0000-0300-000002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89443" name="Button 3" hidden="1">
              <a:extLst>
                <a:ext uri="{63B3BB69-23CF-44E3-9099-C40C66FF867C}">
                  <a14:compatExt spid="_x0000_s189443"/>
                </a:ext>
                <a:ext uri="{FF2B5EF4-FFF2-40B4-BE49-F238E27FC236}">
                  <a16:creationId xmlns:a16="http://schemas.microsoft.com/office/drawing/2014/main" id="{00000000-0008-0000-0300-000003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89444" name="Button 4" hidden="1">
              <a:extLst>
                <a:ext uri="{63B3BB69-23CF-44E3-9099-C40C66FF867C}">
                  <a14:compatExt spid="_x0000_s189444"/>
                </a:ext>
                <a:ext uri="{FF2B5EF4-FFF2-40B4-BE49-F238E27FC236}">
                  <a16:creationId xmlns:a16="http://schemas.microsoft.com/office/drawing/2014/main" id="{00000000-0008-0000-0300-000004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89445" name="Button 5" hidden="1">
              <a:extLst>
                <a:ext uri="{63B3BB69-23CF-44E3-9099-C40C66FF867C}">
                  <a14:compatExt spid="_x0000_s189445"/>
                </a:ext>
                <a:ext uri="{FF2B5EF4-FFF2-40B4-BE49-F238E27FC236}">
                  <a16:creationId xmlns:a16="http://schemas.microsoft.com/office/drawing/2014/main" id="{00000000-0008-0000-0300-000005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91489" name="Button 1" hidden="1">
              <a:extLst>
                <a:ext uri="{63B3BB69-23CF-44E3-9099-C40C66FF867C}">
                  <a14:compatExt spid="_x0000_s191489"/>
                </a:ext>
                <a:ext uri="{FF2B5EF4-FFF2-40B4-BE49-F238E27FC236}">
                  <a16:creationId xmlns:a16="http://schemas.microsoft.com/office/drawing/2014/main" id="{00000000-0008-0000-0400-000001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91490" name="Button 2" hidden="1">
              <a:extLst>
                <a:ext uri="{63B3BB69-23CF-44E3-9099-C40C66FF867C}">
                  <a14:compatExt spid="_x0000_s191490"/>
                </a:ext>
                <a:ext uri="{FF2B5EF4-FFF2-40B4-BE49-F238E27FC236}">
                  <a16:creationId xmlns:a16="http://schemas.microsoft.com/office/drawing/2014/main" id="{00000000-0008-0000-0400-000002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91491" name="Button 3" hidden="1">
              <a:extLst>
                <a:ext uri="{63B3BB69-23CF-44E3-9099-C40C66FF867C}">
                  <a14:compatExt spid="_x0000_s191491"/>
                </a:ext>
                <a:ext uri="{FF2B5EF4-FFF2-40B4-BE49-F238E27FC236}">
                  <a16:creationId xmlns:a16="http://schemas.microsoft.com/office/drawing/2014/main" id="{00000000-0008-0000-0400-000003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1492" name="Button 4" hidden="1">
              <a:extLst>
                <a:ext uri="{63B3BB69-23CF-44E3-9099-C40C66FF867C}">
                  <a14:compatExt spid="_x0000_s191492"/>
                </a:ext>
                <a:ext uri="{FF2B5EF4-FFF2-40B4-BE49-F238E27FC236}">
                  <a16:creationId xmlns:a16="http://schemas.microsoft.com/office/drawing/2014/main" id="{00000000-0008-0000-0400-000004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1493" name="Button 5" hidden="1">
              <a:extLst>
                <a:ext uri="{63B3BB69-23CF-44E3-9099-C40C66FF867C}">
                  <a14:compatExt spid="_x0000_s191493"/>
                </a:ext>
                <a:ext uri="{FF2B5EF4-FFF2-40B4-BE49-F238E27FC236}">
                  <a16:creationId xmlns:a16="http://schemas.microsoft.com/office/drawing/2014/main" id="{00000000-0008-0000-0400-000005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92513" name="Button 1" hidden="1">
              <a:extLst>
                <a:ext uri="{63B3BB69-23CF-44E3-9099-C40C66FF867C}">
                  <a14:compatExt spid="_x0000_s192513"/>
                </a:ext>
                <a:ext uri="{FF2B5EF4-FFF2-40B4-BE49-F238E27FC236}">
                  <a16:creationId xmlns:a16="http://schemas.microsoft.com/office/drawing/2014/main" id="{00000000-0008-0000-0500-000001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92514" name="Button 2" hidden="1">
              <a:extLst>
                <a:ext uri="{63B3BB69-23CF-44E3-9099-C40C66FF867C}">
                  <a14:compatExt spid="_x0000_s192514"/>
                </a:ext>
                <a:ext uri="{FF2B5EF4-FFF2-40B4-BE49-F238E27FC236}">
                  <a16:creationId xmlns:a16="http://schemas.microsoft.com/office/drawing/2014/main" id="{00000000-0008-0000-0500-000002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92515" name="Button 3" hidden="1">
              <a:extLst>
                <a:ext uri="{63B3BB69-23CF-44E3-9099-C40C66FF867C}">
                  <a14:compatExt spid="_x0000_s192515"/>
                </a:ext>
                <a:ext uri="{FF2B5EF4-FFF2-40B4-BE49-F238E27FC236}">
                  <a16:creationId xmlns:a16="http://schemas.microsoft.com/office/drawing/2014/main" id="{00000000-0008-0000-0500-000003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2516" name="Button 4" hidden="1">
              <a:extLst>
                <a:ext uri="{63B3BB69-23CF-44E3-9099-C40C66FF867C}">
                  <a14:compatExt spid="_x0000_s192516"/>
                </a:ext>
                <a:ext uri="{FF2B5EF4-FFF2-40B4-BE49-F238E27FC236}">
                  <a16:creationId xmlns:a16="http://schemas.microsoft.com/office/drawing/2014/main" id="{00000000-0008-0000-0500-000004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2517" name="Button 5" hidden="1">
              <a:extLst>
                <a:ext uri="{63B3BB69-23CF-44E3-9099-C40C66FF867C}">
                  <a14:compatExt spid="_x0000_s192517"/>
                </a:ext>
                <a:ext uri="{FF2B5EF4-FFF2-40B4-BE49-F238E27FC236}">
                  <a16:creationId xmlns:a16="http://schemas.microsoft.com/office/drawing/2014/main" id="{00000000-0008-0000-0500-000005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93537" name="Button 1" hidden="1">
              <a:extLst>
                <a:ext uri="{63B3BB69-23CF-44E3-9099-C40C66FF867C}">
                  <a14:compatExt spid="_x0000_s193537"/>
                </a:ext>
                <a:ext uri="{FF2B5EF4-FFF2-40B4-BE49-F238E27FC236}">
                  <a16:creationId xmlns:a16="http://schemas.microsoft.com/office/drawing/2014/main" id="{00000000-0008-0000-0600-000001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93538" name="Button 2" hidden="1">
              <a:extLst>
                <a:ext uri="{63B3BB69-23CF-44E3-9099-C40C66FF867C}">
                  <a14:compatExt spid="_x0000_s193538"/>
                </a:ext>
                <a:ext uri="{FF2B5EF4-FFF2-40B4-BE49-F238E27FC236}">
                  <a16:creationId xmlns:a16="http://schemas.microsoft.com/office/drawing/2014/main" id="{00000000-0008-0000-0600-000002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93539" name="Button 3" hidden="1">
              <a:extLst>
                <a:ext uri="{63B3BB69-23CF-44E3-9099-C40C66FF867C}">
                  <a14:compatExt spid="_x0000_s193539"/>
                </a:ext>
                <a:ext uri="{FF2B5EF4-FFF2-40B4-BE49-F238E27FC236}">
                  <a16:creationId xmlns:a16="http://schemas.microsoft.com/office/drawing/2014/main" id="{00000000-0008-0000-0600-000003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3540" name="Button 4" hidden="1">
              <a:extLst>
                <a:ext uri="{63B3BB69-23CF-44E3-9099-C40C66FF867C}">
                  <a14:compatExt spid="_x0000_s193540"/>
                </a:ext>
                <a:ext uri="{FF2B5EF4-FFF2-40B4-BE49-F238E27FC236}">
                  <a16:creationId xmlns:a16="http://schemas.microsoft.com/office/drawing/2014/main" id="{00000000-0008-0000-0600-000004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3541" name="Button 5" hidden="1">
              <a:extLst>
                <a:ext uri="{63B3BB69-23CF-44E3-9099-C40C66FF867C}">
                  <a14:compatExt spid="_x0000_s193541"/>
                </a:ext>
                <a:ext uri="{FF2B5EF4-FFF2-40B4-BE49-F238E27FC236}">
                  <a16:creationId xmlns:a16="http://schemas.microsoft.com/office/drawing/2014/main" id="{00000000-0008-0000-0600-000005F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94561" name="Button 1" hidden="1">
              <a:extLst>
                <a:ext uri="{63B3BB69-23CF-44E3-9099-C40C66FF867C}">
                  <a14:compatExt spid="_x0000_s194561"/>
                </a:ext>
                <a:ext uri="{FF2B5EF4-FFF2-40B4-BE49-F238E27FC236}">
                  <a16:creationId xmlns:a16="http://schemas.microsoft.com/office/drawing/2014/main" id="{00000000-0008-0000-0700-000001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94562" name="Button 2" hidden="1">
              <a:extLst>
                <a:ext uri="{63B3BB69-23CF-44E3-9099-C40C66FF867C}">
                  <a14:compatExt spid="_x0000_s194562"/>
                </a:ext>
                <a:ext uri="{FF2B5EF4-FFF2-40B4-BE49-F238E27FC236}">
                  <a16:creationId xmlns:a16="http://schemas.microsoft.com/office/drawing/2014/main" id="{00000000-0008-0000-0700-000002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94563" name="Button 3" hidden="1">
              <a:extLst>
                <a:ext uri="{63B3BB69-23CF-44E3-9099-C40C66FF867C}">
                  <a14:compatExt spid="_x0000_s194563"/>
                </a:ext>
                <a:ext uri="{FF2B5EF4-FFF2-40B4-BE49-F238E27FC236}">
                  <a16:creationId xmlns:a16="http://schemas.microsoft.com/office/drawing/2014/main" id="{00000000-0008-0000-0700-000003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4564" name="Button 4" hidden="1">
              <a:extLst>
                <a:ext uri="{63B3BB69-23CF-44E3-9099-C40C66FF867C}">
                  <a14:compatExt spid="_x0000_s194564"/>
                </a:ext>
                <a:ext uri="{FF2B5EF4-FFF2-40B4-BE49-F238E27FC236}">
                  <a16:creationId xmlns:a16="http://schemas.microsoft.com/office/drawing/2014/main" id="{00000000-0008-0000-0700-000004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4565" name="Button 5" hidden="1">
              <a:extLst>
                <a:ext uri="{63B3BB69-23CF-44E3-9099-C40C66FF867C}">
                  <a14:compatExt spid="_x0000_s194565"/>
                </a:ext>
                <a:ext uri="{FF2B5EF4-FFF2-40B4-BE49-F238E27FC236}">
                  <a16:creationId xmlns:a16="http://schemas.microsoft.com/office/drawing/2014/main" id="{00000000-0008-0000-0700-000005F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8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8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8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8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8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8" totalsRowShown="0" headerRowDxfId="76" dataDxfId="74" headerRowBorderDxfId="75" tableBorderDxfId="73" totalsRowBorderDxfId="72" headerRowCellStyle="60% - Accent5">
  <autoFilter ref="A1:E8" xr:uid="{7E3155DF-3CB2-4063-8346-D3006162EB2E}"/>
  <sortState xmlns:xlrd2="http://schemas.microsoft.com/office/spreadsheetml/2017/richdata2" ref="A2:E8">
    <sortCondition ref="A1:A8"/>
  </sortState>
  <tableColumns count="5">
    <tableColumn id="1" xr3:uid="{4A3C96D4-74F9-46DA-B54B-0CD347E35136}" name="Surname" dataDxfId="71" dataCellStyle="Hyperlink"/>
    <tableColumn id="2" xr3:uid="{2B90B92F-5F96-4EDA-9BBB-0E797162ECC4}" name="First Name" dataDxfId="70" dataCellStyle="Hyperlink"/>
    <tableColumn id="8" xr3:uid="{CFE0A41F-FE26-4CF3-BAA8-F6CEC7B006D4}" name="Status" dataDxfId="69" dataCellStyle="Hyperlink"/>
    <tableColumn id="3" xr3:uid="{EBBDE5FC-4AD9-4996-A6CE-25D9B52D4D03}" name="Date" dataDxfId="68"/>
    <tableColumn id="4" xr3:uid="{854BBB0E-E50E-4F6C-90CC-6180E0CE5D32}" name="ID" dataDxfId="67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651251-C1CB-4B39-B717-C0E0FD4F484E}" name="Noah_Moore_998FC8A6ExchangeTable" displayName="Noah_Moore_998FC8A6ExchangeTable" ref="A37:D38" insertRow="1" totalsRowShown="0" headerRowDxfId="48" dataDxfId="47" tableBorderDxfId="46">
  <autoFilter ref="A37:D38" xr:uid="{55651251-C1CB-4B39-B717-C0E0FD4F484E}"/>
  <tableColumns count="4">
    <tableColumn id="1" xr3:uid="{314ABA38-6628-4EE1-9D0B-31C49E9DE3C0}" name="Date" dataDxfId="45"/>
    <tableColumn id="2" xr3:uid="{2AC02C64-A656-4B85-AABC-E072E566E32F}" name="Item" dataDxfId="44"/>
    <tableColumn id="3" xr3:uid="{F35BB461-4E38-49AB-ABEB-AFDEB7BAA1AB}" name="Old Size" dataDxfId="43"/>
    <tableColumn id="4" xr3:uid="{D03E423A-C85C-4D63-A346-008C81F6827E}" name="New Size " dataDxfId="42"/>
  </tableColumns>
  <tableStyleInfo name="ExchangeTableSty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73773D5-D064-41B0-BD99-6A97E5D356D7}" name="Bob_Robinson_FF73588AExchangeTable" displayName="Bob_Robinson_FF73588AExchangeTable" ref="A37:D38" insertRow="1" totalsRowShown="0" headerRowDxfId="32" dataDxfId="31">
  <autoFilter ref="A37:D38" xr:uid="{B73773D5-D064-41B0-BD99-6A97E5D356D7}"/>
  <tableColumns count="4">
    <tableColumn id="1" xr3:uid="{6DA94949-7DF5-466E-98B6-5F7F616A8178}" name="Date" dataDxfId="30"/>
    <tableColumn id="2" xr3:uid="{2DACB1C1-E859-4DB9-AFAF-18B42801A131}" name="Item" dataDxfId="29"/>
    <tableColumn id="3" xr3:uid="{8768D5BF-92AF-4347-AC2B-85DF300AEEE3}" name="Old Size" dataDxfId="28"/>
    <tableColumn id="4" xr3:uid="{A1B92F15-0FCA-44F5-99D4-A9EA01E8393E}" name="New Size " dataDxfId="27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5D8C7F-FB74-4C90-8ECA-DC5C7215623D}" name="Olivia_Martin_DD9D1980ExchangeTable" displayName="Olivia_Martin_DD9D1980ExchangeTable" ref="A37:D38" insertRow="1" totalsRowShown="0">
  <autoFilter ref="A37:D38" xr:uid="{F25D8C7F-FB74-4C90-8ECA-DC5C7215623D}"/>
  <tableColumns count="4">
    <tableColumn id="1" xr3:uid="{D634CF01-7B07-4550-BD12-295636AD2E18}" name="Date"/>
    <tableColumn id="2" xr3:uid="{0ABFA271-468F-4780-A92E-1077987F3F78}" name="Item"/>
    <tableColumn id="3" xr3:uid="{9AE87B02-B9B8-4F6A-A51A-06A29BF2FE6E}" name="Old Size"/>
    <tableColumn id="4" xr3:uid="{299C3DE4-4876-4292-84E6-1221657C8FAA}" name="New Size"/>
  </tableColumns>
  <tableStyleInfo name="ExchangeTable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94B996-AB60-4868-B644-0FAD6C3BF22D}" name="Mia_Williams_49EC0EBFExchangeTable" displayName="Mia_Williams_49EC0EBFExchangeTable" ref="A37:D38" insertRow="1" totalsRowShown="0">
  <autoFilter ref="A37:D38" xr:uid="{9B94B996-AB60-4868-B644-0FAD6C3BF22D}"/>
  <tableColumns count="4">
    <tableColumn id="1" xr3:uid="{88A75B0A-F8B7-44EE-8329-51864BC34B52}" name="Date"/>
    <tableColumn id="2" xr3:uid="{31642919-D0B7-45E3-BCE4-3A72A4F5BDE2}" name="Item"/>
    <tableColumn id="3" xr3:uid="{29154B99-D7E9-4D84-BF5E-A2EEEFAD81DB}" name="Old Size"/>
    <tableColumn id="4" xr3:uid="{B20F1D24-0A62-461A-804A-3E42A78CA6F5}" name="New Size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27.xml"/><Relationship Id="rId7" Type="http://schemas.openxmlformats.org/officeDocument/2006/relationships/ctrlProp" Target="../ctrlProps/ctrlProp3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7" Type="http://schemas.openxmlformats.org/officeDocument/2006/relationships/ctrlProp" Target="../ctrlProps/ctrlProp3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8"/>
  <sheetViews>
    <sheetView workbookViewId="0">
      <selection activeCell="F12" sqref="F12"/>
    </sheetView>
  </sheetViews>
  <sheetFormatPr defaultRowHeight="14.4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15" ht="43.8" customHeight="1" x14ac:dyDescent="0.3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  <c r="O1" t="s">
        <v>73</v>
      </c>
    </row>
    <row r="2" spans="1:15" ht="28.8" x14ac:dyDescent="0.3">
      <c r="A2" s="32" t="s">
        <v>82</v>
      </c>
      <c r="B2" s="30" t="s">
        <v>74</v>
      </c>
      <c r="C2" s="31" t="s">
        <v>151</v>
      </c>
      <c r="D2" s="35">
        <v>45287.692719907405</v>
      </c>
      <c r="E2" s="36" t="s">
        <v>83</v>
      </c>
    </row>
    <row r="3" spans="1:15" x14ac:dyDescent="0.3">
      <c r="A3" s="32" t="s">
        <v>126</v>
      </c>
      <c r="B3" s="30" t="s">
        <v>127</v>
      </c>
      <c r="C3" s="31" t="s">
        <v>45</v>
      </c>
      <c r="D3" s="35">
        <v>45287.73537037037</v>
      </c>
      <c r="E3" s="36" t="s">
        <v>128</v>
      </c>
    </row>
    <row r="4" spans="1:15" x14ac:dyDescent="0.3">
      <c r="A4" s="32" t="s">
        <v>89</v>
      </c>
      <c r="B4" s="30" t="s">
        <v>90</v>
      </c>
      <c r="C4" s="31" t="s">
        <v>45</v>
      </c>
      <c r="D4" s="35">
        <v>45287.731215277781</v>
      </c>
      <c r="E4" s="36" t="s">
        <v>91</v>
      </c>
    </row>
    <row r="5" spans="1:15" x14ac:dyDescent="0.3">
      <c r="A5" s="32" t="s">
        <v>104</v>
      </c>
      <c r="B5" s="30" t="s">
        <v>105</v>
      </c>
      <c r="C5" s="31" t="s">
        <v>45</v>
      </c>
      <c r="D5" s="35">
        <v>45287.732210648152</v>
      </c>
      <c r="E5" s="36" t="s">
        <v>106</v>
      </c>
    </row>
    <row r="6" spans="1:15" x14ac:dyDescent="0.3">
      <c r="A6" s="32" t="s">
        <v>152</v>
      </c>
      <c r="B6" s="30" t="s">
        <v>153</v>
      </c>
      <c r="C6" s="31" t="s">
        <v>45</v>
      </c>
      <c r="D6" s="35">
        <v>45287.737372685187</v>
      </c>
      <c r="E6" s="36" t="s">
        <v>154</v>
      </c>
    </row>
    <row r="7" spans="1:15" x14ac:dyDescent="0.3">
      <c r="A7" s="32"/>
      <c r="B7" s="30"/>
      <c r="C7" s="31"/>
      <c r="D7" s="35"/>
      <c r="E7" s="36"/>
    </row>
    <row r="8" spans="1:15" x14ac:dyDescent="0.3">
      <c r="A8" s="32"/>
      <c r="B8" s="30"/>
      <c r="C8" s="31"/>
      <c r="D8" s="35"/>
      <c r="E8" s="36"/>
    </row>
  </sheetData>
  <conditionalFormatting sqref="C2:C8">
    <cfRule type="cellIs" dxfId="84" priority="3" operator="equal">
      <formula>"In Stock"</formula>
    </cfRule>
    <cfRule type="containsText" dxfId="83" priority="2" operator="containsText" text="UNP">
      <formula>NOT(ISERROR(SEARCH("UNP",C2)))</formula>
    </cfRule>
    <cfRule type="containsText" dxfId="82" priority="4" operator="containsText" text="Pick Up">
      <formula>NOT(ISERROR(SEARCH("Pick Up",C2)))</formula>
    </cfRule>
    <cfRule type="cellIs" dxfId="81" priority="9" operator="equal">
      <formula>"Ready To Order"</formula>
    </cfRule>
    <cfRule type="containsText" dxfId="80" priority="10" operator="containsText" text="Ordered">
      <formula>NOT(ISERROR(SEARCH("Ordered",C2)))</formula>
    </cfRule>
    <cfRule type="containsText" dxfId="79" priority="11" operator="containsText" text="Complete">
      <formula>NOT(ISERROR(SEARCH("Complete",C2)))</formula>
    </cfRule>
    <cfRule type="cellIs" dxfId="78" priority="12" operator="equal">
      <formula>"Returned"</formula>
    </cfRule>
    <cfRule type="cellIs" dxfId="77" priority="1" operator="equal">
      <formula>"S.O.S"</formula>
    </cfRule>
  </conditionalFormatting>
  <hyperlinks>
    <hyperlink ref="A2" location="'Rachel_Harris_58A8DF86'!A1" display="Harris" xr:uid="{8881CE2F-8372-474B-ADB6-6AFFF8A0E36F}"/>
    <hyperlink ref="A4" location="'Noah_Moore_998FC8A6'!A1" display="Moore" xr:uid="{FEFC74FB-B2B6-4B56-8555-BDE977DA2E45}"/>
    <hyperlink ref="A5" location="'Bob_Robinson_FF73588A'!A1" display="Robinson" xr:uid="{92AE6210-5DE2-466A-92F3-1784C36E31C6}"/>
    <hyperlink ref="A3" location="'Olivia_Martin_DD9D1980'!A1" display="Martin" xr:uid="{7B6D0BC8-FECD-4B20-AFA3-8262260E87D4}"/>
    <hyperlink ref="A6" location="'Mia_Williams_49EC0EBF'!A1" display="Williams" xr:uid="{C641CBFD-4319-4FC2-8133-88337AA3408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304800</xdr:colOff>
                    <xdr:row>0</xdr:row>
                    <xdr:rowOff>0</xdr:rowOff>
                  </from>
                  <to>
                    <xdr:col>7</xdr:col>
                    <xdr:colOff>487680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nualBackup">
                <anchor moveWithCells="1" sizeWithCells="1">
                  <from>
                    <xdr:col>10</xdr:col>
                    <xdr:colOff>350520</xdr:colOff>
                    <xdr:row>0</xdr:row>
                    <xdr:rowOff>0</xdr:rowOff>
                  </from>
                  <to>
                    <xdr:col>12</xdr:col>
                    <xdr:colOff>525780</xdr:colOff>
                    <xdr:row>0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CInput_Button">
                <anchor moveWithCells="1" sizeWithCells="1">
                  <from>
                    <xdr:col>7</xdr:col>
                    <xdr:colOff>609600</xdr:colOff>
                    <xdr:row>0</xdr:row>
                    <xdr:rowOff>0</xdr:rowOff>
                  </from>
                  <to>
                    <xdr:col>10</xdr:col>
                    <xdr:colOff>175260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NC_Experiment">
                <anchor moveWithCells="1" sizeWithCells="1">
                  <from>
                    <xdr:col>13</xdr:col>
                    <xdr:colOff>83820</xdr:colOff>
                    <xdr:row>0</xdr:row>
                    <xdr:rowOff>0</xdr:rowOff>
                  </from>
                  <to>
                    <xdr:col>15</xdr:col>
                    <xdr:colOff>259080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H44" sqref="H44"/>
    </sheetView>
  </sheetViews>
  <sheetFormatPr defaultRowHeight="14.4" x14ac:dyDescent="0.3"/>
  <sheetData>
    <row r="1" spans="1:13" ht="37.950000000000003" customHeight="1" x14ac:dyDescent="0.3">
      <c r="A1" s="33">
        <v>111</v>
      </c>
      <c r="B1" s="33" t="s">
        <v>55</v>
      </c>
      <c r="C1" s="33" t="s">
        <v>2</v>
      </c>
      <c r="D1" s="33" t="s">
        <v>56</v>
      </c>
      <c r="E1" s="33" t="s">
        <v>9</v>
      </c>
      <c r="F1" s="33" t="s">
        <v>11</v>
      </c>
      <c r="G1" s="33" t="s">
        <v>12</v>
      </c>
      <c r="H1" s="33" t="s">
        <v>13</v>
      </c>
      <c r="I1" s="33" t="s">
        <v>57</v>
      </c>
      <c r="J1" s="33" t="s">
        <v>15</v>
      </c>
      <c r="K1" s="33" t="s">
        <v>58</v>
      </c>
      <c r="L1" s="33" t="s">
        <v>59</v>
      </c>
      <c r="M1" s="33" t="s">
        <v>63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396240</xdr:colOff>
                    <xdr:row>0</xdr:row>
                    <xdr:rowOff>129540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X1"/>
  <sheetViews>
    <sheetView topLeftCell="E8" workbookViewId="0">
      <selection activeCell="G23" sqref="G23"/>
    </sheetView>
  </sheetViews>
  <sheetFormatPr defaultRowHeight="14.4" x14ac:dyDescent="0.3"/>
  <cols>
    <col min="1" max="1" width="30.6640625" customWidth="1"/>
    <col min="3" max="3" width="10.88671875" customWidth="1"/>
    <col min="4" max="4" width="12.21875" customWidth="1"/>
    <col min="5" max="5" width="13.88671875" customWidth="1"/>
    <col min="7" max="7" width="12.44140625" customWidth="1"/>
    <col min="10" max="10" width="12" customWidth="1"/>
    <col min="14" max="14" width="11.77734375" customWidth="1"/>
    <col min="15" max="15" width="14.109375" customWidth="1"/>
  </cols>
  <sheetData>
    <row r="1" spans="1:24" ht="41.7" customHeight="1" x14ac:dyDescent="0.3">
      <c r="A1" s="34" t="s">
        <v>70</v>
      </c>
      <c r="B1" s="34" t="s">
        <v>18</v>
      </c>
      <c r="C1" s="34" t="s">
        <v>21</v>
      </c>
      <c r="D1" s="34" t="s">
        <v>19</v>
      </c>
      <c r="E1" s="34" t="s">
        <v>20</v>
      </c>
      <c r="F1" s="34" t="s">
        <v>24</v>
      </c>
      <c r="G1" s="34" t="s">
        <v>23</v>
      </c>
      <c r="H1" s="34" t="s">
        <v>25</v>
      </c>
      <c r="I1" s="34" t="s">
        <v>26</v>
      </c>
      <c r="J1" s="34" t="s">
        <v>27</v>
      </c>
      <c r="K1" s="34"/>
      <c r="L1" s="34" t="s">
        <v>28</v>
      </c>
      <c r="M1" s="34" t="s">
        <v>22</v>
      </c>
      <c r="N1" s="34" t="s">
        <v>29</v>
      </c>
      <c r="O1" s="34" t="s">
        <v>30</v>
      </c>
      <c r="P1" s="34"/>
      <c r="Q1" s="34" t="s">
        <v>33</v>
      </c>
      <c r="R1" s="34" t="s">
        <v>31</v>
      </c>
      <c r="S1" s="34" t="s">
        <v>48</v>
      </c>
      <c r="T1" s="34" t="s">
        <v>32</v>
      </c>
      <c r="U1" s="34"/>
      <c r="V1" s="34"/>
      <c r="W1" s="34"/>
      <c r="X1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3" r:id="rId3" name="Button 33">
              <controlPr defaultSize="0" print="0" autoFill="0" autoPict="0" macro="[0]!pickup">
                <anchor moveWithCells="1" sizeWithCells="1">
                  <from>
                    <xdr:col>20</xdr:col>
                    <xdr:colOff>68580</xdr:colOff>
                    <xdr:row>0</xdr:row>
                    <xdr:rowOff>68580</xdr:rowOff>
                  </from>
                  <to>
                    <xdr:col>22</xdr:col>
                    <xdr:colOff>502920</xdr:colOff>
                    <xdr:row>0</xdr:row>
                    <xdr:rowOff>441960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1DCFD-C664-4959-9C44-F70C4BFEF577}">
  <sheetPr codeName="Sheet24"/>
  <dimension ref="A1:L34"/>
  <sheetViews>
    <sheetView workbookViewId="0">
      <selection activeCell="B26" sqref="B26:D26"/>
    </sheetView>
  </sheetViews>
  <sheetFormatPr defaultRowHeight="14.4" x14ac:dyDescent="0.3"/>
  <cols>
    <col min="1" max="1" width="18.44140625" customWidth="1"/>
    <col min="2" max="4" width="10.44140625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43" t="s">
        <v>42</v>
      </c>
      <c r="B1" s="20" t="s">
        <v>3</v>
      </c>
      <c r="C1" s="45" t="s">
        <v>0</v>
      </c>
      <c r="D1" s="45"/>
      <c r="E1" s="45" t="s">
        <v>2</v>
      </c>
      <c r="F1" s="45"/>
      <c r="G1" s="20" t="s">
        <v>34</v>
      </c>
      <c r="K1" s="20" t="s">
        <v>38</v>
      </c>
      <c r="L1" s="20" t="s">
        <v>10</v>
      </c>
    </row>
    <row r="2" spans="1:12" x14ac:dyDescent="0.3">
      <c r="A2" s="44"/>
      <c r="B2" s="2" t="s">
        <v>43</v>
      </c>
      <c r="C2" s="46" t="s">
        <v>82</v>
      </c>
      <c r="D2" s="46"/>
      <c r="E2" s="46" t="s">
        <v>74</v>
      </c>
      <c r="F2" s="46"/>
      <c r="G2" s="1" t="s">
        <v>83</v>
      </c>
      <c r="K2" s="4" t="s">
        <v>9</v>
      </c>
      <c r="L2" s="4">
        <v>23.9</v>
      </c>
    </row>
    <row r="3" spans="1:12" x14ac:dyDescent="0.3">
      <c r="A3" s="20" t="s">
        <v>1</v>
      </c>
      <c r="B3" s="47" t="s">
        <v>4</v>
      </c>
      <c r="C3" s="48"/>
      <c r="D3" s="49"/>
      <c r="E3" s="47" t="s">
        <v>49</v>
      </c>
      <c r="F3" s="49"/>
      <c r="G3" s="20" t="s">
        <v>5</v>
      </c>
      <c r="K3" s="1" t="s">
        <v>11</v>
      </c>
      <c r="L3" s="1">
        <v>15.3</v>
      </c>
    </row>
    <row r="4" spans="1:12" x14ac:dyDescent="0.3">
      <c r="A4" s="1" t="s">
        <v>39</v>
      </c>
      <c r="B4" s="50">
        <v>4687035967</v>
      </c>
      <c r="C4" s="50"/>
      <c r="D4" s="50"/>
      <c r="E4" s="46" t="s">
        <v>53</v>
      </c>
      <c r="F4" s="46"/>
      <c r="G4" s="1" t="s">
        <v>44</v>
      </c>
      <c r="K4" s="4" t="s">
        <v>12</v>
      </c>
      <c r="L4" s="4">
        <v>39.6</v>
      </c>
    </row>
    <row r="5" spans="1:12" x14ac:dyDescent="0.3">
      <c r="A5" s="20" t="s">
        <v>6</v>
      </c>
      <c r="B5" s="45" t="s">
        <v>7</v>
      </c>
      <c r="C5" s="45"/>
      <c r="D5" s="45"/>
      <c r="E5" s="20" t="s">
        <v>8</v>
      </c>
      <c r="F5" s="20" t="s">
        <v>35</v>
      </c>
      <c r="G5" s="20" t="s">
        <v>36</v>
      </c>
      <c r="K5" s="1" t="s">
        <v>13</v>
      </c>
      <c r="L5" s="1">
        <v>52</v>
      </c>
    </row>
    <row r="6" spans="1:12" x14ac:dyDescent="0.3">
      <c r="A6" s="3" t="s">
        <v>84</v>
      </c>
      <c r="B6" s="42" t="s">
        <v>18</v>
      </c>
      <c r="C6" s="42"/>
      <c r="D6" s="42"/>
      <c r="E6" s="4">
        <v>6140</v>
      </c>
      <c r="F6" s="4">
        <v>1</v>
      </c>
      <c r="G6" s="25" t="s">
        <v>72</v>
      </c>
      <c r="H6" s="28" t="str">
        <f>HYPERLINK("#G6",CHAR(128))</f>
        <v>€</v>
      </c>
      <c r="K6" s="4" t="s">
        <v>14</v>
      </c>
      <c r="L6" s="4">
        <v>44.7</v>
      </c>
    </row>
    <row r="7" spans="1:12" x14ac:dyDescent="0.3">
      <c r="A7" s="2" t="s">
        <v>86</v>
      </c>
      <c r="B7" s="46" t="s">
        <v>21</v>
      </c>
      <c r="C7" s="46"/>
      <c r="D7" s="46"/>
      <c r="E7" s="1" t="s">
        <v>85</v>
      </c>
      <c r="F7" s="16">
        <v>1</v>
      </c>
      <c r="G7" s="25" t="s">
        <v>72</v>
      </c>
      <c r="H7" s="28" t="str">
        <f>HYPERLINK("#G7",CHAR(128))</f>
        <v>€</v>
      </c>
      <c r="K7" s="1" t="s">
        <v>15</v>
      </c>
      <c r="L7" s="1">
        <v>55.1</v>
      </c>
    </row>
    <row r="8" spans="1:12" x14ac:dyDescent="0.3">
      <c r="A8" s="3" t="s">
        <v>69</v>
      </c>
      <c r="B8" s="42" t="s">
        <v>19</v>
      </c>
      <c r="C8" s="42"/>
      <c r="D8" s="42"/>
      <c r="E8" s="4" t="s">
        <v>68</v>
      </c>
      <c r="F8" s="4">
        <v>1</v>
      </c>
      <c r="G8" s="25" t="s">
        <v>71</v>
      </c>
      <c r="H8" s="28" t="str">
        <f>HYPERLINK("#G8",CHAR(128))</f>
        <v>€</v>
      </c>
      <c r="K8" s="4" t="s">
        <v>16</v>
      </c>
      <c r="L8" s="4">
        <v>247.1</v>
      </c>
    </row>
    <row r="9" spans="1:12" x14ac:dyDescent="0.3">
      <c r="A9" s="2" t="s">
        <v>87</v>
      </c>
      <c r="B9" s="46" t="s">
        <v>20</v>
      </c>
      <c r="C9" s="46"/>
      <c r="D9" s="46"/>
      <c r="E9" s="1">
        <v>6452</v>
      </c>
      <c r="F9" s="16">
        <v>1</v>
      </c>
      <c r="G9" s="25" t="s">
        <v>150</v>
      </c>
      <c r="H9" s="28" t="str">
        <f>HYPERLINK("#G9",CHAR(128))</f>
        <v>€</v>
      </c>
      <c r="I9" s="11"/>
      <c r="K9" s="1" t="s">
        <v>17</v>
      </c>
      <c r="L9" s="1">
        <v>122.8</v>
      </c>
    </row>
    <row r="10" spans="1:12" x14ac:dyDescent="0.3">
      <c r="A10" s="3" t="s">
        <v>77</v>
      </c>
      <c r="B10" s="42" t="s">
        <v>24</v>
      </c>
      <c r="C10" s="42"/>
      <c r="D10" s="42"/>
      <c r="E10" s="8">
        <v>7.75</v>
      </c>
      <c r="F10" s="4">
        <v>1</v>
      </c>
      <c r="G10" s="25" t="s">
        <v>72</v>
      </c>
      <c r="H10" s="28" t="str">
        <f>HYPERLINK("#G10",CHAR(128))</f>
        <v>€</v>
      </c>
      <c r="K10" s="15" t="s">
        <v>47</v>
      </c>
      <c r="L10" s="15">
        <v>6.2</v>
      </c>
    </row>
    <row r="11" spans="1:12" x14ac:dyDescent="0.3">
      <c r="A11" s="2" t="s">
        <v>65</v>
      </c>
      <c r="B11" s="46" t="s">
        <v>23</v>
      </c>
      <c r="C11" s="46"/>
      <c r="D11" s="46"/>
      <c r="E11" s="1" t="s">
        <v>64</v>
      </c>
      <c r="F11" s="16">
        <v>1</v>
      </c>
      <c r="G11" s="25" t="s">
        <v>72</v>
      </c>
      <c r="H11" s="28" t="str">
        <f>HYPERLINK("#G11",CHAR(128))</f>
        <v>€</v>
      </c>
    </row>
    <row r="12" spans="1:12" x14ac:dyDescent="0.3">
      <c r="A12" s="5" t="s">
        <v>61</v>
      </c>
      <c r="B12" s="42" t="s">
        <v>25</v>
      </c>
      <c r="C12" s="42"/>
      <c r="D12" s="42"/>
      <c r="E12" s="4" t="s">
        <v>60</v>
      </c>
      <c r="F12" s="4">
        <v>1</v>
      </c>
      <c r="G12" s="25" t="s">
        <v>72</v>
      </c>
      <c r="H12" s="28" t="str">
        <f>HYPERLINK("#G12",CHAR(128))</f>
        <v>€</v>
      </c>
    </row>
    <row r="13" spans="1:12" x14ac:dyDescent="0.3">
      <c r="A13" s="2" t="s">
        <v>79</v>
      </c>
      <c r="B13" s="46" t="s">
        <v>26</v>
      </c>
      <c r="C13" s="46"/>
      <c r="D13" s="46"/>
      <c r="E13" s="1" t="s">
        <v>62</v>
      </c>
      <c r="F13" s="16">
        <v>1</v>
      </c>
      <c r="G13" s="25" t="s">
        <v>72</v>
      </c>
      <c r="H13" s="28" t="str">
        <f>HYPERLINK("#G13",CHAR(128))</f>
        <v>€</v>
      </c>
    </row>
    <row r="14" spans="1:12" x14ac:dyDescent="0.3">
      <c r="A14" s="5" t="s">
        <v>54</v>
      </c>
      <c r="B14" s="42" t="s">
        <v>27</v>
      </c>
      <c r="C14" s="42"/>
      <c r="D14" s="42"/>
      <c r="E14" s="4" t="s">
        <v>51</v>
      </c>
      <c r="F14" s="4">
        <v>1</v>
      </c>
      <c r="G14" s="25" t="s">
        <v>72</v>
      </c>
      <c r="H14" s="28" t="str">
        <f>HYPERLINK("#G14",CHAR(128))</f>
        <v>€</v>
      </c>
    </row>
    <row r="15" spans="1:12" x14ac:dyDescent="0.3">
      <c r="A15" s="2"/>
      <c r="B15" s="54"/>
      <c r="C15" s="54"/>
      <c r="D15" s="54"/>
      <c r="E15" s="1"/>
      <c r="F15" s="16"/>
      <c r="G15" s="16"/>
      <c r="H15" s="14"/>
    </row>
    <row r="16" spans="1:12" x14ac:dyDescent="0.3">
      <c r="A16" s="5" t="s">
        <v>46</v>
      </c>
      <c r="B16" s="42" t="s">
        <v>28</v>
      </c>
      <c r="C16" s="42"/>
      <c r="D16" s="42"/>
      <c r="E16" s="4" t="s">
        <v>52</v>
      </c>
      <c r="F16" s="4">
        <v>1</v>
      </c>
      <c r="G16" s="25" t="s">
        <v>72</v>
      </c>
      <c r="H16" s="23" t="str">
        <f>HYPERLINK("#G16",CHAR(128))</f>
        <v>€</v>
      </c>
    </row>
    <row r="17" spans="1:10" x14ac:dyDescent="0.3">
      <c r="A17" s="2" t="s">
        <v>66</v>
      </c>
      <c r="B17" s="46" t="s">
        <v>22</v>
      </c>
      <c r="C17" s="46"/>
      <c r="D17" s="46"/>
      <c r="E17" s="1" t="s">
        <v>60</v>
      </c>
      <c r="F17" s="16">
        <v>1</v>
      </c>
      <c r="G17" s="25" t="s">
        <v>72</v>
      </c>
      <c r="H17" s="23" t="str">
        <f>HYPERLINK("#G17",CHAR(128))</f>
        <v>€</v>
      </c>
    </row>
    <row r="18" spans="1:10" x14ac:dyDescent="0.3">
      <c r="A18" s="5" t="s">
        <v>67</v>
      </c>
      <c r="B18" s="42" t="s">
        <v>29</v>
      </c>
      <c r="C18" s="42"/>
      <c r="D18" s="42"/>
      <c r="E18" s="4">
        <v>6444</v>
      </c>
      <c r="F18" s="4">
        <v>1</v>
      </c>
      <c r="G18" s="25" t="s">
        <v>72</v>
      </c>
      <c r="H18" s="23" t="str">
        <f>HYPERLINK("#G18",CHAR(128))</f>
        <v>€</v>
      </c>
    </row>
    <row r="19" spans="1:10" x14ac:dyDescent="0.3">
      <c r="A19" s="2" t="s">
        <v>81</v>
      </c>
      <c r="B19" s="46" t="s">
        <v>30</v>
      </c>
      <c r="C19" s="46"/>
      <c r="D19" s="46"/>
      <c r="E19" s="1" t="s">
        <v>80</v>
      </c>
      <c r="F19" s="16">
        <v>1</v>
      </c>
      <c r="G19" s="25" t="s">
        <v>72</v>
      </c>
      <c r="H19" s="23" t="str">
        <f>HYPERLINK("#G19",CHAR(128))</f>
        <v>€</v>
      </c>
    </row>
    <row r="20" spans="1:10" x14ac:dyDescent="0.3">
      <c r="A20" s="5"/>
      <c r="B20" s="51"/>
      <c r="C20" s="52"/>
      <c r="D20" s="53"/>
      <c r="E20" s="4"/>
      <c r="F20" s="4"/>
      <c r="G20" s="4"/>
      <c r="H20" s="14"/>
    </row>
    <row r="21" spans="1:10" x14ac:dyDescent="0.3">
      <c r="A21" s="2" t="s">
        <v>78</v>
      </c>
      <c r="B21" s="46" t="s">
        <v>33</v>
      </c>
      <c r="C21" s="46"/>
      <c r="D21" s="46"/>
      <c r="E21" s="9">
        <v>7.75</v>
      </c>
      <c r="F21" s="16">
        <v>1</v>
      </c>
      <c r="G21" s="25" t="s">
        <v>72</v>
      </c>
      <c r="H21" s="23" t="str">
        <f>HYPERLINK("#G21",CHAR(128))</f>
        <v>€</v>
      </c>
    </row>
    <row r="22" spans="1:10" x14ac:dyDescent="0.3">
      <c r="A22" s="5" t="s">
        <v>88</v>
      </c>
      <c r="B22" s="42" t="s">
        <v>31</v>
      </c>
      <c r="C22" s="42"/>
      <c r="D22" s="42"/>
      <c r="E22" s="4">
        <v>6440</v>
      </c>
      <c r="F22" s="4">
        <v>1</v>
      </c>
      <c r="G22" s="25" t="s">
        <v>72</v>
      </c>
      <c r="H22" s="23" t="str">
        <f>HYPERLINK("#G22",CHAR(128))</f>
        <v>€</v>
      </c>
    </row>
    <row r="23" spans="1:10" x14ac:dyDescent="0.3">
      <c r="A23" s="2"/>
      <c r="B23" s="46" t="s">
        <v>48</v>
      </c>
      <c r="C23" s="46"/>
      <c r="D23" s="46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/>
      <c r="B24" s="42" t="s">
        <v>32</v>
      </c>
      <c r="C24" s="42"/>
      <c r="D24" s="42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46"/>
      <c r="C25" s="46"/>
      <c r="D25" s="46"/>
      <c r="E25" s="1"/>
      <c r="F25" s="16"/>
      <c r="G25" s="16"/>
      <c r="H25" s="14"/>
      <c r="I25" s="12"/>
    </row>
    <row r="26" spans="1:10" x14ac:dyDescent="0.3">
      <c r="A26" s="5"/>
      <c r="B26" s="42" t="s">
        <v>37</v>
      </c>
      <c r="C26" s="42"/>
      <c r="D26" s="42"/>
      <c r="E26" s="4" t="str">
        <f>C2</f>
        <v>Harris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45" t="s">
        <v>50</v>
      </c>
      <c r="C29" s="45"/>
      <c r="D29" s="45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2"/>
      <c r="C30" s="42"/>
      <c r="D30" s="42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6"/>
      <c r="C31" s="46"/>
      <c r="D31" s="46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2"/>
      <c r="C32" s="42"/>
      <c r="D32" s="4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6"/>
      <c r="C33" s="46"/>
      <c r="D33" s="46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2"/>
      <c r="C34" s="42"/>
      <c r="D34" s="42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66" priority="2" operator="equal">
      <formula>"Returned"</formula>
    </cfRule>
    <cfRule type="cellIs" dxfId="65" priority="5" operator="equal">
      <formula>"Ready To Order"</formula>
    </cfRule>
    <cfRule type="cellIs" dxfId="64" priority="6" operator="equal">
      <formula>"UNP"</formula>
    </cfRule>
    <cfRule type="containsText" dxfId="63" priority="7" operator="containsText" text="Ordered">
      <formula>NOT(ISERROR(SEARCH("Ordered",G6)))</formula>
    </cfRule>
    <cfRule type="containsText" dxfId="62" priority="8" operator="containsText" text="Pick Up">
      <formula>NOT(ISERROR(SEARCH("Pick Up",G6)))</formula>
    </cfRule>
    <cfRule type="containsText" dxfId="61" priority="9" operator="containsText" text="Complete">
      <formula>NOT(ISERROR(SEARCH("Complete",G6)))</formula>
    </cfRule>
  </conditionalFormatting>
  <conditionalFormatting sqref="G30:G33">
    <cfRule type="containsText" dxfId="60" priority="4" operator="containsText" text="Given">
      <formula>NOT(ISERROR(SEARCH("Given",G30)))</formula>
    </cfRule>
  </conditionalFormatting>
  <conditionalFormatting sqref="G30:G34">
    <cfRule type="containsText" dxfId="59" priority="3" operator="containsText" text="Returned">
      <formula>NOT(ISERROR(SEARCH("Returned",G30)))</formula>
    </cfRule>
  </conditionalFormatting>
  <conditionalFormatting sqref="G6:G14 G21:G26 G16:G19">
    <cfRule type="cellIs" dxfId="58" priority="1" operator="equal">
      <formula>"In Stock"</formula>
    </cfRule>
  </conditionalFormatting>
  <dataValidations count="3">
    <dataValidation type="list" allowBlank="1" showInputMessage="1" showErrorMessage="1" sqref="G30:G34" xr:uid="{5188F784-C896-42D4-9F04-8E39B0513E65}">
      <formula1>"--,Returned, Given"</formula1>
    </dataValidation>
    <dataValidation type="list" allowBlank="1" showInputMessage="1" showErrorMessage="1" sqref="G16:G19 G21:G24 G26 G6:G14" xr:uid="{1DD0AAD2-467A-43F0-8C17-A688E2E4F507}">
      <formula1>"UNP, Ready To Order, Ordered, In Stock, Pick Up, Complete, Returned"</formula1>
    </dataValidation>
    <dataValidation type="decimal" allowBlank="1" showInputMessage="1" showErrorMessage="1" sqref="L2" xr:uid="{F490FCEA-B2AA-44DE-A1BD-0688493B3456}">
      <formula1>19</formula1>
      <formula2>26</formula2>
    </dataValidation>
  </dataValidations>
  <hyperlinks>
    <hyperlink ref="A1:A2" location="Menu!A1" display="Back to Menu" xr:uid="{00A8A3F5-4041-403B-9AD6-56DC826F0A7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9441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2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3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4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5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FE80D-CD15-49CC-8B88-CBAE0B5366BB}">
  <sheetPr codeName="Sheet4"/>
  <dimension ref="A1:L38"/>
  <sheetViews>
    <sheetView workbookViewId="0">
      <selection activeCell="D38" sqref="A37:D38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3" t="s">
        <v>42</v>
      </c>
      <c r="B1" s="20" t="s">
        <v>3</v>
      </c>
      <c r="C1" s="45" t="s">
        <v>0</v>
      </c>
      <c r="D1" s="45"/>
      <c r="E1" s="45" t="s">
        <v>2</v>
      </c>
      <c r="F1" s="45"/>
      <c r="G1" s="20" t="s">
        <v>34</v>
      </c>
      <c r="K1" s="20" t="s">
        <v>38</v>
      </c>
      <c r="L1" s="20" t="s">
        <v>10</v>
      </c>
    </row>
    <row r="2" spans="1:12" x14ac:dyDescent="0.3">
      <c r="A2" s="44"/>
      <c r="B2" s="2" t="s">
        <v>43</v>
      </c>
      <c r="C2" s="46" t="s">
        <v>89</v>
      </c>
      <c r="D2" s="46"/>
      <c r="E2" s="46" t="s">
        <v>90</v>
      </c>
      <c r="F2" s="46"/>
      <c r="G2" s="1" t="s">
        <v>91</v>
      </c>
      <c r="K2" s="4" t="s">
        <v>9</v>
      </c>
      <c r="L2" s="4">
        <v>22.7</v>
      </c>
    </row>
    <row r="3" spans="1:12" x14ac:dyDescent="0.3">
      <c r="A3" s="20" t="s">
        <v>1</v>
      </c>
      <c r="B3" s="47" t="s">
        <v>4</v>
      </c>
      <c r="C3" s="48"/>
      <c r="D3" s="49"/>
      <c r="E3" s="47" t="s">
        <v>49</v>
      </c>
      <c r="F3" s="49"/>
      <c r="G3" s="20" t="s">
        <v>5</v>
      </c>
      <c r="K3" s="1" t="s">
        <v>11</v>
      </c>
      <c r="L3" s="1">
        <v>19.100000000000001</v>
      </c>
    </row>
    <row r="4" spans="1:12" x14ac:dyDescent="0.3">
      <c r="A4" s="1" t="s">
        <v>39</v>
      </c>
      <c r="B4" s="50">
        <v>7345806215</v>
      </c>
      <c r="C4" s="50"/>
      <c r="D4" s="50"/>
      <c r="E4" s="46" t="s">
        <v>53</v>
      </c>
      <c r="F4" s="46"/>
      <c r="G4" s="1" t="s">
        <v>44</v>
      </c>
      <c r="K4" s="4" t="s">
        <v>12</v>
      </c>
      <c r="L4" s="4">
        <v>61.8</v>
      </c>
    </row>
    <row r="5" spans="1:12" x14ac:dyDescent="0.3">
      <c r="A5" s="20" t="s">
        <v>6</v>
      </c>
      <c r="B5" s="45" t="s">
        <v>7</v>
      </c>
      <c r="C5" s="45"/>
      <c r="D5" s="45"/>
      <c r="E5" s="20" t="s">
        <v>8</v>
      </c>
      <c r="F5" s="20" t="s">
        <v>35</v>
      </c>
      <c r="G5" s="20" t="s">
        <v>36</v>
      </c>
      <c r="K5" s="1" t="s">
        <v>13</v>
      </c>
      <c r="L5" s="1">
        <v>50.8</v>
      </c>
    </row>
    <row r="6" spans="1:12" x14ac:dyDescent="0.3">
      <c r="A6" s="3" t="s">
        <v>92</v>
      </c>
      <c r="B6" s="42" t="s">
        <v>18</v>
      </c>
      <c r="C6" s="42"/>
      <c r="D6" s="42"/>
      <c r="E6" s="4">
        <v>7062</v>
      </c>
      <c r="F6" s="4">
        <v>1</v>
      </c>
      <c r="G6" s="25" t="s">
        <v>72</v>
      </c>
      <c r="H6" s="28" t="str">
        <f>HYPERLINK("#G6",CHAR(128))</f>
        <v>€</v>
      </c>
      <c r="K6" s="4" t="s">
        <v>14</v>
      </c>
      <c r="L6" s="4">
        <v>62.5</v>
      </c>
    </row>
    <row r="7" spans="1:12" x14ac:dyDescent="0.3">
      <c r="A7" s="2" t="s">
        <v>93</v>
      </c>
      <c r="B7" s="46" t="s">
        <v>21</v>
      </c>
      <c r="C7" s="46"/>
      <c r="D7" s="46"/>
      <c r="E7" s="1">
        <v>20</v>
      </c>
      <c r="F7" s="16">
        <v>1</v>
      </c>
      <c r="G7" s="25" t="s">
        <v>72</v>
      </c>
      <c r="H7" s="28" t="str">
        <f>HYPERLINK("#G7",CHAR(128))</f>
        <v>€</v>
      </c>
      <c r="K7" s="1" t="s">
        <v>15</v>
      </c>
      <c r="L7" s="1">
        <v>63.5</v>
      </c>
    </row>
    <row r="8" spans="1:12" x14ac:dyDescent="0.3">
      <c r="A8" s="3"/>
      <c r="B8" s="42" t="s">
        <v>19</v>
      </c>
      <c r="C8" s="42"/>
      <c r="D8" s="42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234.3</v>
      </c>
    </row>
    <row r="9" spans="1:12" x14ac:dyDescent="0.3">
      <c r="A9" s="2" t="s">
        <v>94</v>
      </c>
      <c r="B9" s="46" t="s">
        <v>20</v>
      </c>
      <c r="C9" s="46"/>
      <c r="D9" s="46"/>
      <c r="E9" s="1">
        <v>6458</v>
      </c>
      <c r="F9" s="16">
        <v>1</v>
      </c>
      <c r="G9" s="25" t="s">
        <v>72</v>
      </c>
      <c r="H9" s="28" t="str">
        <f>HYPERLINK("#G9",CHAR(128))</f>
        <v>€</v>
      </c>
      <c r="I9" s="11"/>
      <c r="K9" s="1" t="s">
        <v>17</v>
      </c>
      <c r="L9" s="1">
        <v>121.8</v>
      </c>
    </row>
    <row r="10" spans="1:12" x14ac:dyDescent="0.3">
      <c r="A10" s="3" t="s">
        <v>95</v>
      </c>
      <c r="B10" s="42" t="s">
        <v>24</v>
      </c>
      <c r="C10" s="42"/>
      <c r="D10" s="42"/>
      <c r="E10" s="8">
        <v>7.25</v>
      </c>
      <c r="F10" s="4">
        <v>1</v>
      </c>
      <c r="G10" s="25" t="s">
        <v>72</v>
      </c>
      <c r="H10" s="28" t="str">
        <f>HYPERLINK("#G10",CHAR(128))</f>
        <v>€</v>
      </c>
      <c r="K10" s="15" t="s">
        <v>47</v>
      </c>
      <c r="L10" s="15">
        <v>9.9</v>
      </c>
    </row>
    <row r="11" spans="1:12" x14ac:dyDescent="0.3">
      <c r="A11" s="2" t="s">
        <v>65</v>
      </c>
      <c r="B11" s="46" t="s">
        <v>23</v>
      </c>
      <c r="C11" s="46"/>
      <c r="D11" s="46"/>
      <c r="E11" s="1" t="s">
        <v>64</v>
      </c>
      <c r="F11" s="16">
        <v>1</v>
      </c>
      <c r="G11" s="25" t="s">
        <v>72</v>
      </c>
      <c r="H11" s="28" t="str">
        <f>HYPERLINK("#G11",CHAR(128))</f>
        <v>€</v>
      </c>
    </row>
    <row r="12" spans="1:12" x14ac:dyDescent="0.3">
      <c r="A12" s="5" t="s">
        <v>61</v>
      </c>
      <c r="B12" s="42" t="s">
        <v>25</v>
      </c>
      <c r="C12" s="42"/>
      <c r="D12" s="42"/>
      <c r="E12" s="4" t="s">
        <v>60</v>
      </c>
      <c r="F12" s="4">
        <v>1</v>
      </c>
      <c r="G12" s="25" t="s">
        <v>72</v>
      </c>
      <c r="H12" s="28" t="str">
        <f>HYPERLINK("#G12",CHAR(128))</f>
        <v>€</v>
      </c>
    </row>
    <row r="13" spans="1:12" x14ac:dyDescent="0.3">
      <c r="A13" s="2" t="s">
        <v>97</v>
      </c>
      <c r="B13" s="46" t="s">
        <v>26</v>
      </c>
      <c r="C13" s="46"/>
      <c r="D13" s="46"/>
      <c r="E13" s="1" t="s">
        <v>96</v>
      </c>
      <c r="F13" s="16">
        <v>1</v>
      </c>
      <c r="G13" s="25" t="s">
        <v>72</v>
      </c>
      <c r="H13" s="28" t="str">
        <f>HYPERLINK("#G13",CHAR(128))</f>
        <v>€</v>
      </c>
    </row>
    <row r="14" spans="1:12" x14ac:dyDescent="0.3">
      <c r="A14" s="5" t="s">
        <v>99</v>
      </c>
      <c r="B14" s="42" t="s">
        <v>27</v>
      </c>
      <c r="C14" s="42"/>
      <c r="D14" s="42"/>
      <c r="E14" s="4" t="s">
        <v>98</v>
      </c>
      <c r="F14" s="4">
        <v>1</v>
      </c>
      <c r="G14" s="25" t="s">
        <v>72</v>
      </c>
      <c r="H14" s="28" t="str">
        <f>HYPERLINK("#G14",CHAR(128))</f>
        <v>€</v>
      </c>
    </row>
    <row r="15" spans="1:12" x14ac:dyDescent="0.3">
      <c r="A15" s="2"/>
      <c r="B15" s="54"/>
      <c r="C15" s="54"/>
      <c r="D15" s="54"/>
      <c r="E15" s="1"/>
      <c r="F15" s="16"/>
      <c r="G15" s="16"/>
      <c r="H15" s="14"/>
    </row>
    <row r="16" spans="1:12" x14ac:dyDescent="0.3">
      <c r="A16" s="5" t="s">
        <v>46</v>
      </c>
      <c r="B16" s="42" t="s">
        <v>28</v>
      </c>
      <c r="C16" s="42"/>
      <c r="D16" s="42"/>
      <c r="E16" s="4" t="s">
        <v>52</v>
      </c>
      <c r="F16" s="4">
        <v>1</v>
      </c>
      <c r="G16" s="25" t="s">
        <v>72</v>
      </c>
      <c r="H16" s="23" t="str">
        <f>HYPERLINK("#G16",CHAR(128))</f>
        <v>€</v>
      </c>
    </row>
    <row r="17" spans="1:10" x14ac:dyDescent="0.3">
      <c r="A17" s="2" t="s">
        <v>100</v>
      </c>
      <c r="B17" s="46" t="s">
        <v>22</v>
      </c>
      <c r="C17" s="46"/>
      <c r="D17" s="46"/>
      <c r="E17" s="1" t="s">
        <v>68</v>
      </c>
      <c r="F17" s="16">
        <v>1</v>
      </c>
      <c r="G17" s="25" t="s">
        <v>72</v>
      </c>
      <c r="H17" s="23" t="str">
        <f>HYPERLINK("#G17",CHAR(128))</f>
        <v>€</v>
      </c>
    </row>
    <row r="18" spans="1:10" x14ac:dyDescent="0.3">
      <c r="A18" s="5"/>
      <c r="B18" s="42" t="s">
        <v>29</v>
      </c>
      <c r="C18" s="42"/>
      <c r="D18" s="42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 t="s">
        <v>102</v>
      </c>
      <c r="B19" s="46" t="s">
        <v>30</v>
      </c>
      <c r="C19" s="46"/>
      <c r="D19" s="46"/>
      <c r="E19" s="1" t="s">
        <v>101</v>
      </c>
      <c r="F19" s="16">
        <v>1</v>
      </c>
      <c r="G19" s="25" t="s">
        <v>72</v>
      </c>
      <c r="H19" s="23" t="str">
        <f>HYPERLINK("#G19",CHAR(128))</f>
        <v>€</v>
      </c>
    </row>
    <row r="20" spans="1:10" x14ac:dyDescent="0.3">
      <c r="A20" s="5"/>
      <c r="B20" s="51"/>
      <c r="C20" s="52"/>
      <c r="D20" s="53"/>
      <c r="E20" s="4"/>
      <c r="F20" s="4"/>
      <c r="G20" s="4"/>
      <c r="H20" s="14"/>
    </row>
    <row r="21" spans="1:10" x14ac:dyDescent="0.3">
      <c r="A21" s="2" t="s">
        <v>103</v>
      </c>
      <c r="B21" s="46" t="s">
        <v>33</v>
      </c>
      <c r="C21" s="46"/>
      <c r="D21" s="46"/>
      <c r="E21" s="9">
        <v>7.25</v>
      </c>
      <c r="F21" s="16">
        <v>1</v>
      </c>
      <c r="G21" s="25" t="s">
        <v>72</v>
      </c>
      <c r="H21" s="23" t="str">
        <f>HYPERLINK("#G21",CHAR(128))</f>
        <v>€</v>
      </c>
    </row>
    <row r="22" spans="1:10" x14ac:dyDescent="0.3">
      <c r="A22" s="5"/>
      <c r="B22" s="42" t="s">
        <v>31</v>
      </c>
      <c r="C22" s="42"/>
      <c r="D22" s="42"/>
      <c r="E22" s="4"/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/>
      <c r="B23" s="46" t="s">
        <v>48</v>
      </c>
      <c r="C23" s="46"/>
      <c r="D23" s="46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/>
      <c r="B24" s="42" t="s">
        <v>32</v>
      </c>
      <c r="C24" s="42"/>
      <c r="D24" s="42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46"/>
      <c r="C25" s="46"/>
      <c r="D25" s="46"/>
      <c r="E25" s="1"/>
      <c r="F25" s="16"/>
      <c r="G25" s="16"/>
      <c r="H25" s="14"/>
      <c r="I25" s="12"/>
    </row>
    <row r="26" spans="1:10" x14ac:dyDescent="0.3">
      <c r="A26" s="5"/>
      <c r="B26" s="42" t="s">
        <v>37</v>
      </c>
      <c r="C26" s="42"/>
      <c r="D26" s="42"/>
      <c r="E26" s="4" t="str">
        <f>C2</f>
        <v>Moore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45" t="s">
        <v>50</v>
      </c>
      <c r="C29" s="45"/>
      <c r="D29" s="45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2"/>
      <c r="C30" s="42"/>
      <c r="D30" s="42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6"/>
      <c r="C31" s="46"/>
      <c r="D31" s="46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2"/>
      <c r="C32" s="42"/>
      <c r="D32" s="4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6"/>
      <c r="C33" s="46"/>
      <c r="D33" s="46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2"/>
      <c r="C34" s="42"/>
      <c r="D34" s="42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38" t="s">
        <v>40</v>
      </c>
      <c r="B37" s="39" t="s">
        <v>7</v>
      </c>
      <c r="C37" s="39" t="s">
        <v>75</v>
      </c>
      <c r="D37" s="39" t="s">
        <v>76</v>
      </c>
    </row>
    <row r="38" spans="1:8" x14ac:dyDescent="0.3">
      <c r="A38" s="40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57" priority="2" operator="equal">
      <formula>"Returned"</formula>
    </cfRule>
    <cfRule type="cellIs" dxfId="56" priority="5" operator="equal">
      <formula>"Ready To Order"</formula>
    </cfRule>
    <cfRule type="cellIs" dxfId="55" priority="6" operator="equal">
      <formula>"UNP"</formula>
    </cfRule>
    <cfRule type="containsText" dxfId="54" priority="7" operator="containsText" text="Ordered">
      <formula>NOT(ISERROR(SEARCH("Ordered",G6)))</formula>
    </cfRule>
    <cfRule type="containsText" dxfId="53" priority="8" operator="containsText" text="Pick Up">
      <formula>NOT(ISERROR(SEARCH("Pick Up",G6)))</formula>
    </cfRule>
    <cfRule type="containsText" dxfId="52" priority="9" operator="containsText" text="Complete">
      <formula>NOT(ISERROR(SEARCH("Complete",G6)))</formula>
    </cfRule>
  </conditionalFormatting>
  <conditionalFormatting sqref="G30:G33">
    <cfRule type="containsText" dxfId="51" priority="4" operator="containsText" text="Given">
      <formula>NOT(ISERROR(SEARCH("Given",G30)))</formula>
    </cfRule>
  </conditionalFormatting>
  <conditionalFormatting sqref="G30:G34">
    <cfRule type="containsText" dxfId="50" priority="3" operator="containsText" text="Returned">
      <formula>NOT(ISERROR(SEARCH("Returned",G30)))</formula>
    </cfRule>
  </conditionalFormatting>
  <conditionalFormatting sqref="G6:G14 G21:G26 G16:G19">
    <cfRule type="cellIs" dxfId="49" priority="1" operator="equal">
      <formula>"In Stock"</formula>
    </cfRule>
  </conditionalFormatting>
  <dataValidations count="3">
    <dataValidation type="list" allowBlank="1" showInputMessage="1" showErrorMessage="1" sqref="G30:G34" xr:uid="{A81781CE-7871-4FE0-9BDD-4D597129FCD3}">
      <formula1>"--,Returned, Given"</formula1>
    </dataValidation>
    <dataValidation type="list" allowBlank="1" showInputMessage="1" showErrorMessage="1" sqref="G16:G19 G21:G24 G26 G6:G14" xr:uid="{9A399F44-764F-4B60-866F-A7D0EA802EA6}">
      <formula1>"UNP, Ready To Order, Ordered, In Stock, Pick Up, Complete, Returned"</formula1>
    </dataValidation>
    <dataValidation type="decimal" allowBlank="1" showInputMessage="1" showErrorMessage="1" sqref="L2" xr:uid="{71CB1ED1-B031-4EA5-91E5-F79DA65E414B}">
      <formula1>19</formula1>
      <formula2>26</formula2>
    </dataValidation>
  </dataValidations>
  <hyperlinks>
    <hyperlink ref="A1:A2" location="Menu!A1" display="Back to Menu" xr:uid="{A3E60898-F91D-4D55-AD5B-7D2CFF04D07A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489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0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1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2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3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3CB51-E498-4153-B493-2C7117886D5B}">
  <sheetPr codeName="Sheet5"/>
  <dimension ref="A1:L38"/>
  <sheetViews>
    <sheetView workbookViewId="0">
      <selection activeCell="F8" sqref="F8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3" t="s">
        <v>42</v>
      </c>
      <c r="B1" s="20" t="s">
        <v>3</v>
      </c>
      <c r="C1" s="45" t="s">
        <v>0</v>
      </c>
      <c r="D1" s="45"/>
      <c r="E1" s="45" t="s">
        <v>2</v>
      </c>
      <c r="F1" s="45"/>
      <c r="G1" s="20" t="s">
        <v>34</v>
      </c>
      <c r="K1" s="20" t="s">
        <v>38</v>
      </c>
      <c r="L1" s="20" t="s">
        <v>10</v>
      </c>
    </row>
    <row r="2" spans="1:12" x14ac:dyDescent="0.3">
      <c r="A2" s="44"/>
      <c r="B2" s="2" t="s">
        <v>43</v>
      </c>
      <c r="C2" s="46" t="s">
        <v>104</v>
      </c>
      <c r="D2" s="46"/>
      <c r="E2" s="46" t="s">
        <v>105</v>
      </c>
      <c r="F2" s="46"/>
      <c r="G2" s="1" t="s">
        <v>106</v>
      </c>
      <c r="K2" s="4" t="s">
        <v>9</v>
      </c>
      <c r="L2" s="4">
        <v>20.8</v>
      </c>
    </row>
    <row r="3" spans="1:12" x14ac:dyDescent="0.3">
      <c r="A3" s="20" t="s">
        <v>1</v>
      </c>
      <c r="B3" s="47" t="s">
        <v>4</v>
      </c>
      <c r="C3" s="48"/>
      <c r="D3" s="49"/>
      <c r="E3" s="47" t="s">
        <v>49</v>
      </c>
      <c r="F3" s="49"/>
      <c r="G3" s="20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50">
        <v>8965848335</v>
      </c>
      <c r="C4" s="50"/>
      <c r="D4" s="50"/>
      <c r="E4" s="46" t="s">
        <v>53</v>
      </c>
      <c r="F4" s="46"/>
      <c r="G4" s="1" t="s">
        <v>44</v>
      </c>
      <c r="K4" s="4" t="s">
        <v>12</v>
      </c>
      <c r="L4" s="4">
        <v>51.1</v>
      </c>
    </row>
    <row r="5" spans="1:12" x14ac:dyDescent="0.3">
      <c r="A5" s="20" t="s">
        <v>6</v>
      </c>
      <c r="B5" s="45" t="s">
        <v>7</v>
      </c>
      <c r="C5" s="45"/>
      <c r="D5" s="45"/>
      <c r="E5" s="20" t="s">
        <v>8</v>
      </c>
      <c r="F5" s="20" t="s">
        <v>35</v>
      </c>
      <c r="G5" s="20" t="s">
        <v>36</v>
      </c>
      <c r="K5" s="1" t="s">
        <v>13</v>
      </c>
      <c r="L5" s="1">
        <v>62.6</v>
      </c>
    </row>
    <row r="6" spans="1:12" x14ac:dyDescent="0.3">
      <c r="A6" s="3" t="s">
        <v>107</v>
      </c>
      <c r="B6" s="42" t="s">
        <v>18</v>
      </c>
      <c r="C6" s="42"/>
      <c r="D6" s="42"/>
      <c r="E6" s="4">
        <v>7052</v>
      </c>
      <c r="F6" s="4">
        <v>1</v>
      </c>
      <c r="G6" s="25" t="s">
        <v>72</v>
      </c>
      <c r="H6" s="28" t="str">
        <f>HYPERLINK("#G6",CHAR(128))</f>
        <v>€</v>
      </c>
      <c r="K6" s="4" t="s">
        <v>14</v>
      </c>
      <c r="L6" s="4">
        <v>41</v>
      </c>
    </row>
    <row r="7" spans="1:12" x14ac:dyDescent="0.3">
      <c r="A7" s="2" t="s">
        <v>108</v>
      </c>
      <c r="B7" s="46" t="s">
        <v>21</v>
      </c>
      <c r="C7" s="46"/>
      <c r="D7" s="46"/>
      <c r="E7" s="1">
        <v>18</v>
      </c>
      <c r="F7" s="16">
        <v>1</v>
      </c>
      <c r="G7" s="25" t="s">
        <v>72</v>
      </c>
      <c r="H7" s="28" t="str">
        <f>HYPERLINK("#G7",CHAR(128))</f>
        <v>€</v>
      </c>
      <c r="K7" s="1" t="s">
        <v>15</v>
      </c>
      <c r="L7" s="1">
        <v>66.7</v>
      </c>
    </row>
    <row r="8" spans="1:12" x14ac:dyDescent="0.3">
      <c r="A8" s="3" t="s">
        <v>110</v>
      </c>
      <c r="B8" s="42" t="s">
        <v>19</v>
      </c>
      <c r="C8" s="42"/>
      <c r="D8" s="42"/>
      <c r="E8" s="4" t="s">
        <v>109</v>
      </c>
      <c r="F8" s="4">
        <v>1</v>
      </c>
      <c r="G8" s="25" t="s">
        <v>72</v>
      </c>
      <c r="H8" s="28" t="str">
        <f>HYPERLINK("#G8",CHAR(128))</f>
        <v>€</v>
      </c>
      <c r="K8" s="4" t="s">
        <v>16</v>
      </c>
      <c r="L8" s="4">
        <v>273.3</v>
      </c>
    </row>
    <row r="9" spans="1:12" x14ac:dyDescent="0.3">
      <c r="A9" s="2"/>
      <c r="B9" s="46" t="s">
        <v>20</v>
      </c>
      <c r="C9" s="46"/>
      <c r="D9" s="46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>
        <v>89.1</v>
      </c>
    </row>
    <row r="10" spans="1:12" x14ac:dyDescent="0.3">
      <c r="A10" s="3" t="s">
        <v>111</v>
      </c>
      <c r="B10" s="42" t="s">
        <v>24</v>
      </c>
      <c r="C10" s="42"/>
      <c r="D10" s="42"/>
      <c r="E10" s="8">
        <v>6.625</v>
      </c>
      <c r="F10" s="4">
        <v>1</v>
      </c>
      <c r="G10" s="25" t="s">
        <v>72</v>
      </c>
      <c r="H10" s="28" t="str">
        <f>HYPERLINK("#G10",CHAR(128))</f>
        <v>€</v>
      </c>
      <c r="K10" s="15" t="s">
        <v>47</v>
      </c>
      <c r="L10" s="15">
        <v>8.1</v>
      </c>
    </row>
    <row r="11" spans="1:12" x14ac:dyDescent="0.3">
      <c r="A11" s="2" t="s">
        <v>65</v>
      </c>
      <c r="B11" s="46" t="s">
        <v>23</v>
      </c>
      <c r="C11" s="46"/>
      <c r="D11" s="46"/>
      <c r="E11" s="1" t="s">
        <v>64</v>
      </c>
      <c r="F11" s="16">
        <v>1</v>
      </c>
      <c r="G11" s="25" t="s">
        <v>72</v>
      </c>
      <c r="H11" s="28" t="str">
        <f>HYPERLINK("#G11",CHAR(128))</f>
        <v>€</v>
      </c>
    </row>
    <row r="12" spans="1:12" x14ac:dyDescent="0.3">
      <c r="A12" s="5"/>
      <c r="B12" s="42" t="s">
        <v>25</v>
      </c>
      <c r="C12" s="42"/>
      <c r="D12" s="42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3">
      <c r="A13" s="2" t="s">
        <v>113</v>
      </c>
      <c r="B13" s="46" t="s">
        <v>26</v>
      </c>
      <c r="C13" s="46"/>
      <c r="D13" s="46"/>
      <c r="E13" s="1" t="s">
        <v>112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115</v>
      </c>
      <c r="B14" s="42" t="s">
        <v>27</v>
      </c>
      <c r="C14" s="42"/>
      <c r="D14" s="42"/>
      <c r="E14" s="4" t="s">
        <v>114</v>
      </c>
      <c r="F14" s="4">
        <v>1</v>
      </c>
      <c r="G14" s="25" t="s">
        <v>72</v>
      </c>
      <c r="H14" s="28" t="str">
        <f>HYPERLINK("#G14",CHAR(128))</f>
        <v>€</v>
      </c>
    </row>
    <row r="15" spans="1:12" x14ac:dyDescent="0.3">
      <c r="A15" s="2"/>
      <c r="B15" s="54"/>
      <c r="C15" s="54"/>
      <c r="D15" s="54"/>
      <c r="E15" s="1"/>
      <c r="F15" s="16"/>
      <c r="G15" s="16"/>
      <c r="H15" s="14"/>
    </row>
    <row r="16" spans="1:12" x14ac:dyDescent="0.3">
      <c r="A16" s="5" t="s">
        <v>46</v>
      </c>
      <c r="B16" s="42" t="s">
        <v>28</v>
      </c>
      <c r="C16" s="42"/>
      <c r="D16" s="42"/>
      <c r="E16" s="4" t="s">
        <v>52</v>
      </c>
      <c r="F16" s="4">
        <v>1</v>
      </c>
      <c r="G16" s="25" t="s">
        <v>72</v>
      </c>
      <c r="H16" s="23" t="str">
        <f>HYPERLINK("#G16",CHAR(128))</f>
        <v>€</v>
      </c>
    </row>
    <row r="17" spans="1:10" x14ac:dyDescent="0.3">
      <c r="A17" s="2" t="s">
        <v>117</v>
      </c>
      <c r="B17" s="46" t="s">
        <v>22</v>
      </c>
      <c r="C17" s="46"/>
      <c r="D17" s="46"/>
      <c r="E17" s="1" t="s">
        <v>116</v>
      </c>
      <c r="F17" s="16">
        <v>1</v>
      </c>
      <c r="G17" s="25" t="s">
        <v>72</v>
      </c>
      <c r="H17" s="23" t="str">
        <f>HYPERLINK("#G17",CHAR(128))</f>
        <v>€</v>
      </c>
    </row>
    <row r="18" spans="1:10" x14ac:dyDescent="0.3">
      <c r="A18" s="5" t="s">
        <v>118</v>
      </c>
      <c r="B18" s="42" t="s">
        <v>29</v>
      </c>
      <c r="C18" s="42"/>
      <c r="D18" s="42"/>
      <c r="E18" s="4">
        <v>7656</v>
      </c>
      <c r="F18" s="4">
        <v>1</v>
      </c>
      <c r="G18" s="25" t="s">
        <v>72</v>
      </c>
      <c r="H18" s="23" t="str">
        <f>HYPERLINK("#G18",CHAR(128))</f>
        <v>€</v>
      </c>
    </row>
    <row r="19" spans="1:10" x14ac:dyDescent="0.3">
      <c r="A19" s="2" t="s">
        <v>120</v>
      </c>
      <c r="B19" s="46" t="s">
        <v>30</v>
      </c>
      <c r="C19" s="46"/>
      <c r="D19" s="46"/>
      <c r="E19" s="1" t="s">
        <v>119</v>
      </c>
      <c r="F19" s="16">
        <v>1</v>
      </c>
      <c r="G19" s="25" t="s">
        <v>72</v>
      </c>
      <c r="H19" s="23" t="str">
        <f>HYPERLINK("#G19",CHAR(128))</f>
        <v>€</v>
      </c>
    </row>
    <row r="20" spans="1:10" x14ac:dyDescent="0.3">
      <c r="A20" s="5"/>
      <c r="B20" s="51"/>
      <c r="C20" s="52"/>
      <c r="D20" s="53"/>
      <c r="E20" s="4"/>
      <c r="F20" s="4"/>
      <c r="G20" s="4"/>
      <c r="H20" s="14"/>
    </row>
    <row r="21" spans="1:10" x14ac:dyDescent="0.3">
      <c r="A21" s="2" t="s">
        <v>121</v>
      </c>
      <c r="B21" s="46" t="s">
        <v>33</v>
      </c>
      <c r="C21" s="46"/>
      <c r="D21" s="46"/>
      <c r="E21" s="9">
        <v>6.625</v>
      </c>
      <c r="F21" s="16">
        <v>1</v>
      </c>
      <c r="G21" s="25" t="s">
        <v>72</v>
      </c>
      <c r="H21" s="23" t="str">
        <f>HYPERLINK("#G21",CHAR(128))</f>
        <v>€</v>
      </c>
    </row>
    <row r="22" spans="1:10" x14ac:dyDescent="0.3">
      <c r="A22" s="5" t="s">
        <v>122</v>
      </c>
      <c r="B22" s="42" t="s">
        <v>31</v>
      </c>
      <c r="C22" s="42"/>
      <c r="D22" s="42"/>
      <c r="E22" s="4">
        <v>7052</v>
      </c>
      <c r="F22" s="4">
        <v>1</v>
      </c>
      <c r="G22" s="25" t="s">
        <v>72</v>
      </c>
      <c r="H22" s="23" t="str">
        <f>HYPERLINK("#G22",CHAR(128))</f>
        <v>€</v>
      </c>
    </row>
    <row r="23" spans="1:10" x14ac:dyDescent="0.3">
      <c r="A23" s="2"/>
      <c r="B23" s="46" t="s">
        <v>48</v>
      </c>
      <c r="C23" s="46"/>
      <c r="D23" s="46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 t="s">
        <v>124</v>
      </c>
      <c r="B24" s="42" t="s">
        <v>32</v>
      </c>
      <c r="C24" s="42"/>
      <c r="D24" s="42"/>
      <c r="E24" s="4" t="s">
        <v>123</v>
      </c>
      <c r="F24" s="4">
        <v>1</v>
      </c>
      <c r="G24" s="25" t="s">
        <v>72</v>
      </c>
      <c r="H24" s="22" t="str">
        <f>HYPERLINK("#G24",CHAR(128))</f>
        <v>€</v>
      </c>
    </row>
    <row r="25" spans="1:10" x14ac:dyDescent="0.3">
      <c r="A25" s="2"/>
      <c r="B25" s="46"/>
      <c r="C25" s="46"/>
      <c r="D25" s="46"/>
      <c r="E25" s="1"/>
      <c r="F25" s="16"/>
      <c r="G25" s="16"/>
      <c r="H25" s="14"/>
      <c r="I25" s="12"/>
    </row>
    <row r="26" spans="1:10" x14ac:dyDescent="0.3">
      <c r="A26" s="5"/>
      <c r="B26" s="42" t="s">
        <v>37</v>
      </c>
      <c r="C26" s="42"/>
      <c r="D26" s="42"/>
      <c r="E26" s="4" t="str">
        <f>C2</f>
        <v>Robinson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45" t="s">
        <v>50</v>
      </c>
      <c r="C29" s="45"/>
      <c r="D29" s="45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2"/>
      <c r="C30" s="42"/>
      <c r="D30" s="42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6"/>
      <c r="C31" s="46"/>
      <c r="D31" s="46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2"/>
      <c r="C32" s="42"/>
      <c r="D32" s="4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6"/>
      <c r="C33" s="46"/>
      <c r="D33" s="46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2"/>
      <c r="C34" s="42"/>
      <c r="D34" s="42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38" t="s">
        <v>40</v>
      </c>
      <c r="B37" s="38" t="s">
        <v>7</v>
      </c>
      <c r="C37" s="38" t="s">
        <v>75</v>
      </c>
      <c r="D37" s="38" t="s">
        <v>76</v>
      </c>
    </row>
    <row r="38" spans="1:8" x14ac:dyDescent="0.3">
      <c r="A38" s="41"/>
      <c r="B38" s="38"/>
      <c r="C38" s="38"/>
      <c r="D38" s="38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41" priority="2" operator="equal">
      <formula>"Returned"</formula>
    </cfRule>
    <cfRule type="cellIs" dxfId="40" priority="5" operator="equal">
      <formula>"Ready To Order"</formula>
    </cfRule>
    <cfRule type="cellIs" dxfId="39" priority="6" operator="equal">
      <formula>"UNP"</formula>
    </cfRule>
    <cfRule type="containsText" dxfId="38" priority="7" operator="containsText" text="Ordered">
      <formula>NOT(ISERROR(SEARCH("Ordered",G6)))</formula>
    </cfRule>
    <cfRule type="containsText" dxfId="37" priority="8" operator="containsText" text="Pick Up">
      <formula>NOT(ISERROR(SEARCH("Pick Up",G6)))</formula>
    </cfRule>
    <cfRule type="containsText" dxfId="36" priority="9" operator="containsText" text="Complete">
      <formula>NOT(ISERROR(SEARCH("Complete",G6)))</formula>
    </cfRule>
  </conditionalFormatting>
  <conditionalFormatting sqref="G30:G33">
    <cfRule type="containsText" dxfId="35" priority="4" operator="containsText" text="Given">
      <formula>NOT(ISERROR(SEARCH("Given",G30)))</formula>
    </cfRule>
  </conditionalFormatting>
  <conditionalFormatting sqref="G30:G34">
    <cfRule type="containsText" dxfId="34" priority="3" operator="containsText" text="Returned">
      <formula>NOT(ISERROR(SEARCH("Returned",G30)))</formula>
    </cfRule>
  </conditionalFormatting>
  <conditionalFormatting sqref="G6:G14 G21:G26 G16:G19">
    <cfRule type="cellIs" dxfId="33" priority="1" operator="equal">
      <formula>"In Stock"</formula>
    </cfRule>
  </conditionalFormatting>
  <dataValidations count="3">
    <dataValidation type="list" allowBlank="1" showInputMessage="1" showErrorMessage="1" sqref="G30:G34" xr:uid="{3F3B1EE5-ED85-447D-867E-F1E587665512}">
      <formula1>"--,Returned, Given"</formula1>
    </dataValidation>
    <dataValidation type="list" allowBlank="1" showInputMessage="1" showErrorMessage="1" sqref="G16:G19 G21:G24 G26 G6:G14" xr:uid="{12977E81-501C-478B-AC0A-6DD9C6B08ECD}">
      <formula1>"UNP, Ready To Order, Ordered, In Stock, Pick Up, Complete, Returned"</formula1>
    </dataValidation>
    <dataValidation type="decimal" allowBlank="1" showInputMessage="1" showErrorMessage="1" sqref="L2" xr:uid="{4DB287B4-0D8A-4B6E-BB40-AF64DAC03DC6}">
      <formula1>19</formula1>
      <formula2>26</formula2>
    </dataValidation>
  </dataValidations>
  <hyperlinks>
    <hyperlink ref="A1:A2" location="Menu!A1" display="Back to Menu" xr:uid="{67167112-FD10-4B4E-ABB3-74943B67E3A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513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4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5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6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0A140-A064-4558-A1F7-77178559C029}">
  <sheetPr codeName="Sheet6"/>
  <dimension ref="A1:L37"/>
  <sheetViews>
    <sheetView topLeftCell="A19" workbookViewId="0">
      <selection activeCell="F41" sqref="F41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3" t="s">
        <v>42</v>
      </c>
      <c r="B1" s="20" t="s">
        <v>3</v>
      </c>
      <c r="C1" s="45" t="s">
        <v>0</v>
      </c>
      <c r="D1" s="45"/>
      <c r="E1" s="45" t="s">
        <v>2</v>
      </c>
      <c r="F1" s="45"/>
      <c r="G1" s="20" t="s">
        <v>34</v>
      </c>
      <c r="K1" s="20" t="s">
        <v>38</v>
      </c>
      <c r="L1" s="20" t="s">
        <v>10</v>
      </c>
    </row>
    <row r="2" spans="1:12" x14ac:dyDescent="0.3">
      <c r="A2" s="44"/>
      <c r="B2" s="2" t="s">
        <v>43</v>
      </c>
      <c r="C2" s="46" t="s">
        <v>126</v>
      </c>
      <c r="D2" s="46"/>
      <c r="E2" s="46" t="s">
        <v>127</v>
      </c>
      <c r="F2" s="46"/>
      <c r="G2" s="1" t="s">
        <v>128</v>
      </c>
      <c r="K2" s="4" t="s">
        <v>9</v>
      </c>
      <c r="L2" s="4">
        <v>22.7</v>
      </c>
    </row>
    <row r="3" spans="1:12" x14ac:dyDescent="0.3">
      <c r="A3" s="20" t="s">
        <v>1</v>
      </c>
      <c r="B3" s="47" t="s">
        <v>4</v>
      </c>
      <c r="C3" s="48"/>
      <c r="D3" s="49"/>
      <c r="E3" s="47" t="s">
        <v>49</v>
      </c>
      <c r="F3" s="49"/>
      <c r="G3" s="20" t="s">
        <v>5</v>
      </c>
      <c r="K3" s="1" t="s">
        <v>11</v>
      </c>
      <c r="L3" s="1">
        <v>16.399999999999999</v>
      </c>
    </row>
    <row r="4" spans="1:12" x14ac:dyDescent="0.3">
      <c r="A4" s="1" t="s">
        <v>39</v>
      </c>
      <c r="B4" s="50">
        <v>3404671182</v>
      </c>
      <c r="C4" s="50"/>
      <c r="D4" s="50"/>
      <c r="E4" s="46" t="s">
        <v>53</v>
      </c>
      <c r="F4" s="46"/>
      <c r="G4" s="1" t="s">
        <v>129</v>
      </c>
      <c r="K4" s="4" t="s">
        <v>12</v>
      </c>
      <c r="L4" s="4">
        <v>24</v>
      </c>
    </row>
    <row r="5" spans="1:12" x14ac:dyDescent="0.3">
      <c r="A5" s="20" t="s">
        <v>6</v>
      </c>
      <c r="B5" s="45" t="s">
        <v>7</v>
      </c>
      <c r="C5" s="45"/>
      <c r="D5" s="45"/>
      <c r="E5" s="20" t="s">
        <v>8</v>
      </c>
      <c r="F5" s="20" t="s">
        <v>35</v>
      </c>
      <c r="G5" s="20" t="s">
        <v>36</v>
      </c>
      <c r="K5" s="1" t="s">
        <v>13</v>
      </c>
      <c r="L5" s="1">
        <v>38.200000000000003</v>
      </c>
    </row>
    <row r="6" spans="1:12" x14ac:dyDescent="0.3">
      <c r="A6" s="3" t="s">
        <v>130</v>
      </c>
      <c r="B6" s="42" t="s">
        <v>18</v>
      </c>
      <c r="C6" s="42"/>
      <c r="D6" s="42"/>
      <c r="E6" s="4">
        <v>7030</v>
      </c>
      <c r="F6" s="4">
        <v>1</v>
      </c>
      <c r="G6" s="25" t="s">
        <v>72</v>
      </c>
      <c r="H6" s="28" t="str">
        <f>HYPERLINK("#G6",CHAR(128))</f>
        <v>€</v>
      </c>
      <c r="K6" s="4" t="s">
        <v>14</v>
      </c>
      <c r="L6" s="4">
        <v>31.7</v>
      </c>
    </row>
    <row r="7" spans="1:12" x14ac:dyDescent="0.3">
      <c r="A7" s="2" t="s">
        <v>132</v>
      </c>
      <c r="B7" s="46" t="s">
        <v>21</v>
      </c>
      <c r="C7" s="46"/>
      <c r="D7" s="46"/>
      <c r="E7" s="1" t="s">
        <v>131</v>
      </c>
      <c r="F7" s="16">
        <v>1</v>
      </c>
      <c r="G7" s="25" t="s">
        <v>72</v>
      </c>
      <c r="H7" s="28" t="str">
        <f>HYPERLINK("#G7",CHAR(128))</f>
        <v>€</v>
      </c>
      <c r="K7" s="1" t="s">
        <v>15</v>
      </c>
      <c r="L7" s="1">
        <v>69.599999999999994</v>
      </c>
    </row>
    <row r="8" spans="1:12" x14ac:dyDescent="0.3">
      <c r="A8" s="3" t="s">
        <v>134</v>
      </c>
      <c r="B8" s="42" t="s">
        <v>19</v>
      </c>
      <c r="C8" s="42"/>
      <c r="D8" s="42"/>
      <c r="E8" s="4" t="s">
        <v>133</v>
      </c>
      <c r="F8" s="4">
        <v>1</v>
      </c>
      <c r="G8" s="25" t="s">
        <v>72</v>
      </c>
      <c r="H8" s="28" t="str">
        <f>HYPERLINK("#G8",CHAR(128))</f>
        <v>€</v>
      </c>
      <c r="K8" s="4" t="s">
        <v>16</v>
      </c>
      <c r="L8" s="4">
        <v>269.5</v>
      </c>
    </row>
    <row r="9" spans="1:12" x14ac:dyDescent="0.3">
      <c r="A9" s="2" t="s">
        <v>136</v>
      </c>
      <c r="B9" s="46" t="s">
        <v>20</v>
      </c>
      <c r="C9" s="46"/>
      <c r="D9" s="46"/>
      <c r="E9" s="1" t="s">
        <v>135</v>
      </c>
      <c r="F9" s="16">
        <v>1</v>
      </c>
      <c r="G9" s="25" t="s">
        <v>72</v>
      </c>
      <c r="H9" s="28" t="str">
        <f>HYPERLINK("#G9",CHAR(128))</f>
        <v>€</v>
      </c>
      <c r="I9" s="11"/>
      <c r="K9" s="1" t="s">
        <v>17</v>
      </c>
      <c r="L9" s="1">
        <v>108</v>
      </c>
    </row>
    <row r="10" spans="1:12" x14ac:dyDescent="0.3">
      <c r="A10" s="3" t="s">
        <v>95</v>
      </c>
      <c r="B10" s="42" t="s">
        <v>24</v>
      </c>
      <c r="C10" s="42"/>
      <c r="D10" s="42"/>
      <c r="E10" s="8">
        <v>7.25</v>
      </c>
      <c r="F10" s="4">
        <v>1</v>
      </c>
      <c r="G10" s="25" t="s">
        <v>72</v>
      </c>
      <c r="H10" s="28" t="str">
        <f>HYPERLINK("#G10",CHAR(128))</f>
        <v>€</v>
      </c>
      <c r="K10" s="15" t="s">
        <v>47</v>
      </c>
      <c r="L10" s="15">
        <v>9.6999999999999993</v>
      </c>
    </row>
    <row r="11" spans="1:12" x14ac:dyDescent="0.3">
      <c r="A11" s="2" t="s">
        <v>138</v>
      </c>
      <c r="B11" s="46" t="s">
        <v>23</v>
      </c>
      <c r="C11" s="46"/>
      <c r="D11" s="46"/>
      <c r="E11" s="1" t="s">
        <v>137</v>
      </c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 t="s">
        <v>140</v>
      </c>
      <c r="B12" s="42" t="s">
        <v>25</v>
      </c>
      <c r="C12" s="42"/>
      <c r="D12" s="42"/>
      <c r="E12" s="4" t="s">
        <v>139</v>
      </c>
      <c r="F12" s="4">
        <v>1</v>
      </c>
      <c r="G12" s="25" t="s">
        <v>72</v>
      </c>
      <c r="H12" s="28" t="str">
        <f>HYPERLINK("#G12",CHAR(128))</f>
        <v>€</v>
      </c>
    </row>
    <row r="13" spans="1:12" x14ac:dyDescent="0.3">
      <c r="A13" s="2" t="s">
        <v>142</v>
      </c>
      <c r="B13" s="46" t="s">
        <v>26</v>
      </c>
      <c r="C13" s="46"/>
      <c r="D13" s="46"/>
      <c r="E13" s="1" t="s">
        <v>141</v>
      </c>
      <c r="F13" s="16">
        <v>1</v>
      </c>
      <c r="G13" s="25" t="s">
        <v>72</v>
      </c>
      <c r="H13" s="28" t="str">
        <f>HYPERLINK("#G13",CHAR(128))</f>
        <v>€</v>
      </c>
    </row>
    <row r="14" spans="1:12" x14ac:dyDescent="0.3">
      <c r="A14" s="5" t="s">
        <v>144</v>
      </c>
      <c r="B14" s="42" t="s">
        <v>27</v>
      </c>
      <c r="C14" s="42"/>
      <c r="D14" s="42"/>
      <c r="E14" s="4" t="s">
        <v>143</v>
      </c>
      <c r="F14" s="4">
        <v>1</v>
      </c>
      <c r="G14" s="25" t="s">
        <v>72</v>
      </c>
      <c r="H14" s="28" t="str">
        <f>HYPERLINK("#G14",CHAR(128))</f>
        <v>€</v>
      </c>
    </row>
    <row r="15" spans="1:12" x14ac:dyDescent="0.3">
      <c r="A15" s="2"/>
      <c r="B15" s="54"/>
      <c r="C15" s="54"/>
      <c r="D15" s="54"/>
      <c r="E15" s="1"/>
      <c r="F15" s="16"/>
      <c r="G15" s="16"/>
      <c r="H15" s="14"/>
    </row>
    <row r="16" spans="1:12" x14ac:dyDescent="0.3">
      <c r="A16" s="5" t="s">
        <v>46</v>
      </c>
      <c r="B16" s="42" t="s">
        <v>28</v>
      </c>
      <c r="C16" s="42"/>
      <c r="D16" s="42"/>
      <c r="E16" s="4" t="s">
        <v>52</v>
      </c>
      <c r="F16" s="4">
        <v>1</v>
      </c>
      <c r="G16" s="25" t="s">
        <v>72</v>
      </c>
      <c r="H16" s="23" t="str">
        <f>HYPERLINK("#G16",CHAR(128))</f>
        <v>€</v>
      </c>
    </row>
    <row r="17" spans="1:10" x14ac:dyDescent="0.3">
      <c r="A17" s="2" t="s">
        <v>100</v>
      </c>
      <c r="B17" s="46" t="s">
        <v>22</v>
      </c>
      <c r="C17" s="46"/>
      <c r="D17" s="46"/>
      <c r="E17" s="1" t="s">
        <v>68</v>
      </c>
      <c r="F17" s="16">
        <v>1</v>
      </c>
      <c r="G17" s="25" t="s">
        <v>72</v>
      </c>
      <c r="H17" s="23" t="str">
        <f>HYPERLINK("#G17",CHAR(128))</f>
        <v>€</v>
      </c>
    </row>
    <row r="18" spans="1:10" x14ac:dyDescent="0.3">
      <c r="A18" s="5" t="s">
        <v>145</v>
      </c>
      <c r="B18" s="42" t="s">
        <v>29</v>
      </c>
      <c r="C18" s="42"/>
      <c r="D18" s="42"/>
      <c r="E18" s="4">
        <v>7036</v>
      </c>
      <c r="F18" s="4">
        <v>1</v>
      </c>
      <c r="G18" s="25" t="s">
        <v>72</v>
      </c>
      <c r="H18" s="23" t="str">
        <f>HYPERLINK("#G18",CHAR(128))</f>
        <v>€</v>
      </c>
    </row>
    <row r="19" spans="1:10" x14ac:dyDescent="0.3">
      <c r="A19" s="2" t="s">
        <v>102</v>
      </c>
      <c r="B19" s="46" t="s">
        <v>30</v>
      </c>
      <c r="C19" s="46"/>
      <c r="D19" s="46"/>
      <c r="E19" s="1" t="s">
        <v>101</v>
      </c>
      <c r="F19" s="16">
        <v>1</v>
      </c>
      <c r="G19" s="25" t="s">
        <v>72</v>
      </c>
      <c r="H19" s="23" t="str">
        <f>HYPERLINK("#G19",CHAR(128))</f>
        <v>€</v>
      </c>
    </row>
    <row r="20" spans="1:10" x14ac:dyDescent="0.3">
      <c r="A20" s="5"/>
      <c r="B20" s="51"/>
      <c r="C20" s="52"/>
      <c r="D20" s="53"/>
      <c r="E20" s="4"/>
      <c r="F20" s="4"/>
      <c r="G20" s="4"/>
      <c r="H20" s="14"/>
    </row>
    <row r="21" spans="1:10" x14ac:dyDescent="0.3">
      <c r="A21" s="2" t="s">
        <v>103</v>
      </c>
      <c r="B21" s="46" t="s">
        <v>33</v>
      </c>
      <c r="C21" s="46"/>
      <c r="D21" s="46"/>
      <c r="E21" s="9">
        <v>7.25</v>
      </c>
      <c r="F21" s="16">
        <v>1</v>
      </c>
      <c r="G21" s="25" t="s">
        <v>72</v>
      </c>
      <c r="H21" s="23" t="str">
        <f>HYPERLINK("#G21",CHAR(128))</f>
        <v>€</v>
      </c>
    </row>
    <row r="22" spans="1:10" x14ac:dyDescent="0.3">
      <c r="A22" s="5" t="s">
        <v>146</v>
      </c>
      <c r="B22" s="42" t="s">
        <v>31</v>
      </c>
      <c r="C22" s="42"/>
      <c r="D22" s="42"/>
      <c r="E22" s="4">
        <v>7036</v>
      </c>
      <c r="F22" s="4">
        <v>1</v>
      </c>
      <c r="G22" s="25" t="s">
        <v>72</v>
      </c>
      <c r="H22" s="23" t="str">
        <f>HYPERLINK("#G22",CHAR(128))</f>
        <v>€</v>
      </c>
    </row>
    <row r="23" spans="1:10" x14ac:dyDescent="0.3">
      <c r="A23" s="2" t="s">
        <v>147</v>
      </c>
      <c r="B23" s="46" t="s">
        <v>48</v>
      </c>
      <c r="C23" s="46"/>
      <c r="D23" s="46"/>
      <c r="E23" s="1">
        <v>7038</v>
      </c>
      <c r="F23" s="16">
        <v>1</v>
      </c>
      <c r="G23" s="25" t="s">
        <v>72</v>
      </c>
      <c r="H23" s="22" t="str">
        <f>HYPERLINK("#G23",CHAR(128))</f>
        <v>€</v>
      </c>
    </row>
    <row r="24" spans="1:10" x14ac:dyDescent="0.3">
      <c r="A24" s="5" t="s">
        <v>149</v>
      </c>
      <c r="B24" s="42" t="s">
        <v>32</v>
      </c>
      <c r="C24" s="42"/>
      <c r="D24" s="42"/>
      <c r="E24" s="4" t="s">
        <v>148</v>
      </c>
      <c r="F24" s="4">
        <v>1</v>
      </c>
      <c r="G24" s="25" t="s">
        <v>72</v>
      </c>
      <c r="H24" s="22" t="str">
        <f>HYPERLINK("#G24",CHAR(128))</f>
        <v>€</v>
      </c>
    </row>
    <row r="25" spans="1:10" x14ac:dyDescent="0.3">
      <c r="A25" s="2"/>
      <c r="B25" s="46"/>
      <c r="C25" s="46"/>
      <c r="D25" s="46"/>
      <c r="E25" s="1"/>
      <c r="F25" s="16"/>
      <c r="G25" s="16"/>
      <c r="H25" s="14"/>
      <c r="I25" s="12"/>
    </row>
    <row r="26" spans="1:10" x14ac:dyDescent="0.3">
      <c r="A26" s="5"/>
      <c r="B26" s="42" t="s">
        <v>37</v>
      </c>
      <c r="C26" s="42"/>
      <c r="D26" s="42"/>
      <c r="E26" s="4" t="str">
        <f>C2</f>
        <v>Martin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45" t="s">
        <v>50</v>
      </c>
      <c r="C29" s="45"/>
      <c r="D29" s="45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2"/>
      <c r="C30" s="42"/>
      <c r="D30" s="42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6"/>
      <c r="C31" s="46"/>
      <c r="D31" s="46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2"/>
      <c r="C32" s="42"/>
      <c r="D32" s="4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6"/>
      <c r="C33" s="46"/>
      <c r="D33" s="46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2"/>
      <c r="C34" s="42"/>
      <c r="D34" s="42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75</v>
      </c>
      <c r="D37" t="s">
        <v>125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26" priority="2" operator="equal">
      <formula>"Returned"</formula>
    </cfRule>
    <cfRule type="cellIs" dxfId="25" priority="5" operator="equal">
      <formula>"Ready To Order"</formula>
    </cfRule>
    <cfRule type="cellIs" dxfId="24" priority="6" operator="equal">
      <formula>"UNP"</formula>
    </cfRule>
    <cfRule type="containsText" dxfId="23" priority="7" operator="containsText" text="Ordered">
      <formula>NOT(ISERROR(SEARCH("Ordered",G6)))</formula>
    </cfRule>
    <cfRule type="containsText" dxfId="22" priority="8" operator="containsText" text="Pick Up">
      <formula>NOT(ISERROR(SEARCH("Pick Up",G6)))</formula>
    </cfRule>
    <cfRule type="containsText" dxfId="21" priority="9" operator="containsText" text="Complete">
      <formula>NOT(ISERROR(SEARCH("Complete",G6)))</formula>
    </cfRule>
  </conditionalFormatting>
  <conditionalFormatting sqref="G30:G33">
    <cfRule type="containsText" dxfId="20" priority="4" operator="containsText" text="Given">
      <formula>NOT(ISERROR(SEARCH("Given",G30)))</formula>
    </cfRule>
  </conditionalFormatting>
  <conditionalFormatting sqref="G30:G34">
    <cfRule type="containsText" dxfId="19" priority="3" operator="containsText" text="Returned">
      <formula>NOT(ISERROR(SEARCH("Returned",G30)))</formula>
    </cfRule>
  </conditionalFormatting>
  <conditionalFormatting sqref="G6:G14 G21:G26 G16:G19">
    <cfRule type="cellIs" dxfId="18" priority="1" operator="equal">
      <formula>"In Stock"</formula>
    </cfRule>
  </conditionalFormatting>
  <dataValidations count="3">
    <dataValidation type="list" allowBlank="1" showInputMessage="1" showErrorMessage="1" sqref="G30:G34" xr:uid="{E33845D3-0292-4C9E-A0EF-615AD56ECADC}">
      <formula1>"--,Returned, Given"</formula1>
    </dataValidation>
    <dataValidation type="list" allowBlank="1" showInputMessage="1" showErrorMessage="1" sqref="G16:G19 G21:G24 G26 G6:G14" xr:uid="{C404BF38-7391-45FF-BDDA-C6DF8D0CC6D2}">
      <formula1>"UNP, Ready To Order, Ordered, In Stock, Pick Up, Complete, Returned"</formula1>
    </dataValidation>
    <dataValidation type="decimal" allowBlank="1" showInputMessage="1" showErrorMessage="1" sqref="L2" xr:uid="{99B68E05-B898-4D1B-BA0A-EE08946667AD}">
      <formula1>19</formula1>
      <formula2>26</formula2>
    </dataValidation>
  </dataValidations>
  <hyperlinks>
    <hyperlink ref="A1:A2" location="Menu!A1" display="Back to Menu" xr:uid="{BEB4A508-94A6-4284-B241-3F31F4D8D55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537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38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39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40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41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B5540-C849-4DA4-B0EE-6747668BB4F6}">
  <sheetPr codeName="Sheet7"/>
  <dimension ref="A1:L37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3" t="s">
        <v>42</v>
      </c>
      <c r="B1" s="20" t="s">
        <v>3</v>
      </c>
      <c r="C1" s="45" t="s">
        <v>0</v>
      </c>
      <c r="D1" s="45"/>
      <c r="E1" s="45" t="s">
        <v>2</v>
      </c>
      <c r="F1" s="45"/>
      <c r="G1" s="20" t="s">
        <v>34</v>
      </c>
      <c r="K1" s="20" t="s">
        <v>38</v>
      </c>
      <c r="L1" s="20" t="s">
        <v>10</v>
      </c>
    </row>
    <row r="2" spans="1:12" x14ac:dyDescent="0.3">
      <c r="A2" s="44"/>
      <c r="B2" s="2" t="s">
        <v>43</v>
      </c>
      <c r="C2" s="46" t="s">
        <v>152</v>
      </c>
      <c r="D2" s="46"/>
      <c r="E2" s="46" t="s">
        <v>153</v>
      </c>
      <c r="F2" s="46"/>
      <c r="G2" s="1" t="s">
        <v>154</v>
      </c>
      <c r="K2" s="4" t="s">
        <v>9</v>
      </c>
      <c r="L2" s="4">
        <v>21.9</v>
      </c>
    </row>
    <row r="3" spans="1:12" x14ac:dyDescent="0.3">
      <c r="A3" s="20" t="s">
        <v>1</v>
      </c>
      <c r="B3" s="47" t="s">
        <v>4</v>
      </c>
      <c r="C3" s="48"/>
      <c r="D3" s="49"/>
      <c r="E3" s="47" t="s">
        <v>49</v>
      </c>
      <c r="F3" s="49"/>
      <c r="G3" s="20" t="s">
        <v>5</v>
      </c>
      <c r="K3" s="1" t="s">
        <v>11</v>
      </c>
      <c r="L3" s="1">
        <v>16.3</v>
      </c>
    </row>
    <row r="4" spans="1:12" x14ac:dyDescent="0.3">
      <c r="A4" s="1" t="s">
        <v>39</v>
      </c>
      <c r="B4" s="50">
        <v>4298524979</v>
      </c>
      <c r="C4" s="50"/>
      <c r="D4" s="50"/>
      <c r="E4" s="46" t="s">
        <v>53</v>
      </c>
      <c r="F4" s="46"/>
      <c r="G4" s="1" t="s">
        <v>129</v>
      </c>
      <c r="K4" s="4" t="s">
        <v>12</v>
      </c>
      <c r="L4" s="4">
        <v>30.6</v>
      </c>
    </row>
    <row r="5" spans="1:12" x14ac:dyDescent="0.3">
      <c r="A5" s="20" t="s">
        <v>6</v>
      </c>
      <c r="B5" s="45" t="s">
        <v>7</v>
      </c>
      <c r="C5" s="45"/>
      <c r="D5" s="45"/>
      <c r="E5" s="20" t="s">
        <v>8</v>
      </c>
      <c r="F5" s="20" t="s">
        <v>35</v>
      </c>
      <c r="G5" s="20" t="s">
        <v>36</v>
      </c>
      <c r="K5" s="1" t="s">
        <v>13</v>
      </c>
      <c r="L5" s="1">
        <v>41.5</v>
      </c>
    </row>
    <row r="6" spans="1:12" x14ac:dyDescent="0.3">
      <c r="A6" s="3" t="s">
        <v>155</v>
      </c>
      <c r="B6" s="42" t="s">
        <v>18</v>
      </c>
      <c r="C6" s="42"/>
      <c r="D6" s="42"/>
      <c r="E6" s="4">
        <v>6132</v>
      </c>
      <c r="F6" s="4">
        <v>1</v>
      </c>
      <c r="G6" s="25" t="s">
        <v>72</v>
      </c>
      <c r="H6" s="28" t="str">
        <f>HYPERLINK("#G6",CHAR(128))</f>
        <v>€</v>
      </c>
      <c r="K6" s="4" t="s">
        <v>14</v>
      </c>
      <c r="L6" s="4">
        <v>58.2</v>
      </c>
    </row>
    <row r="7" spans="1:12" x14ac:dyDescent="0.3">
      <c r="A7" s="2" t="s">
        <v>132</v>
      </c>
      <c r="B7" s="46" t="s">
        <v>21</v>
      </c>
      <c r="C7" s="46"/>
      <c r="D7" s="46"/>
      <c r="E7" s="1" t="s">
        <v>131</v>
      </c>
      <c r="F7" s="16">
        <v>1</v>
      </c>
      <c r="G7" s="25" t="s">
        <v>72</v>
      </c>
      <c r="H7" s="28" t="str">
        <f>HYPERLINK("#G7",CHAR(128))</f>
        <v>€</v>
      </c>
      <c r="K7" s="1" t="s">
        <v>15</v>
      </c>
      <c r="L7" s="1">
        <v>59.5</v>
      </c>
    </row>
    <row r="8" spans="1:12" x14ac:dyDescent="0.3">
      <c r="A8" s="3" t="s">
        <v>156</v>
      </c>
      <c r="B8" s="42" t="s">
        <v>19</v>
      </c>
      <c r="C8" s="42"/>
      <c r="D8" s="42"/>
      <c r="E8" s="4" t="s">
        <v>116</v>
      </c>
      <c r="F8" s="4">
        <v>1</v>
      </c>
      <c r="G8" s="25" t="s">
        <v>72</v>
      </c>
      <c r="H8" s="28" t="str">
        <f>HYPERLINK("#G8",CHAR(128))</f>
        <v>€</v>
      </c>
      <c r="K8" s="4" t="s">
        <v>16</v>
      </c>
      <c r="L8" s="4">
        <v>216.6</v>
      </c>
    </row>
    <row r="9" spans="1:12" x14ac:dyDescent="0.3">
      <c r="A9" s="2" t="s">
        <v>158</v>
      </c>
      <c r="B9" s="46" t="s">
        <v>20</v>
      </c>
      <c r="C9" s="46"/>
      <c r="D9" s="46"/>
      <c r="E9" s="1" t="s">
        <v>157</v>
      </c>
      <c r="F9" s="16">
        <v>1</v>
      </c>
      <c r="G9" s="25" t="s">
        <v>72</v>
      </c>
      <c r="H9" s="28" t="str">
        <f>HYPERLINK("#G9",CHAR(128))</f>
        <v>€</v>
      </c>
      <c r="I9" s="11"/>
      <c r="K9" s="1" t="s">
        <v>17</v>
      </c>
      <c r="L9" s="1">
        <v>124.7</v>
      </c>
    </row>
    <row r="10" spans="1:12" x14ac:dyDescent="0.3">
      <c r="A10" s="3" t="s">
        <v>159</v>
      </c>
      <c r="B10" s="42" t="s">
        <v>24</v>
      </c>
      <c r="C10" s="42"/>
      <c r="D10" s="42"/>
      <c r="E10" s="8">
        <v>7</v>
      </c>
      <c r="F10" s="4">
        <v>1</v>
      </c>
      <c r="G10" s="25" t="s">
        <v>72</v>
      </c>
      <c r="H10" s="28" t="str">
        <f>HYPERLINK("#G10",CHAR(128))</f>
        <v>€</v>
      </c>
      <c r="K10" s="15" t="s">
        <v>47</v>
      </c>
      <c r="L10" s="15">
        <v>8.6</v>
      </c>
    </row>
    <row r="11" spans="1:12" x14ac:dyDescent="0.3">
      <c r="A11" s="2" t="s">
        <v>65</v>
      </c>
      <c r="B11" s="46" t="s">
        <v>23</v>
      </c>
      <c r="C11" s="46"/>
      <c r="D11" s="46"/>
      <c r="E11" s="1" t="s">
        <v>64</v>
      </c>
      <c r="F11" s="16">
        <v>1</v>
      </c>
      <c r="G11" s="25" t="s">
        <v>72</v>
      </c>
      <c r="H11" s="28" t="str">
        <f>HYPERLINK("#G11",CHAR(128))</f>
        <v>€</v>
      </c>
    </row>
    <row r="12" spans="1:12" x14ac:dyDescent="0.3">
      <c r="A12" s="5" t="s">
        <v>161</v>
      </c>
      <c r="B12" s="42" t="s">
        <v>25</v>
      </c>
      <c r="C12" s="42"/>
      <c r="D12" s="42"/>
      <c r="E12" s="4" t="s">
        <v>160</v>
      </c>
      <c r="F12" s="4">
        <v>1</v>
      </c>
      <c r="G12" s="25" t="s">
        <v>72</v>
      </c>
      <c r="H12" s="28" t="str">
        <f>HYPERLINK("#G12",CHAR(128))</f>
        <v>€</v>
      </c>
    </row>
    <row r="13" spans="1:12" x14ac:dyDescent="0.3">
      <c r="A13" s="2" t="s">
        <v>97</v>
      </c>
      <c r="B13" s="46" t="s">
        <v>26</v>
      </c>
      <c r="C13" s="46"/>
      <c r="D13" s="46"/>
      <c r="E13" s="1" t="s">
        <v>96</v>
      </c>
      <c r="F13" s="16">
        <v>1</v>
      </c>
      <c r="G13" s="25" t="s">
        <v>72</v>
      </c>
      <c r="H13" s="28" t="str">
        <f>HYPERLINK("#G13",CHAR(128))</f>
        <v>€</v>
      </c>
    </row>
    <row r="14" spans="1:12" x14ac:dyDescent="0.3">
      <c r="A14" s="5" t="s">
        <v>54</v>
      </c>
      <c r="B14" s="42" t="s">
        <v>27</v>
      </c>
      <c r="C14" s="42"/>
      <c r="D14" s="42"/>
      <c r="E14" s="4" t="s">
        <v>51</v>
      </c>
      <c r="F14" s="4">
        <v>1</v>
      </c>
      <c r="G14" s="25" t="s">
        <v>72</v>
      </c>
      <c r="H14" s="28" t="str">
        <f>HYPERLINK("#G14",CHAR(128))</f>
        <v>€</v>
      </c>
    </row>
    <row r="15" spans="1:12" x14ac:dyDescent="0.3">
      <c r="A15" s="2"/>
      <c r="B15" s="54"/>
      <c r="C15" s="54"/>
      <c r="D15" s="54"/>
      <c r="E15" s="1"/>
      <c r="F15" s="16"/>
      <c r="G15" s="16"/>
      <c r="H15" s="14"/>
    </row>
    <row r="16" spans="1:12" x14ac:dyDescent="0.3">
      <c r="A16" s="5" t="s">
        <v>46</v>
      </c>
      <c r="B16" s="42" t="s">
        <v>28</v>
      </c>
      <c r="C16" s="42"/>
      <c r="D16" s="42"/>
      <c r="E16" s="4" t="s">
        <v>52</v>
      </c>
      <c r="F16" s="4">
        <v>1</v>
      </c>
      <c r="G16" s="25" t="s">
        <v>72</v>
      </c>
      <c r="H16" s="23" t="str">
        <f>HYPERLINK("#G16",CHAR(128))</f>
        <v>€</v>
      </c>
    </row>
    <row r="17" spans="1:10" x14ac:dyDescent="0.3">
      <c r="A17" s="2" t="s">
        <v>100</v>
      </c>
      <c r="B17" s="46" t="s">
        <v>22</v>
      </c>
      <c r="C17" s="46"/>
      <c r="D17" s="46"/>
      <c r="E17" s="1" t="s">
        <v>68</v>
      </c>
      <c r="F17" s="16">
        <v>1</v>
      </c>
      <c r="G17" s="25" t="s">
        <v>72</v>
      </c>
      <c r="H17" s="23" t="str">
        <f>HYPERLINK("#G17",CHAR(128))</f>
        <v>€</v>
      </c>
    </row>
    <row r="18" spans="1:10" x14ac:dyDescent="0.3">
      <c r="A18" s="5"/>
      <c r="B18" s="42" t="s">
        <v>29</v>
      </c>
      <c r="C18" s="42"/>
      <c r="D18" s="42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 t="s">
        <v>120</v>
      </c>
      <c r="B19" s="46" t="s">
        <v>30</v>
      </c>
      <c r="C19" s="46"/>
      <c r="D19" s="46"/>
      <c r="E19" s="1" t="s">
        <v>119</v>
      </c>
      <c r="F19" s="16">
        <v>1</v>
      </c>
      <c r="G19" s="25" t="s">
        <v>72</v>
      </c>
      <c r="H19" s="23" t="str">
        <f>HYPERLINK("#G19",CHAR(128))</f>
        <v>€</v>
      </c>
    </row>
    <row r="20" spans="1:10" x14ac:dyDescent="0.3">
      <c r="A20" s="5"/>
      <c r="B20" s="51"/>
      <c r="C20" s="52"/>
      <c r="D20" s="53"/>
      <c r="E20" s="4"/>
      <c r="F20" s="4"/>
      <c r="G20" s="4"/>
      <c r="H20" s="14"/>
    </row>
    <row r="21" spans="1:10" x14ac:dyDescent="0.3">
      <c r="A21" s="2" t="s">
        <v>162</v>
      </c>
      <c r="B21" s="46" t="s">
        <v>33</v>
      </c>
      <c r="C21" s="46"/>
      <c r="D21" s="46"/>
      <c r="E21" s="9">
        <v>7</v>
      </c>
      <c r="F21" s="16">
        <v>1</v>
      </c>
      <c r="G21" s="25" t="s">
        <v>72</v>
      </c>
      <c r="H21" s="23" t="str">
        <f>HYPERLINK("#G21",CHAR(128))</f>
        <v>€</v>
      </c>
    </row>
    <row r="22" spans="1:10" x14ac:dyDescent="0.3">
      <c r="A22" s="5" t="s">
        <v>163</v>
      </c>
      <c r="B22" s="42" t="s">
        <v>31</v>
      </c>
      <c r="C22" s="42"/>
      <c r="D22" s="42"/>
      <c r="E22" s="4">
        <v>6432</v>
      </c>
      <c r="F22" s="4">
        <v>1</v>
      </c>
      <c r="G22" s="25" t="s">
        <v>72</v>
      </c>
      <c r="H22" s="23" t="str">
        <f>HYPERLINK("#G22",CHAR(128))</f>
        <v>€</v>
      </c>
    </row>
    <row r="23" spans="1:10" x14ac:dyDescent="0.3">
      <c r="A23" s="2" t="s">
        <v>164</v>
      </c>
      <c r="B23" s="46" t="s">
        <v>48</v>
      </c>
      <c r="C23" s="46"/>
      <c r="D23" s="46"/>
      <c r="E23" s="1">
        <v>6742</v>
      </c>
      <c r="F23" s="16">
        <v>1</v>
      </c>
      <c r="G23" s="25" t="s">
        <v>72</v>
      </c>
      <c r="H23" s="22" t="str">
        <f>HYPERLINK("#G23",CHAR(128))</f>
        <v>€</v>
      </c>
    </row>
    <row r="24" spans="1:10" x14ac:dyDescent="0.3">
      <c r="A24" s="5"/>
      <c r="B24" s="42" t="s">
        <v>32</v>
      </c>
      <c r="C24" s="42"/>
      <c r="D24" s="42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46"/>
      <c r="C25" s="46"/>
      <c r="D25" s="46"/>
      <c r="E25" s="1"/>
      <c r="F25" s="16"/>
      <c r="G25" s="16"/>
      <c r="H25" s="14"/>
      <c r="I25" s="12"/>
    </row>
    <row r="26" spans="1:10" x14ac:dyDescent="0.3">
      <c r="A26" s="5"/>
      <c r="B26" s="42" t="s">
        <v>37</v>
      </c>
      <c r="C26" s="42"/>
      <c r="D26" s="42"/>
      <c r="E26" s="4" t="str">
        <f>C2</f>
        <v>Williams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45" t="s">
        <v>50</v>
      </c>
      <c r="C29" s="45"/>
      <c r="D29" s="45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2"/>
      <c r="C30" s="42"/>
      <c r="D30" s="42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6"/>
      <c r="C31" s="46"/>
      <c r="D31" s="46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2"/>
      <c r="C32" s="42"/>
      <c r="D32" s="4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6"/>
      <c r="C33" s="46"/>
      <c r="D33" s="46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2"/>
      <c r="C34" s="42"/>
      <c r="D34" s="42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75</v>
      </c>
      <c r="D37" t="s">
        <v>125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17" priority="2" operator="equal">
      <formula>"Returned"</formula>
    </cfRule>
    <cfRule type="cellIs" dxfId="16" priority="5" operator="equal">
      <formula>"Ready To Order"</formula>
    </cfRule>
    <cfRule type="cellIs" dxfId="15" priority="6" operator="equal">
      <formula>"UNP"</formula>
    </cfRule>
    <cfRule type="containsText" dxfId="14" priority="7" operator="containsText" text="Ordered">
      <formula>NOT(ISERROR(SEARCH("Ordered",G6)))</formula>
    </cfRule>
    <cfRule type="containsText" dxfId="13" priority="8" operator="containsText" text="Pick Up">
      <formula>NOT(ISERROR(SEARCH("Pick Up",G6)))</formula>
    </cfRule>
    <cfRule type="containsText" dxfId="12" priority="9" operator="containsText" text="Complete">
      <formula>NOT(ISERROR(SEARCH("Complete",G6)))</formula>
    </cfRule>
  </conditionalFormatting>
  <conditionalFormatting sqref="G30:G33">
    <cfRule type="containsText" dxfId="11" priority="4" operator="containsText" text="Given">
      <formula>NOT(ISERROR(SEARCH("Given",G30)))</formula>
    </cfRule>
  </conditionalFormatting>
  <conditionalFormatting sqref="G30:G34">
    <cfRule type="containsText" dxfId="10" priority="3" operator="containsText" text="Returned">
      <formula>NOT(ISERROR(SEARCH("Returned",G30)))</formula>
    </cfRule>
  </conditionalFormatting>
  <conditionalFormatting sqref="G6:G14 G21:G26 G16:G19">
    <cfRule type="cellIs" dxfId="9" priority="1" operator="equal">
      <formula>"In Stock"</formula>
    </cfRule>
  </conditionalFormatting>
  <dataValidations count="3">
    <dataValidation type="list" allowBlank="1" showInputMessage="1" showErrorMessage="1" sqref="G30:G34" xr:uid="{BDAD7F92-49C6-44FD-9C13-8CEAFB5127CF}">
      <formula1>"--,Returned, Given"</formula1>
    </dataValidation>
    <dataValidation type="list" allowBlank="1" showInputMessage="1" showErrorMessage="1" sqref="G16:G19 G21:G24 G26 G6:G14" xr:uid="{7716275A-BCDB-44AE-B9E9-5A495CEDE7E6}">
      <formula1>"UNP, Ready To Order, Ordered, In Stock, Pick Up, Complete, Returned"</formula1>
    </dataValidation>
    <dataValidation type="decimal" allowBlank="1" showInputMessage="1" showErrorMessage="1" sqref="L2" xr:uid="{445468B5-FED2-4EBF-86D3-82A348490606}">
      <formula1>19</formula1>
      <formula2>26</formula2>
    </dataValidation>
  </dataValidations>
  <hyperlinks>
    <hyperlink ref="A1:A2" location="Menu!A1" display="Back to Menu" xr:uid="{AB61D2DA-96F8-4699-A552-25B631F572F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61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2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3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4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5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7"/>
  <sheetViews>
    <sheetView tabSelected="1" zoomScaleNormal="100" workbookViewId="0">
      <selection activeCell="G7" sqref="G7"/>
    </sheetView>
  </sheetViews>
  <sheetFormatPr defaultRowHeight="14.4" x14ac:dyDescent="0.3"/>
  <cols>
    <col min="1" max="1" width="18.5546875" customWidth="1"/>
    <col min="3" max="3" width="9.44140625" customWidth="1"/>
    <col min="4" max="4" width="10.77734375" customWidth="1"/>
    <col min="5" max="5" width="14.33203125" customWidth="1"/>
    <col min="7" max="7" width="16.5546875" customWidth="1"/>
    <col min="8" max="9" width="10.44140625" customWidth="1"/>
    <col min="11" max="11" width="12.109375" customWidth="1"/>
    <col min="12" max="12" width="13.109375" customWidth="1"/>
  </cols>
  <sheetData>
    <row r="1" spans="1:12" ht="17.25" customHeight="1" x14ac:dyDescent="0.3">
      <c r="A1" s="43" t="s">
        <v>42</v>
      </c>
      <c r="B1" s="20" t="s">
        <v>3</v>
      </c>
      <c r="C1" s="45" t="s">
        <v>0</v>
      </c>
      <c r="D1" s="45"/>
      <c r="E1" s="45" t="s">
        <v>2</v>
      </c>
      <c r="F1" s="45"/>
      <c r="G1" s="20" t="s">
        <v>34</v>
      </c>
      <c r="K1" s="20" t="s">
        <v>38</v>
      </c>
      <c r="L1" s="20" t="s">
        <v>10</v>
      </c>
    </row>
    <row r="2" spans="1:12" ht="17.25" customHeight="1" x14ac:dyDescent="0.3">
      <c r="A2" s="44"/>
      <c r="B2" s="2"/>
      <c r="C2" s="46"/>
      <c r="D2" s="46"/>
      <c r="E2" s="46"/>
      <c r="F2" s="46"/>
      <c r="G2" s="1"/>
      <c r="K2" s="4" t="s">
        <v>9</v>
      </c>
      <c r="L2" s="4"/>
    </row>
    <row r="3" spans="1:12" ht="17.25" customHeight="1" x14ac:dyDescent="0.3">
      <c r="A3" s="20" t="s">
        <v>1</v>
      </c>
      <c r="B3" s="47" t="s">
        <v>4</v>
      </c>
      <c r="C3" s="48"/>
      <c r="D3" s="49"/>
      <c r="E3" s="47" t="s">
        <v>49</v>
      </c>
      <c r="F3" s="49"/>
      <c r="G3" s="20" t="s">
        <v>5</v>
      </c>
      <c r="K3" s="1" t="s">
        <v>11</v>
      </c>
      <c r="L3" s="1"/>
    </row>
    <row r="4" spans="1:12" ht="17.25" customHeight="1" x14ac:dyDescent="0.3">
      <c r="A4" s="1" t="s">
        <v>39</v>
      </c>
      <c r="B4" s="50"/>
      <c r="C4" s="50"/>
      <c r="D4" s="50"/>
      <c r="E4" s="46"/>
      <c r="F4" s="46"/>
      <c r="G4" s="1"/>
      <c r="K4" s="4" t="s">
        <v>12</v>
      </c>
      <c r="L4" s="4"/>
    </row>
    <row r="5" spans="1:12" ht="17.25" customHeight="1" x14ac:dyDescent="0.3">
      <c r="A5" s="20" t="s">
        <v>6</v>
      </c>
      <c r="B5" s="45" t="s">
        <v>7</v>
      </c>
      <c r="C5" s="45"/>
      <c r="D5" s="45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3">
      <c r="A6" s="3"/>
      <c r="B6" s="42" t="s">
        <v>18</v>
      </c>
      <c r="C6" s="42"/>
      <c r="D6" s="42"/>
      <c r="E6" s="4"/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3">
      <c r="A7" s="2"/>
      <c r="B7" s="46" t="s">
        <v>21</v>
      </c>
      <c r="C7" s="46"/>
      <c r="D7" s="46"/>
      <c r="E7" s="1"/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3">
      <c r="A8" s="3"/>
      <c r="B8" s="42" t="s">
        <v>19</v>
      </c>
      <c r="C8" s="42"/>
      <c r="D8" s="42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3">
      <c r="A9" s="2"/>
      <c r="B9" s="46" t="s">
        <v>20</v>
      </c>
      <c r="C9" s="46"/>
      <c r="D9" s="46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3">
      <c r="A10" s="3"/>
      <c r="B10" s="42" t="s">
        <v>24</v>
      </c>
      <c r="C10" s="42"/>
      <c r="D10" s="42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/>
    </row>
    <row r="11" spans="1:12" ht="17.25" customHeight="1" x14ac:dyDescent="0.3">
      <c r="A11" s="2"/>
      <c r="B11" s="46" t="s">
        <v>23</v>
      </c>
      <c r="C11" s="46"/>
      <c r="D11" s="46"/>
      <c r="E11" s="1"/>
      <c r="F11" s="16">
        <v>1</v>
      </c>
      <c r="G11" s="25" t="s">
        <v>45</v>
      </c>
      <c r="H11" s="28" t="str">
        <f>HYPERLINK("#G11",CHAR(128))</f>
        <v>€</v>
      </c>
    </row>
    <row r="12" spans="1:12" ht="17.25" customHeight="1" x14ac:dyDescent="0.3">
      <c r="A12" s="5"/>
      <c r="B12" s="42" t="s">
        <v>25</v>
      </c>
      <c r="C12" s="42"/>
      <c r="D12" s="42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ht="17.25" customHeight="1" x14ac:dyDescent="0.3">
      <c r="A13" s="2"/>
      <c r="B13" s="46" t="s">
        <v>26</v>
      </c>
      <c r="C13" s="46"/>
      <c r="D13" s="46"/>
      <c r="E13" s="1"/>
      <c r="F13" s="16">
        <v>1</v>
      </c>
      <c r="G13" s="25" t="s">
        <v>45</v>
      </c>
      <c r="H13" s="28" t="str">
        <f>HYPERLINK("#G13",CHAR(128))</f>
        <v>€</v>
      </c>
    </row>
    <row r="14" spans="1:12" ht="17.25" customHeight="1" x14ac:dyDescent="0.3">
      <c r="A14" s="5"/>
      <c r="B14" s="42" t="s">
        <v>27</v>
      </c>
      <c r="C14" s="42"/>
      <c r="D14" s="42"/>
      <c r="E14" s="4"/>
      <c r="F14" s="4">
        <v>1</v>
      </c>
      <c r="G14" s="25" t="s">
        <v>45</v>
      </c>
      <c r="H14" s="28" t="str">
        <f>HYPERLINK("#G14",CHAR(128))</f>
        <v>€</v>
      </c>
    </row>
    <row r="15" spans="1:12" ht="17.25" customHeight="1" x14ac:dyDescent="0.3">
      <c r="A15" s="2"/>
      <c r="B15" s="54"/>
      <c r="C15" s="54"/>
      <c r="D15" s="54"/>
      <c r="E15" s="1"/>
      <c r="F15" s="16"/>
      <c r="G15" s="16"/>
      <c r="H15" s="14"/>
    </row>
    <row r="16" spans="1:12" ht="17.25" customHeight="1" x14ac:dyDescent="0.3">
      <c r="A16" s="5"/>
      <c r="B16" s="42" t="s">
        <v>28</v>
      </c>
      <c r="C16" s="42"/>
      <c r="D16" s="42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4" ht="17.25" customHeight="1" x14ac:dyDescent="0.3">
      <c r="A17" s="2"/>
      <c r="B17" s="46" t="s">
        <v>22</v>
      </c>
      <c r="C17" s="46"/>
      <c r="D17" s="46"/>
      <c r="E17" s="1"/>
      <c r="F17" s="16">
        <v>1</v>
      </c>
      <c r="G17" s="25" t="s">
        <v>45</v>
      </c>
      <c r="H17" s="23" t="str">
        <f>HYPERLINK("#G17",CHAR(128))</f>
        <v>€</v>
      </c>
    </row>
    <row r="18" spans="1:14" ht="17.25" customHeight="1" x14ac:dyDescent="0.3">
      <c r="A18" s="5"/>
      <c r="B18" s="42" t="s">
        <v>29</v>
      </c>
      <c r="C18" s="42"/>
      <c r="D18" s="42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4" ht="17.25" customHeight="1" x14ac:dyDescent="0.3">
      <c r="A19" s="2"/>
      <c r="B19" s="46" t="s">
        <v>30</v>
      </c>
      <c r="C19" s="46"/>
      <c r="D19" s="46"/>
      <c r="E19" s="1"/>
      <c r="F19" s="16">
        <v>1</v>
      </c>
      <c r="G19" s="25" t="s">
        <v>45</v>
      </c>
      <c r="H19" s="23" t="str">
        <f>HYPERLINK("#G19",CHAR(128))</f>
        <v>€</v>
      </c>
    </row>
    <row r="20" spans="1:14" ht="17.25" customHeight="1" x14ac:dyDescent="0.3">
      <c r="A20" s="5"/>
      <c r="B20" s="51"/>
      <c r="C20" s="52"/>
      <c r="D20" s="53"/>
      <c r="E20" s="4"/>
      <c r="F20" s="4"/>
      <c r="G20" s="4"/>
      <c r="H20" s="14"/>
    </row>
    <row r="21" spans="1:14" x14ac:dyDescent="0.3">
      <c r="A21" s="2"/>
      <c r="B21" s="46" t="s">
        <v>33</v>
      </c>
      <c r="C21" s="46"/>
      <c r="D21" s="46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4" x14ac:dyDescent="0.3">
      <c r="A22" s="5"/>
      <c r="B22" s="42" t="s">
        <v>31</v>
      </c>
      <c r="C22" s="42"/>
      <c r="D22" s="42"/>
      <c r="E22" s="4"/>
      <c r="F22" s="4">
        <v>1</v>
      </c>
      <c r="G22" s="25" t="s">
        <v>45</v>
      </c>
      <c r="H22" s="23" t="str">
        <f>HYPERLINK("#G22",CHAR(128))</f>
        <v>€</v>
      </c>
      <c r="N22" s="2"/>
    </row>
    <row r="23" spans="1:14" x14ac:dyDescent="0.3">
      <c r="A23" s="2"/>
      <c r="B23" s="46" t="s">
        <v>48</v>
      </c>
      <c r="C23" s="46"/>
      <c r="D23" s="46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4" x14ac:dyDescent="0.3">
      <c r="A24" s="5"/>
      <c r="B24" s="42" t="s">
        <v>32</v>
      </c>
      <c r="C24" s="42"/>
      <c r="D24" s="42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4" x14ac:dyDescent="0.3">
      <c r="A25" s="2"/>
      <c r="B25" s="46"/>
      <c r="C25" s="46"/>
      <c r="D25" s="46"/>
      <c r="E25" s="1"/>
      <c r="F25" s="16"/>
      <c r="G25" s="16"/>
      <c r="H25" s="14"/>
      <c r="I25" s="12"/>
    </row>
    <row r="26" spans="1:14" x14ac:dyDescent="0.3">
      <c r="A26" s="5"/>
      <c r="B26" s="42" t="s">
        <v>37</v>
      </c>
      <c r="C26" s="42"/>
      <c r="D26" s="42"/>
      <c r="E26" s="4">
        <f>C2</f>
        <v>0</v>
      </c>
      <c r="F26" s="4">
        <v>1</v>
      </c>
      <c r="G26" s="25" t="s">
        <v>45</v>
      </c>
      <c r="H26" s="24" t="str">
        <f>HYPERLINK("#G26",CHAR(128))</f>
        <v>€</v>
      </c>
    </row>
    <row r="28" spans="1:14" x14ac:dyDescent="0.3">
      <c r="J28" s="18"/>
    </row>
    <row r="29" spans="1:14" x14ac:dyDescent="0.3">
      <c r="A29" s="20"/>
      <c r="B29" s="45" t="s">
        <v>50</v>
      </c>
      <c r="C29" s="45"/>
      <c r="D29" s="45"/>
      <c r="E29" s="20" t="s">
        <v>8</v>
      </c>
      <c r="F29" s="20" t="s">
        <v>35</v>
      </c>
      <c r="G29" s="21" t="s">
        <v>36</v>
      </c>
    </row>
    <row r="30" spans="1:14" x14ac:dyDescent="0.3">
      <c r="A30" s="3"/>
      <c r="B30" s="42"/>
      <c r="C30" s="42"/>
      <c r="D30" s="42"/>
      <c r="E30" s="4"/>
      <c r="F30" s="10">
        <v>1</v>
      </c>
      <c r="G30" s="17"/>
      <c r="H30" s="19" t="str">
        <f>HYPERLINK("#G30",CHAR(128))</f>
        <v>€</v>
      </c>
    </row>
    <row r="31" spans="1:14" x14ac:dyDescent="0.3">
      <c r="A31" s="2"/>
      <c r="B31" s="46"/>
      <c r="C31" s="46"/>
      <c r="D31" s="46"/>
      <c r="E31" s="1"/>
      <c r="F31" s="16">
        <v>1</v>
      </c>
      <c r="G31" s="26"/>
      <c r="H31" s="19" t="str">
        <f>HYPERLINK("#G31",CHAR(128))</f>
        <v>€</v>
      </c>
    </row>
    <row r="32" spans="1:14" x14ac:dyDescent="0.3">
      <c r="A32" s="3"/>
      <c r="B32" s="42"/>
      <c r="C32" s="42"/>
      <c r="D32" s="4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6"/>
      <c r="C33" s="46"/>
      <c r="D33" s="46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2"/>
      <c r="C34" s="42"/>
      <c r="D34" s="42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75</v>
      </c>
      <c r="D37" t="s">
        <v>125</v>
      </c>
    </row>
  </sheetData>
  <mergeCells count="37">
    <mergeCell ref="B31:D31"/>
    <mergeCell ref="B32:D32"/>
    <mergeCell ref="B33:D33"/>
    <mergeCell ref="B34:D34"/>
    <mergeCell ref="B23:D23"/>
    <mergeCell ref="B24:D24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E1:F1"/>
    <mergeCell ref="C2:D2"/>
    <mergeCell ref="E2:F2"/>
    <mergeCell ref="B3:D3"/>
    <mergeCell ref="B4:D4"/>
    <mergeCell ref="E3:F3"/>
    <mergeCell ref="E4:F4"/>
  </mergeCells>
  <conditionalFormatting sqref="G6:G14 G21:G26 G16:G19">
    <cfRule type="cellIs" dxfId="8" priority="2" operator="equal">
      <formula>"Returned"</formula>
    </cfRule>
    <cfRule type="cellIs" dxfId="7" priority="12" operator="equal">
      <formula>"Ready To Order"</formula>
    </cfRule>
    <cfRule type="cellIs" dxfId="6" priority="13" operator="equal">
      <formula>"UNP"</formula>
    </cfRule>
    <cfRule type="containsText" dxfId="5" priority="14" operator="containsText" text="Ordered">
      <formula>NOT(ISERROR(SEARCH("Ordered",G6)))</formula>
    </cfRule>
    <cfRule type="containsText" dxfId="4" priority="15" operator="containsText" text="Pick Up">
      <formula>NOT(ISERROR(SEARCH("Pick Up",G6)))</formula>
    </cfRule>
    <cfRule type="containsText" dxfId="3" priority="16" operator="containsText" text="Complete">
      <formula>NOT(ISERROR(SEARCH("Complete",G6)))</formula>
    </cfRule>
  </conditionalFormatting>
  <conditionalFormatting sqref="G30:G33">
    <cfRule type="containsText" dxfId="2" priority="4" operator="containsText" text="Given">
      <formula>NOT(ISERROR(SEARCH("Given",G30)))</formula>
    </cfRule>
  </conditionalFormatting>
  <conditionalFormatting sqref="G30:G34">
    <cfRule type="containsText" dxfId="1" priority="3" operator="containsText" text="Returned">
      <formula>NOT(ISERROR(SEARCH("Returned",G30)))</formula>
    </cfRule>
  </conditionalFormatting>
  <conditionalFormatting sqref="G6:G14 G21:G26 G16:G19">
    <cfRule type="cellIs" dxfId="0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1" r:id="rId3" name="Button 5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4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5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6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7" name="Button 12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Menu</vt:lpstr>
      <vt:lpstr>Importing</vt:lpstr>
      <vt:lpstr>Pickup</vt:lpstr>
      <vt:lpstr>Rachel_Harris_58A8DF86</vt:lpstr>
      <vt:lpstr>Noah_Moore_998FC8A6</vt:lpstr>
      <vt:lpstr>Bob_Robinson_FF73588A</vt:lpstr>
      <vt:lpstr>Olivia_Martin_DD9D1980</vt:lpstr>
      <vt:lpstr>Mia_Williams_49EC0EBF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 David</cp:lastModifiedBy>
  <dcterms:created xsi:type="dcterms:W3CDTF">2023-08-20T19:28:09Z</dcterms:created>
  <dcterms:modified xsi:type="dcterms:W3CDTF">2023-12-28T00:46:19Z</dcterms:modified>
</cp:coreProperties>
</file>