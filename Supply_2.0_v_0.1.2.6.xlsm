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B620C5CC-B2F6-46D1-B7F8-AD42E8D6FBC0}" xr6:coauthVersionLast="47" xr6:coauthVersionMax="47" xr10:uidLastSave="{00000000-0000-0000-0000-000000000000}"/>
  <bookViews>
    <workbookView xWindow="-98" yWindow="-98" windowWidth="21795" windowHeight="13875" tabRatio="856" activeTab="4" xr2:uid="{01218C0E-FF84-42AC-8993-DD76AC11461D}"/>
  </bookViews>
  <sheets>
    <sheet name="Menu" sheetId="48" r:id="rId1"/>
    <sheet name="Importing" sheetId="124" r:id="rId2"/>
    <sheet name="Pickup" sheetId="181" r:id="rId3"/>
    <sheet name="Rachel_Harris_58A8DF86" sheetId="199" r:id="rId4"/>
    <sheet name="Template" sheetId="1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99" l="1"/>
  <c r="H33" i="199"/>
  <c r="H32" i="199"/>
  <c r="H31" i="199"/>
  <c r="H30" i="199"/>
  <c r="H26" i="199"/>
  <c r="E26" i="199"/>
  <c r="H24" i="199"/>
  <c r="H23" i="199"/>
  <c r="H22" i="199"/>
  <c r="H21" i="199"/>
  <c r="H19" i="199"/>
  <c r="H18" i="199"/>
  <c r="H17" i="199"/>
  <c r="H16" i="199"/>
  <c r="H14" i="199"/>
  <c r="H13" i="199"/>
  <c r="H12" i="199"/>
  <c r="H11" i="199"/>
  <c r="H10" i="199"/>
  <c r="H9" i="199"/>
  <c r="H8" i="199"/>
  <c r="H7" i="199"/>
  <c r="H6" i="199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<sst xmlns="http://schemas.openxmlformats.org/spreadsheetml/2006/main" count="211" uniqueCount="90">
  <si>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</si>
  <si>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</si>
  <si>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</si>
  <si>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</si>
  <si>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</si>
  <si>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</si>
  <si>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</si>
  <si>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</si>
  <si>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</si>
  <si>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</si>
  <si>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</si>
  <si>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</si>
  <si>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</si>
  <si>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</si>
  <si>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</si>
  <si>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</si>
  <si>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</si>
  <si>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</si>
  <si>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</si>
  <si>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</si>
  <si>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</si>
  <si>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</si>
  <si>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</si>
  <si>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</si>
  <si>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</si>
  <si>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</si>
  <si>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</si>
  <si>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</si>
  <si>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</si>
  <si>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</si>
  <si>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</si>
  <si>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</si>
  <si>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</si>
  <si>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</si>
  <si>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</si>
  <si>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</si>
  <si>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</si>
  <si>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</si>
  <si>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</si>
  <si>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</si>
  <si>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</si>
  <si>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</si>
  <si>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</si>
  <si>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</si>
  <si>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</si>
  <si>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</si>
  <si>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</si>
  <si>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</si>
  <si>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</si>
  <si>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</si>
  <si>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</si>
  <si>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</si>
  <si>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</si>
  <si>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Jesus@hotmail.com</t>
  </si>
  <si>
    <t>8430-20-006-2569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</si>
  <si>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</si>
  <si>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</si>
  <si>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</si>
  <si>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</si>
  <si>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</si>
  <si>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</si>
  <si>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</si>
  <si>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</si>
  <si>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</si>
  <si>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</si>
  <si>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</si>
  <si>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8405-21-920-7281</t>
  </si>
  <si>
    <t>8405-21-920-7092</t>
  </si>
  <si>
    <t>L</t>
  </si>
  <si>
    <t>8420-20-001-0731</t>
  </si>
  <si>
    <t>Name</t>
  </si>
  <si>
    <t>Complete</t>
  </si>
  <si>
    <t>In Stock</t>
  </si>
  <si>
    <t xml:space="preserve"> </t>
  </si>
  <si>
    <t>Rachel</t>
  </si>
  <si>
    <t>Old Size</t>
  </si>
  <si>
    <t xml:space="preserve">New Size </t>
  </si>
  <si>
    <t>`</t>
  </si>
  <si>
    <t>8405-20-003-5848</t>
  </si>
  <si>
    <t>8405-20-013-1478</t>
  </si>
  <si>
    <t>8440-20-006-6070</t>
  </si>
  <si>
    <t>(XS / TP)</t>
  </si>
  <si>
    <t>1001-21-154-2000</t>
  </si>
  <si>
    <t>Harris</t>
  </si>
  <si>
    <t>58A8DF86</t>
  </si>
  <si>
    <t>1000-21-059-6140</t>
  </si>
  <si>
    <t>15-1/2</t>
  </si>
  <si>
    <t>8405-20-001-4509</t>
  </si>
  <si>
    <t>1000-21-070-6452</t>
  </si>
  <si>
    <t>8405-20-004-7485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</si>
</sst>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2" fillId="10" borderId="13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14" fontId="0" fillId="11" borderId="4" xfId="0" applyNumberForma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8" xfId="3" applyFont="1" applyFill="1" applyBorder="1" applyAlignment="1">
      <alignment horizontal="center" vertic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35"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99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485775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0</xdr:rowOff>
        </xdr:from>
        <xdr:to>
          <xdr:col>12</xdr:col>
          <xdr:colOff>523875</xdr:colOff>
          <xdr:row>0</xdr:row>
          <xdr:rowOff>471488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0</xdr:row>
          <xdr:rowOff>0</xdr:rowOff>
        </xdr:from>
        <xdr:to>
          <xdr:col>15</xdr:col>
          <xdr:colOff>257175</xdr:colOff>
          <xdr:row>0</xdr:row>
          <xdr:rowOff>481013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71438</xdr:rowOff>
        </xdr:from>
        <xdr:to>
          <xdr:col>22</xdr:col>
          <xdr:colOff>500063</xdr:colOff>
          <xdr:row>0</xdr:row>
          <xdr:rowOff>442913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39A48E99-2CB1-4543-BC9A-B9A907C7E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753475FF-49CE-475B-8991-8BBEAA9CB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89443" name="Button 3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103F6A-117A-42A7-BD89-F8E1BFB1C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189444" name="Button 4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FA3BF3CA-1224-4E62-913A-CDE3ADC43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9445" name="Button 5" hidden="1">
              <a:extLst>
                <a:ext uri="{63B3BB69-23CF-44E3-9099-C40C66FF867C}">
                  <a14:compatExt spid="_x0000_s189445"/>
                </a:ext>
                <a:ext uri="{FF2B5EF4-FFF2-40B4-BE49-F238E27FC236}">
                  <a16:creationId xmlns:a16="http://schemas.microsoft.com/office/drawing/2014/main" id="{42C2CCB1-CF2C-4372-B098-5EC1E0605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34" dataDxfId="32" headerRowBorderDxfId="33" tableBorderDxfId="31" totalsRowBorderDxfId="30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29" dataCellStyle="Hyperlink"/>
    <tableColumn id="2" xr3:uid="{2B90B92F-5F96-4EDA-9BBB-0E797162ECC4}" name="First Name" dataDxfId="28" dataCellStyle="Hyperlink"/>
    <tableColumn id="8" xr3:uid="{CFE0A41F-FE26-4CF3-BAA8-F6CEC7B006D4}" name="Status" dataDxfId="27" dataCellStyle="Hyperlink"/>
    <tableColumn id="3" xr3:uid="{EBBDE5FC-4AD9-4996-A6CE-25D9B52D4D03}" name="Date" dataDxfId="26"/>
    <tableColumn id="4" xr3:uid="{854BBB0E-E50E-4F6C-90CC-6180E0CE5D32}" name="ID" dataDxfId="25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4"/>
  <sheetViews>
    <sheetView workbookViewId="0"/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73</v>
      </c>
    </row>
    <row r="2" spans="1:15" x14ac:dyDescent="0.45">
      <c r="A2" s="32" t="s">
        <v>83</v>
      </c>
      <c r="B2" s="30" t="s">
        <v>74</v>
      </c>
      <c r="C2" s="31"/>
      <c r="D2" s="54">
        <v>45287.692719907405</v>
      </c>
      <c r="E2" s="55" t="s">
        <v>84</v>
      </c>
    </row>
    <row r="3" spans="1:15" x14ac:dyDescent="0.45">
      <c r="A3" s="53"/>
      <c r="B3" s="30"/>
      <c r="C3" s="31"/>
      <c r="D3" s="54"/>
      <c r="E3" s="55"/>
    </row>
    <row r="4" spans="1:15" x14ac:dyDescent="0.45">
      <c r="A4" s="53"/>
      <c r="B4" s="30"/>
      <c r="C4" s="31"/>
      <c r="D4" s="54"/>
      <c r="E4" s="55"/>
    </row>
  </sheetData>
  <conditionalFormatting sqref="C2:C4">
    <cfRule type="cellIs" dxfId="24" priority="1" operator="equal">
      <formula>"S.O.S"</formula>
    </cfRule>
    <cfRule type="containsText" dxfId="23" priority="2" operator="containsText" text="UNP">
      <formula>NOT(ISERROR(SEARCH("UNP",C2)))</formula>
    </cfRule>
    <cfRule type="containsText" dxfId="22" priority="3" operator="containsText" text="Pick Up">
      <formula>NOT(ISERROR(SEARCH("Pick Up",C2)))</formula>
    </cfRule>
    <cfRule type="cellIs" dxfId="21" priority="8" operator="equal">
      <formula>"Ready To Order"</formula>
    </cfRule>
    <cfRule type="containsText" dxfId="20" priority="9" operator="containsText" text="Ordered">
      <formula>NOT(ISERROR(SEARCH("Ordered",C2)))</formula>
    </cfRule>
    <cfRule type="containsText" dxfId="19" priority="10" operator="containsText" text="Complete">
      <formula>NOT(ISERROR(SEARCH("Complete",C2)))</formula>
    </cfRule>
    <cfRule type="cellIs" dxfId="18" priority="11" operator="equal">
      <formula>"Returned"</formula>
    </cfRule>
  </conditionalFormatting>
  <hyperlinks>
    <hyperlink ref="A2" location="'Rachel_Harris_58A8DF86'!A1" display="Harris" xr:uid="{8881CE2F-8372-474B-ADB6-6AFFF8A0E36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485775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471488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85725</xdr:colOff>
                    <xdr:row>0</xdr:row>
                    <xdr:rowOff>0</xdr:rowOff>
                  </from>
                  <to>
                    <xdr:col>15</xdr:col>
                    <xdr:colOff>257175</xdr:colOff>
                    <xdr:row>0</xdr:row>
                    <xdr:rowOff>481013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25" x14ac:dyDescent="0.45"/>
  <sheetData>
    <row r="1" spans="1:13" ht="38" customHeight="1" x14ac:dyDescent="0.45">
      <c r="A1" s="33">
        <v>111</v>
      </c>
      <c r="B1" s="33" t="s">
        <v>55</v>
      </c>
      <c r="C1" s="33" t="s">
        <v>2</v>
      </c>
      <c r="D1" s="33" t="s">
        <v>56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57</v>
      </c>
      <c r="J1" s="33" t="s">
        <v>15</v>
      </c>
      <c r="K1" s="33" t="s">
        <v>58</v>
      </c>
      <c r="L1" s="33" t="s">
        <v>59</v>
      </c>
      <c r="M1" s="33" t="s">
        <v>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1"/>
  <sheetViews>
    <sheetView topLeftCell="E1" workbookViewId="0">
      <selection activeCell="U5" sqref="U5"/>
    </sheetView>
  </sheetViews>
  <sheetFormatPr defaultRowHeight="14.25" x14ac:dyDescent="0.45"/>
  <cols>
    <col min="1" max="1" width="30.6640625" customWidth="1"/>
    <col min="3" max="3" width="10.86328125" customWidth="1"/>
    <col min="4" max="4" width="12.19921875" customWidth="1"/>
    <col min="5" max="5" width="13.86328125" customWidth="1"/>
    <col min="7" max="7" width="12.46484375" customWidth="1"/>
    <col min="10" max="10" width="12" customWidth="1"/>
    <col min="14" max="14" width="11.796875" customWidth="1"/>
    <col min="15" max="15" width="14.1328125" customWidth="1"/>
  </cols>
  <sheetData>
    <row r="1" spans="1:24" ht="41.65" customHeight="1" x14ac:dyDescent="0.45">
      <c r="A1" s="34" t="s">
        <v>70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/>
      <c r="W1" s="34"/>
      <c r="X1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66675</xdr:colOff>
                    <xdr:row>0</xdr:row>
                    <xdr:rowOff>71438</xdr:rowOff>
                  </from>
                  <to>
                    <xdr:col>22</xdr:col>
                    <xdr:colOff>500063</xdr:colOff>
                    <xdr:row>0</xdr:row>
                    <xdr:rowOff>442913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1DCFD-C664-4959-9C44-F70C4BFEF577}">
  <sheetPr codeName="Sheet24"/>
  <dimension ref="A1:L39"/>
  <sheetViews>
    <sheetView workbookViewId="0">
      <selection sqref="A1:A2"/>
    </sheetView>
  </sheetViews>
  <sheetFormatPr defaultRowHeight="14.25" x14ac:dyDescent="0.45"/>
  <cols>
    <col min="1" max="1" width="18.46484375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41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45">
      <c r="A2" s="42"/>
      <c r="B2" s="2" t="s">
        <v>43</v>
      </c>
      <c r="C2" s="44" t="s">
        <v>83</v>
      </c>
      <c r="D2" s="44"/>
      <c r="E2" s="44" t="s">
        <v>74</v>
      </c>
      <c r="F2" s="44"/>
      <c r="G2" s="1" t="s">
        <v>84</v>
      </c>
      <c r="K2" s="4" t="s">
        <v>9</v>
      </c>
      <c r="L2" s="4">
        <v>23.9</v>
      </c>
    </row>
    <row r="3" spans="1:12" x14ac:dyDescent="0.45">
      <c r="A3" s="20" t="s">
        <v>1</v>
      </c>
      <c r="B3" s="45" t="s">
        <v>4</v>
      </c>
      <c r="C3" s="46"/>
      <c r="D3" s="47"/>
      <c r="E3" s="45" t="s">
        <v>49</v>
      </c>
      <c r="F3" s="47"/>
      <c r="G3" s="20" t="s">
        <v>5</v>
      </c>
      <c r="K3" s="1" t="s">
        <v>11</v>
      </c>
      <c r="L3" s="1">
        <v>15.3</v>
      </c>
    </row>
    <row r="4" spans="1:12" x14ac:dyDescent="0.45">
      <c r="A4" s="1" t="s">
        <v>39</v>
      </c>
      <c r="B4" s="48">
        <v>4687035967</v>
      </c>
      <c r="C4" s="48"/>
      <c r="D4" s="48"/>
      <c r="E4" s="44" t="s">
        <v>53</v>
      </c>
      <c r="F4" s="44"/>
      <c r="G4" s="1" t="s">
        <v>44</v>
      </c>
      <c r="K4" s="4" t="s">
        <v>12</v>
      </c>
      <c r="L4" s="4">
        <v>39.6</v>
      </c>
    </row>
    <row r="5" spans="1:12" x14ac:dyDescent="0.45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>
        <v>52</v>
      </c>
    </row>
    <row r="6" spans="1:12" x14ac:dyDescent="0.45">
      <c r="A6" s="3" t="s">
        <v>85</v>
      </c>
      <c r="B6" s="40" t="s">
        <v>18</v>
      </c>
      <c r="C6" s="40"/>
      <c r="D6" s="40"/>
      <c r="E6" s="4">
        <v>6140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44.7</v>
      </c>
    </row>
    <row r="7" spans="1:12" x14ac:dyDescent="0.45">
      <c r="A7" s="2" t="s">
        <v>87</v>
      </c>
      <c r="B7" s="44" t="s">
        <v>21</v>
      </c>
      <c r="C7" s="44"/>
      <c r="D7" s="44"/>
      <c r="E7" s="1" t="s">
        <v>86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55.1</v>
      </c>
    </row>
    <row r="8" spans="1:12" x14ac:dyDescent="0.45">
      <c r="A8" s="3" t="s">
        <v>69</v>
      </c>
      <c r="B8" s="40" t="s">
        <v>19</v>
      </c>
      <c r="C8" s="40"/>
      <c r="D8" s="40"/>
      <c r="E8" s="4" t="s">
        <v>68</v>
      </c>
      <c r="F8" s="4">
        <v>1</v>
      </c>
      <c r="G8" s="25" t="s">
        <v>71</v>
      </c>
      <c r="H8" s="28" t="str">
        <f>HYPERLINK("#G8",CHAR(128))</f>
        <v>€</v>
      </c>
      <c r="K8" s="4" t="s">
        <v>16</v>
      </c>
      <c r="L8" s="4">
        <v>247.1</v>
      </c>
    </row>
    <row r="9" spans="1:12" x14ac:dyDescent="0.45">
      <c r="A9" s="2" t="s">
        <v>88</v>
      </c>
      <c r="B9" s="44" t="s">
        <v>20</v>
      </c>
      <c r="C9" s="44"/>
      <c r="D9" s="44"/>
      <c r="E9" s="1">
        <v>6452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122.8</v>
      </c>
    </row>
    <row r="10" spans="1:12" x14ac:dyDescent="0.45">
      <c r="A10" s="3" t="s">
        <v>78</v>
      </c>
      <c r="B10" s="40" t="s">
        <v>24</v>
      </c>
      <c r="C10" s="40"/>
      <c r="D10" s="40"/>
      <c r="E10" s="8">
        <v>7.75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6.2</v>
      </c>
    </row>
    <row r="11" spans="1:12" x14ac:dyDescent="0.45">
      <c r="A11" s="2" t="s">
        <v>65</v>
      </c>
      <c r="B11" s="44" t="s">
        <v>23</v>
      </c>
      <c r="C11" s="44"/>
      <c r="D11" s="44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45">
      <c r="A12" s="5" t="s">
        <v>61</v>
      </c>
      <c r="B12" s="40" t="s">
        <v>25</v>
      </c>
      <c r="C12" s="40"/>
      <c r="D12" s="40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45">
      <c r="A13" s="2" t="s">
        <v>80</v>
      </c>
      <c r="B13" s="44" t="s">
        <v>26</v>
      </c>
      <c r="C13" s="44"/>
      <c r="D13" s="44"/>
      <c r="E13" s="1" t="s">
        <v>62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45">
      <c r="A14" s="5" t="s">
        <v>54</v>
      </c>
      <c r="B14" s="40" t="s">
        <v>27</v>
      </c>
      <c r="C14" s="40"/>
      <c r="D14" s="40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45">
      <c r="A15" s="2"/>
      <c r="B15" s="52"/>
      <c r="C15" s="52"/>
      <c r="D15" s="52"/>
      <c r="E15" s="1"/>
      <c r="F15" s="16"/>
      <c r="G15" s="16"/>
      <c r="H15" s="14"/>
    </row>
    <row r="16" spans="1:12" x14ac:dyDescent="0.45">
      <c r="A16" s="5" t="s">
        <v>46</v>
      </c>
      <c r="B16" s="40" t="s">
        <v>28</v>
      </c>
      <c r="C16" s="40"/>
      <c r="D16" s="40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45">
      <c r="A17" s="2" t="s">
        <v>66</v>
      </c>
      <c r="B17" s="44" t="s">
        <v>22</v>
      </c>
      <c r="C17" s="44"/>
      <c r="D17" s="44"/>
      <c r="E17" s="1" t="s">
        <v>60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45">
      <c r="A18" s="5" t="s">
        <v>67</v>
      </c>
      <c r="B18" s="40" t="s">
        <v>29</v>
      </c>
      <c r="C18" s="40"/>
      <c r="D18" s="40"/>
      <c r="E18" s="4">
        <v>6444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45">
      <c r="A19" s="2" t="s">
        <v>82</v>
      </c>
      <c r="B19" s="44" t="s">
        <v>30</v>
      </c>
      <c r="C19" s="44"/>
      <c r="D19" s="44"/>
      <c r="E19" s="1" t="s">
        <v>81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45">
      <c r="A20" s="5"/>
      <c r="B20" s="49"/>
      <c r="C20" s="50"/>
      <c r="D20" s="51"/>
      <c r="E20" s="4"/>
      <c r="F20" s="4"/>
      <c r="G20" s="4"/>
      <c r="H20" s="14"/>
    </row>
    <row r="21" spans="1:10" x14ac:dyDescent="0.45">
      <c r="A21" s="2" t="s">
        <v>79</v>
      </c>
      <c r="B21" s="44" t="s">
        <v>33</v>
      </c>
      <c r="C21" s="44"/>
      <c r="D21" s="44"/>
      <c r="E21" s="9">
        <v>7.75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45">
      <c r="A22" s="5" t="s">
        <v>89</v>
      </c>
      <c r="B22" s="40" t="s">
        <v>31</v>
      </c>
      <c r="C22" s="40"/>
      <c r="D22" s="40"/>
      <c r="E22" s="4">
        <v>6440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45">
      <c r="A23" s="2"/>
      <c r="B23" s="44" t="s">
        <v>48</v>
      </c>
      <c r="C23" s="44"/>
      <c r="D23" s="44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45">
      <c r="A24" s="5"/>
      <c r="B24" s="40" t="s">
        <v>32</v>
      </c>
      <c r="C24" s="40"/>
      <c r="D24" s="40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45">
      <c r="A25" s="2"/>
      <c r="B25" s="44"/>
      <c r="C25" s="44"/>
      <c r="D25" s="44"/>
      <c r="E25" s="1"/>
      <c r="F25" s="16"/>
      <c r="G25" s="16"/>
      <c r="H25" s="14"/>
      <c r="I25" s="12"/>
    </row>
    <row r="26" spans="1:10" x14ac:dyDescent="0.45">
      <c r="A26" s="5"/>
      <c r="B26" s="40" t="s">
        <v>37</v>
      </c>
      <c r="C26" s="40"/>
      <c r="D26" s="40"/>
      <c r="E26" s="4" t="str">
        <f>C2</f>
        <v>Harris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40"/>
      <c r="C30" s="40"/>
      <c r="D30" s="40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40"/>
      <c r="C32" s="40"/>
      <c r="D32" s="40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40"/>
      <c r="C34" s="40"/>
      <c r="D34" s="40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35" t="s">
        <v>40</v>
      </c>
      <c r="B37" s="35" t="s">
        <v>7</v>
      </c>
      <c r="C37" s="35" t="s">
        <v>75</v>
      </c>
      <c r="D37" s="36" t="s">
        <v>76</v>
      </c>
    </row>
    <row r="38" spans="1:8" x14ac:dyDescent="0.45">
      <c r="A38" s="37"/>
      <c r="B38" s="38"/>
      <c r="C38" s="38"/>
      <c r="D38" s="39"/>
    </row>
    <row r="39" spans="1:8" x14ac:dyDescent="0.45">
      <c r="B39" t="s">
        <v>77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5188F784-C896-42D4-9F04-8E39B0513E65}">
      <formula1>"--,Returned, Given"</formula1>
    </dataValidation>
    <dataValidation type="list" allowBlank="1" showInputMessage="1" showErrorMessage="1" sqref="G16:G19 G21:G24 G26 G6:G14" xr:uid="{1DD0AAD2-467A-43F0-8C17-A688E2E4F507}">
      <formula1>"UNP, Ready To Order, Ordered, In Stock, Pick Up, Complete, Returned"</formula1>
    </dataValidation>
    <dataValidation type="decimal" allowBlank="1" showInputMessage="1" showErrorMessage="1" sqref="L2" xr:uid="{F490FCEA-B2AA-44DE-A1BD-0688493B3456}">
      <formula1>19</formula1>
      <formula2>26</formula2>
    </dataValidation>
  </dataValidations>
  <hyperlinks>
    <hyperlink ref="A1:A2" location="Menu!A1" display="Back to Menu" xr:uid="{00A8A3F5-4041-403B-9AD6-56DC826F0A7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9"/>
  <sheetViews>
    <sheetView tabSelected="1" zoomScaleNormal="100" workbookViewId="0">
      <selection sqref="A1:L40"/>
    </sheetView>
  </sheetViews>
  <sheetFormatPr defaultRowHeight="14.25" x14ac:dyDescent="0.45"/>
  <cols>
    <col min="1" max="1" width="18.53125" customWidth="1"/>
    <col min="5" max="5" width="14.33203125" customWidth="1"/>
    <col min="7" max="7" width="16.53125" customWidth="1"/>
    <col min="8" max="8" width="2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41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42"/>
      <c r="B2" s="2"/>
      <c r="C2" s="44"/>
      <c r="D2" s="44"/>
      <c r="E2" s="44"/>
      <c r="F2" s="44"/>
      <c r="G2" s="1"/>
      <c r="K2" s="4" t="s">
        <v>9</v>
      </c>
      <c r="L2" s="4"/>
    </row>
    <row r="3" spans="1:12" ht="17.25" customHeight="1" x14ac:dyDescent="0.45">
      <c r="A3" s="20" t="s">
        <v>1</v>
      </c>
      <c r="B3" s="45" t="s">
        <v>4</v>
      </c>
      <c r="C3" s="46"/>
      <c r="D3" s="47"/>
      <c r="E3" s="45" t="s">
        <v>49</v>
      </c>
      <c r="F3" s="47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48"/>
      <c r="C4" s="48"/>
      <c r="D4" s="48"/>
      <c r="E4" s="44"/>
      <c r="F4" s="44"/>
      <c r="G4" s="1"/>
      <c r="K4" s="4" t="s">
        <v>12</v>
      </c>
      <c r="L4" s="4"/>
    </row>
    <row r="5" spans="1:12" ht="17.25" customHeight="1" x14ac:dyDescent="0.45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40" t="s">
        <v>18</v>
      </c>
      <c r="C6" s="40"/>
      <c r="D6" s="40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44" t="s">
        <v>21</v>
      </c>
      <c r="C7" s="44"/>
      <c r="D7" s="44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40" t="s">
        <v>19</v>
      </c>
      <c r="C8" s="40"/>
      <c r="D8" s="40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44" t="s">
        <v>20</v>
      </c>
      <c r="C9" s="44"/>
      <c r="D9" s="44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40" t="s">
        <v>24</v>
      </c>
      <c r="C10" s="40"/>
      <c r="D10" s="40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45">
      <c r="A11" s="2"/>
      <c r="B11" s="44" t="s">
        <v>23</v>
      </c>
      <c r="C11" s="44"/>
      <c r="D11" s="44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45">
      <c r="A12" s="5"/>
      <c r="B12" s="40" t="s">
        <v>25</v>
      </c>
      <c r="C12" s="40"/>
      <c r="D12" s="40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45">
      <c r="A13" s="2"/>
      <c r="B13" s="44" t="s">
        <v>26</v>
      </c>
      <c r="C13" s="44"/>
      <c r="D13" s="44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45">
      <c r="A14" s="5"/>
      <c r="B14" s="40" t="s">
        <v>27</v>
      </c>
      <c r="C14" s="40"/>
      <c r="D14" s="40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45">
      <c r="A15" s="2"/>
      <c r="B15" s="52"/>
      <c r="C15" s="52"/>
      <c r="D15" s="52"/>
      <c r="E15" s="1"/>
      <c r="F15" s="16"/>
      <c r="G15" s="16"/>
      <c r="H15" s="14"/>
    </row>
    <row r="16" spans="1:12" ht="17.25" customHeight="1" x14ac:dyDescent="0.45">
      <c r="A16" s="5"/>
      <c r="B16" s="40" t="s">
        <v>28</v>
      </c>
      <c r="C16" s="40"/>
      <c r="D16" s="40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45">
      <c r="A17" s="2"/>
      <c r="B17" s="44" t="s">
        <v>22</v>
      </c>
      <c r="C17" s="44"/>
      <c r="D17" s="44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45">
      <c r="A18" s="5"/>
      <c r="B18" s="40" t="s">
        <v>29</v>
      </c>
      <c r="C18" s="40"/>
      <c r="D18" s="40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45">
      <c r="A19" s="2"/>
      <c r="B19" s="44" t="s">
        <v>30</v>
      </c>
      <c r="C19" s="44"/>
      <c r="D19" s="44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45">
      <c r="A20" s="5"/>
      <c r="B20" s="49"/>
      <c r="C20" s="50"/>
      <c r="D20" s="51"/>
      <c r="E20" s="4"/>
      <c r="F20" s="4"/>
      <c r="G20" s="4"/>
      <c r="H20" s="14"/>
    </row>
    <row r="21" spans="1:14" x14ac:dyDescent="0.45">
      <c r="A21" s="2"/>
      <c r="B21" s="44" t="s">
        <v>33</v>
      </c>
      <c r="C21" s="44"/>
      <c r="D21" s="44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45">
      <c r="A22" s="5"/>
      <c r="B22" s="40" t="s">
        <v>31</v>
      </c>
      <c r="C22" s="40"/>
      <c r="D22" s="40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45">
      <c r="A23" s="2"/>
      <c r="B23" s="44" t="s">
        <v>48</v>
      </c>
      <c r="C23" s="44"/>
      <c r="D23" s="44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45">
      <c r="A24" s="5"/>
      <c r="B24" s="40" t="s">
        <v>32</v>
      </c>
      <c r="C24" s="40"/>
      <c r="D24" s="40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45">
      <c r="A25" s="2"/>
      <c r="B25" s="44"/>
      <c r="C25" s="44"/>
      <c r="D25" s="44"/>
      <c r="E25" s="1"/>
      <c r="F25" s="16"/>
      <c r="G25" s="16"/>
      <c r="H25" s="14"/>
      <c r="I25" s="12"/>
    </row>
    <row r="26" spans="1:14" x14ac:dyDescent="0.45">
      <c r="A26" s="5"/>
      <c r="B26" s="40" t="s">
        <v>37</v>
      </c>
      <c r="C26" s="40"/>
      <c r="D26" s="40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40"/>
      <c r="C30" s="40"/>
      <c r="D30" s="40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44"/>
      <c r="C31" s="44"/>
      <c r="D31" s="44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40"/>
      <c r="C32" s="40"/>
      <c r="D32" s="40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4"/>
      <c r="C33" s="44"/>
      <c r="D33" s="44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40"/>
      <c r="C34" s="40"/>
      <c r="D34" s="40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35" t="s">
        <v>40</v>
      </c>
      <c r="B37" s="35" t="s">
        <v>7</v>
      </c>
      <c r="C37" s="35" t="s">
        <v>75</v>
      </c>
      <c r="D37" s="36" t="s">
        <v>76</v>
      </c>
    </row>
    <row r="38" spans="1:8" x14ac:dyDescent="0.45">
      <c r="A38" s="37"/>
      <c r="B38" s="38"/>
      <c r="C38" s="38"/>
      <c r="D38" s="39"/>
    </row>
    <row r="39" spans="1:8" x14ac:dyDescent="0.45">
      <c r="B39" t="s">
        <v>77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Menu</vt:lpstr>
      <vt:lpstr>Importing</vt:lpstr>
      <vt:lpstr>Pickup</vt:lpstr>
      <vt:lpstr>Rachel_Harris_58A8DF86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2023-12-28T00:09:14Z</dcterms:modified>
</cp:coreProperties>
</file>