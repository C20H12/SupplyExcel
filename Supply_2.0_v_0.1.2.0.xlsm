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6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7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8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7a2fd30cf77674c/Desktop/Supply Excel Github/SupplyExcel/"/>
    </mc:Choice>
  </mc:AlternateContent>
  <xr:revisionPtr revIDLastSave="1" documentId="13_ncr:1_{CCF71452-B54F-4C2A-966C-02B378FED32D}" xr6:coauthVersionLast="47" xr6:coauthVersionMax="47" xr10:uidLastSave="{08574FA2-ADC8-46D2-9B0B-EDB2AC528EBD}"/>
  <bookViews>
    <workbookView xWindow="-108" yWindow="-108" windowWidth="23256" windowHeight="12456" tabRatio="856" xr2:uid="{01218C0E-FF84-42AC-8993-DD76AC11461D}"/>
  </bookViews>
  <sheets>
    <sheet name="Menu" sheetId="48" r:id="rId1"/>
    <sheet name="Importing" sheetId="124" r:id="rId2"/>
    <sheet name="Pickup" sheetId="181" r:id="rId3"/>
    <sheet name="Henry_Smith_AB6D98A0" sheetId="172" r:id="rId4"/>
    <sheet name="Alice_Robinson_AB7A73BD" sheetId="176" r:id="rId5"/>
    <sheet name="Liam_Robinson_FD0E829E" sheetId="177" r:id="rId6"/>
    <sheet name="Taylor_White_0556E08D" sheetId="180" r:id="rId7"/>
    <sheet name="Template" sheetId="1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4" i="180" l="1"/>
  <c r="H33" i="180"/>
  <c r="H32" i="180"/>
  <c r="H31" i="180"/>
  <c r="H30" i="180"/>
  <c r="H26" i="180"/>
  <c r="E26" i="180"/>
  <c r="H24" i="180"/>
  <c r="H23" i="180"/>
  <c r="H22" i="180"/>
  <c r="H21" i="180"/>
  <c r="H19" i="180"/>
  <c r="H18" i="180"/>
  <c r="H17" i="180"/>
  <c r="H16" i="180"/>
  <c r="H14" i="180"/>
  <c r="H13" i="180"/>
  <c r="H12" i="180"/>
  <c r="H11" i="180"/>
  <c r="H10" i="180"/>
  <c r="H9" i="180"/>
  <c r="H8" i="180"/>
  <c r="H7" i="180"/>
  <c r="H6" i="180"/>
  <c r="H34" i="177"/>
  <c r="H33" i="177"/>
  <c r="H32" i="177"/>
  <c r="H31" i="177"/>
  <c r="H30" i="177"/>
  <c r="H26" i="177"/>
  <c r="E26" i="177"/>
  <c r="H24" i="177"/>
  <c r="H23" i="177"/>
  <c r="H22" i="177"/>
  <c r="H21" i="177"/>
  <c r="H19" i="177"/>
  <c r="H18" i="177"/>
  <c r="H17" i="177"/>
  <c r="H16" i="177"/>
  <c r="H14" i="177"/>
  <c r="H13" i="177"/>
  <c r="H12" i="177"/>
  <c r="H11" i="177"/>
  <c r="H10" i="177"/>
  <c r="H9" i="177"/>
  <c r="H8" i="177"/>
  <c r="H7" i="177"/>
  <c r="H6" i="177"/>
  <c r="H34" i="176"/>
  <c r="H33" i="176"/>
  <c r="H32" i="176"/>
  <c r="H31" i="176"/>
  <c r="H30" i="176"/>
  <c r="H26" i="176"/>
  <c r="E26" i="176"/>
  <c r="H24" i="176"/>
  <c r="H23" i="176"/>
  <c r="H22" i="176"/>
  <c r="H21" i="176"/>
  <c r="H19" i="176"/>
  <c r="H18" i="176"/>
  <c r="H17" i="176"/>
  <c r="H16" i="176"/>
  <c r="H14" i="176"/>
  <c r="H13" i="176"/>
  <c r="H12" i="176"/>
  <c r="H11" i="176"/>
  <c r="H10" i="176"/>
  <c r="H9" i="176"/>
  <c r="H8" i="176"/>
  <c r="H7" i="176"/>
  <c r="H6" i="176"/>
  <c r="H34" i="172"/>
  <c r="H33" i="172"/>
  <c r="H32" i="172"/>
  <c r="H31" i="172"/>
  <c r="H30" i="172"/>
  <c r="H26" i="172"/>
  <c r="E26" i="172"/>
  <c r="H24" i="172"/>
  <c r="H23" i="172"/>
  <c r="H22" i="172"/>
  <c r="H21" i="172"/>
  <c r="H19" i="172"/>
  <c r="H18" i="172"/>
  <c r="H17" i="172"/>
  <c r="H16" i="172"/>
  <c r="H14" i="172"/>
  <c r="H13" i="172"/>
  <c r="H12" i="172"/>
  <c r="H11" i="172"/>
  <c r="H10" i="172"/>
  <c r="H9" i="172"/>
  <c r="H8" i="172"/>
  <c r="H7" i="172"/>
  <c r="H6" i="172"/>
  <c r="E26" i="1" l="1"/>
  <c r="H14" i="1"/>
  <c r="H13" i="1"/>
  <c r="H12" i="1"/>
  <c r="H11" i="1"/>
  <c r="H10" i="1"/>
  <c r="H9" i="1"/>
  <c r="H8" i="1"/>
  <c r="H7" i="1"/>
  <c r="H6" i="1"/>
  <c r="H34" i="1"/>
  <c r="H33" i="1"/>
  <c r="H32" i="1"/>
  <c r="H31" i="1"/>
  <c r="H30" i="1"/>
  <c r="H22" i="1"/>
  <c r="H21" i="1"/>
  <c r="H19" i="1"/>
  <c r="H18" i="1"/>
  <c r="H17" i="1"/>
  <c r="H16" i="1"/>
  <c r="H26" i="1"/>
  <c r="H24" i="1"/>
  <c r="H23" i="1"/>
</calcChain>
</file>

<file path=xl/sharedStrings.xml><?xml version="1.0" encoding="utf-8"?>
<sst xmlns="http://schemas.openxmlformats.org/spreadsheetml/2006/main" count="505" uniqueCount="142">
  <si>
    <t>Surname</t>
  </si>
  <si>
    <t>Unit</t>
  </si>
  <si>
    <t>First Name</t>
  </si>
  <si>
    <t>Rank</t>
  </si>
  <si>
    <t>Telephone Number</t>
  </si>
  <si>
    <t>Gender</t>
  </si>
  <si>
    <t>Stock Number</t>
  </si>
  <si>
    <t>Item</t>
  </si>
  <si>
    <t>Size</t>
  </si>
  <si>
    <t>Head</t>
  </si>
  <si>
    <t>Size(inches)</t>
  </si>
  <si>
    <t>Neck</t>
  </si>
  <si>
    <t>Chest</t>
  </si>
  <si>
    <t>Waist</t>
  </si>
  <si>
    <t>Hips</t>
  </si>
  <si>
    <t>Height</t>
  </si>
  <si>
    <t>Foot Length</t>
  </si>
  <si>
    <t>Foot Width</t>
  </si>
  <si>
    <t>Tunic</t>
  </si>
  <si>
    <t>T-Shirt</t>
  </si>
  <si>
    <t>Dress Pants</t>
  </si>
  <si>
    <t>Collar Shirt</t>
  </si>
  <si>
    <t>Tilly</t>
  </si>
  <si>
    <t>Tie</t>
  </si>
  <si>
    <t>Wedge</t>
  </si>
  <si>
    <t>Belt</t>
  </si>
  <si>
    <t>Socks</t>
  </si>
  <si>
    <t>Leather Boots</t>
  </si>
  <si>
    <t>Toque</t>
  </si>
  <si>
    <t>Parka</t>
  </si>
  <si>
    <t>Gloves</t>
  </si>
  <si>
    <t>FTU Tunic</t>
  </si>
  <si>
    <t>FTU Boots</t>
  </si>
  <si>
    <t>Beret</t>
  </si>
  <si>
    <t>Code</t>
  </si>
  <si>
    <t>Quantity</t>
  </si>
  <si>
    <t>Status</t>
  </si>
  <si>
    <t>Nametag</t>
  </si>
  <si>
    <t>Type</t>
  </si>
  <si>
    <t>918 Griffons RCACS</t>
  </si>
  <si>
    <t>Date</t>
  </si>
  <si>
    <t>ID</t>
  </si>
  <si>
    <t>Back to Menu</t>
  </si>
  <si>
    <t>FSgt</t>
  </si>
  <si>
    <t>Male</t>
  </si>
  <si>
    <t>XS</t>
  </si>
  <si>
    <t>XL/TG</t>
  </si>
  <si>
    <t>UNP</t>
  </si>
  <si>
    <t>8405-21-907-9466</t>
  </si>
  <si>
    <t>Hand Length</t>
  </si>
  <si>
    <t>FTU Pants</t>
  </si>
  <si>
    <t>Email</t>
  </si>
  <si>
    <t>Extra Items</t>
  </si>
  <si>
    <t>320/126</t>
  </si>
  <si>
    <t>UNI</t>
  </si>
  <si>
    <t>8440-20-006-6068</t>
  </si>
  <si>
    <t>L (66 inch)</t>
  </si>
  <si>
    <t>8440-21-899-1182</t>
  </si>
  <si>
    <t>Jesus@hotmail.com</t>
  </si>
  <si>
    <t>8430-20-006-2569</t>
  </si>
  <si>
    <t>8405-20-003-5837</t>
  </si>
  <si>
    <t>8405-21-920-7275</t>
  </si>
  <si>
    <t>Smith</t>
  </si>
  <si>
    <t>Last Name</t>
  </si>
  <si>
    <t>Is Male</t>
  </si>
  <si>
    <t>Hip</t>
  </si>
  <si>
    <t>Foot Len</t>
  </si>
  <si>
    <t>Foot Wid</t>
  </si>
  <si>
    <t>XXL</t>
  </si>
  <si>
    <t>1000-21-215-7658</t>
  </si>
  <si>
    <t>Henry</t>
  </si>
  <si>
    <t>AB6D98A0</t>
  </si>
  <si>
    <t>1000-21-059-8060</t>
  </si>
  <si>
    <t>1000-21-316-2000</t>
  </si>
  <si>
    <t>1000-21-070-7658</t>
  </si>
  <si>
    <t>(L/XL - G/TG)</t>
  </si>
  <si>
    <t>8415-20-006-8917</t>
  </si>
  <si>
    <t>8405-20-013-1465</t>
  </si>
  <si>
    <t>8405-20-004-7490</t>
  </si>
  <si>
    <t>8405-21-920-7089</t>
  </si>
  <si>
    <t>8420-20-001-0711</t>
  </si>
  <si>
    <t>M</t>
  </si>
  <si>
    <t>8420-20-001-0730</t>
  </si>
  <si>
    <t>8405-20-004-7506</t>
  </si>
  <si>
    <t>9D</t>
  </si>
  <si>
    <t>8430-20-A0X-9132</t>
  </si>
  <si>
    <t>Hand</t>
  </si>
  <si>
    <t>Robinson</t>
  </si>
  <si>
    <t>Alice</t>
  </si>
  <si>
    <t>AB7A73BD</t>
  </si>
  <si>
    <t>Female</t>
  </si>
  <si>
    <t>8405-21-905-7815</t>
  </si>
  <si>
    <t>26M</t>
  </si>
  <si>
    <t>8410-21-912-7795</t>
  </si>
  <si>
    <t>8405-20-003-5847</t>
  </si>
  <si>
    <t>R (50 inch)</t>
  </si>
  <si>
    <t>8440-21-905-7384</t>
  </si>
  <si>
    <t>8405-21-920-7281</t>
  </si>
  <si>
    <t>8405-21-920-7092</t>
  </si>
  <si>
    <t>(JR / JR)</t>
  </si>
  <si>
    <t>8415-20-006-8915</t>
  </si>
  <si>
    <t>8405-20-013-1477</t>
  </si>
  <si>
    <t>8405-20-004-7484</t>
  </si>
  <si>
    <t>Liam</t>
  </si>
  <si>
    <t>FD0E829E</t>
  </si>
  <si>
    <t>1000-21-059-6442</t>
  </si>
  <si>
    <t>20S</t>
  </si>
  <si>
    <t>8410-21-912-7790</t>
  </si>
  <si>
    <t>L</t>
  </si>
  <si>
    <t>8420-20-001-0731</t>
  </si>
  <si>
    <t>6738 (H48-1/2)</t>
  </si>
  <si>
    <t>8410-21-912-3648</t>
  </si>
  <si>
    <t>8405-20-003-5838</t>
  </si>
  <si>
    <t>REG</t>
  </si>
  <si>
    <t>8440-20-008-7936</t>
  </si>
  <si>
    <t>285/116</t>
  </si>
  <si>
    <t>8430-20-006-2557</t>
  </si>
  <si>
    <t>8405-21-920-7100</t>
  </si>
  <si>
    <t>8405-20-013-1468</t>
  </si>
  <si>
    <t>8405-20-004-7488</t>
  </si>
  <si>
    <t>8405-20-004-7508</t>
  </si>
  <si>
    <t>16EEE</t>
  </si>
  <si>
    <t>8430-20-A0Y-2290</t>
  </si>
  <si>
    <t>White</t>
  </si>
  <si>
    <t>Taylor</t>
  </si>
  <si>
    <t>0556E08D</t>
  </si>
  <si>
    <t>1000-21-059-8034</t>
  </si>
  <si>
    <t>8405-20-001-4510</t>
  </si>
  <si>
    <t>8405-21-909-2423</t>
  </si>
  <si>
    <t>XL (60 inch)</t>
  </si>
  <si>
    <t>8440-20-005-2931</t>
  </si>
  <si>
    <t>L/G</t>
  </si>
  <si>
    <t>8440-20-006-6069</t>
  </si>
  <si>
    <t>330/130</t>
  </si>
  <si>
    <t>8430-20-006-2570</t>
  </si>
  <si>
    <t>8405-20-013-1466</t>
  </si>
  <si>
    <t>8405-20-004-7500</t>
  </si>
  <si>
    <t>8405-20-004-7523</t>
  </si>
  <si>
    <t>(2XS / 2TP)</t>
  </si>
  <si>
    <t>1001-21-154-1000</t>
  </si>
  <si>
    <t>6D</t>
  </si>
  <si>
    <t>8430-20-A0X-8963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</si>
</sst>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##\-###\-####"/>
    <numFmt numFmtId="165" formatCode="yyyy/mm/d\ h:mm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alibri"/>
      <family val="2"/>
      <scheme val="minor"/>
    </font>
    <font>
      <sz val="8"/>
      <color theme="2" tint="-0.499984740745262"/>
      <name val="Wingdings 3"/>
      <family val="1"/>
      <charset val="2"/>
    </font>
    <font>
      <sz val="10"/>
      <color theme="2" tint="-0.499984740745262"/>
      <name val="Wingdings 3"/>
      <family val="1"/>
      <charset val="2"/>
    </font>
    <font>
      <sz val="11"/>
      <color theme="2" tint="-0.499984740745262"/>
      <name val="Wingdings 3"/>
      <family val="1"/>
      <charset val="2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2"/>
        <bgColor indexed="64"/>
      </patternFill>
    </fill>
    <fill>
      <gradientFill degree="90">
        <stop position="0">
          <color theme="0"/>
        </stop>
        <stop position="1">
          <color rgb="FFCADDEC"/>
        </stop>
      </gradient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2" tint="-0.24994659260841701"/>
      </right>
      <top style="thin">
        <color theme="2" tint="-0.24994659260841701"/>
      </top>
      <bottom/>
      <diagonal/>
    </border>
    <border>
      <left/>
      <right style="thin">
        <color theme="2" tint="-0.24994659260841701"/>
      </right>
      <top/>
      <bottom/>
      <diagonal/>
    </border>
    <border>
      <left/>
      <right style="thin">
        <color theme="2" tint="-0.24994659260841701"/>
      </right>
      <top/>
      <bottom style="thin">
        <color theme="2" tint="-0.24994659260841701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2" fillId="0" borderId="0" applyNumberFormat="0" applyFill="0" applyBorder="0" applyAlignment="0" applyProtection="0"/>
  </cellStyleXfs>
  <cellXfs count="49">
    <xf numFmtId="0" fontId="0" fillId="0" borderId="0" xfId="0"/>
    <xf numFmtId="0" fontId="0" fillId="0" borderId="1" xfId="0" applyBorder="1" applyAlignment="1">
      <alignment horizontal="center"/>
    </xf>
    <xf numFmtId="0" fontId="0" fillId="0" borderId="1" xfId="0" applyBorder="1"/>
    <xf numFmtId="0" fontId="1" fillId="2" borderId="1" xfId="1" applyBorder="1" applyAlignment="1"/>
    <xf numFmtId="0" fontId="1" fillId="2" borderId="1" xfId="1" applyBorder="1" applyAlignment="1">
      <alignment horizontal="center"/>
    </xf>
    <xf numFmtId="0" fontId="1" fillId="2" borderId="1" xfId="1" applyBorder="1"/>
    <xf numFmtId="0" fontId="3" fillId="3" borderId="7" xfId="2" applyFont="1" applyBorder="1" applyAlignment="1">
      <alignment horizontal="center" vertical="center"/>
    </xf>
    <xf numFmtId="0" fontId="4" fillId="3" borderId="3" xfId="2" applyFont="1" applyBorder="1" applyAlignment="1">
      <alignment horizontal="center" vertical="center"/>
    </xf>
    <xf numFmtId="12" fontId="1" fillId="2" borderId="1" xfId="1" applyNumberFormat="1" applyBorder="1" applyAlignment="1">
      <alignment horizontal="center"/>
    </xf>
    <xf numFmtId="12" fontId="0" fillId="0" borderId="1" xfId="0" applyNumberFormat="1" applyBorder="1" applyAlignment="1">
      <alignment horizontal="center"/>
    </xf>
    <xf numFmtId="0" fontId="1" fillId="2" borderId="4" xfId="1" applyBorder="1" applyAlignment="1">
      <alignment horizontal="center"/>
    </xf>
    <xf numFmtId="0" fontId="7" fillId="0" borderId="0" xfId="0" applyFont="1"/>
    <xf numFmtId="0" fontId="10" fillId="0" borderId="0" xfId="0" applyFont="1"/>
    <xf numFmtId="0" fontId="3" fillId="3" borderId="1" xfId="2" applyFont="1" applyBorder="1" applyAlignment="1">
      <alignment horizontal="center" vertical="center"/>
    </xf>
    <xf numFmtId="0" fontId="8" fillId="0" borderId="0" xfId="3" applyFont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1" fillId="7" borderId="1" xfId="1" applyFill="1" applyBorder="1" applyAlignment="1">
      <alignment horizontal="center"/>
    </xf>
    <xf numFmtId="0" fontId="1" fillId="4" borderId="1" xfId="1" applyFill="1" applyBorder="1" applyAlignment="1">
      <alignment horizontal="center"/>
    </xf>
    <xf numFmtId="0" fontId="11" fillId="0" borderId="0" xfId="0" applyFont="1"/>
    <xf numFmtId="0" fontId="10" fillId="5" borderId="0" xfId="3" applyFont="1" applyFill="1" applyBorder="1" applyAlignment="1">
      <alignment horizontal="center" vertical="center"/>
    </xf>
    <xf numFmtId="0" fontId="12" fillId="3" borderId="1" xfId="2" applyFont="1" applyBorder="1" applyAlignment="1">
      <alignment horizontal="center"/>
    </xf>
    <xf numFmtId="0" fontId="12" fillId="3" borderId="9" xfId="2" applyFont="1" applyBorder="1" applyAlignment="1">
      <alignment horizontal="center"/>
    </xf>
    <xf numFmtId="0" fontId="9" fillId="5" borderId="11" xfId="3" applyFont="1" applyFill="1" applyBorder="1" applyAlignment="1">
      <alignment horizontal="center" vertical="center"/>
    </xf>
    <xf numFmtId="0" fontId="10" fillId="5" borderId="11" xfId="3" applyFont="1" applyFill="1" applyBorder="1" applyAlignment="1">
      <alignment horizontal="center" vertical="center"/>
    </xf>
    <xf numFmtId="0" fontId="9" fillId="5" borderId="12" xfId="3" applyFont="1" applyFill="1" applyBorder="1" applyAlignment="1">
      <alignment horizontal="center" vertical="center"/>
    </xf>
    <xf numFmtId="0" fontId="1" fillId="6" borderId="1" xfId="1" applyFill="1" applyBorder="1" applyAlignment="1">
      <alignment horizontal="center"/>
    </xf>
    <xf numFmtId="0" fontId="3" fillId="7" borderId="1" xfId="1" applyFont="1" applyFill="1" applyBorder="1" applyAlignment="1">
      <alignment horizontal="center"/>
    </xf>
    <xf numFmtId="0" fontId="3" fillId="2" borderId="1" xfId="1" applyFont="1" applyBorder="1" applyAlignment="1">
      <alignment horizontal="center"/>
    </xf>
    <xf numFmtId="0" fontId="10" fillId="5" borderId="10" xfId="3" applyFont="1" applyFill="1" applyBorder="1" applyAlignment="1">
      <alignment horizontal="center" vertical="center"/>
    </xf>
    <xf numFmtId="0" fontId="3" fillId="3" borderId="1" xfId="2" applyFont="1" applyBorder="1" applyAlignment="1">
      <alignment horizontal="center" vertical="center" wrapText="1"/>
    </xf>
    <xf numFmtId="0" fontId="5" fillId="0" borderId="9" xfId="3" applyFont="1" applyBorder="1" applyAlignment="1">
      <alignment horizontal="center" vertical="center"/>
    </xf>
    <xf numFmtId="0" fontId="5" fillId="0" borderId="9" xfId="3" applyFont="1" applyBorder="1" applyAlignment="1">
      <alignment horizontal="center" vertical="center" wrapText="1"/>
    </xf>
    <xf numFmtId="0" fontId="2" fillId="0" borderId="8" xfId="3" applyFill="1" applyBorder="1" applyAlignment="1">
      <alignment horizontal="center" vertical="center"/>
    </xf>
    <xf numFmtId="165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8" borderId="0" xfId="0" applyFill="1"/>
    <xf numFmtId="0" fontId="1" fillId="2" borderId="1" xfId="1" applyBorder="1" applyAlignment="1">
      <alignment horizontal="center"/>
    </xf>
    <xf numFmtId="0" fontId="2" fillId="0" borderId="2" xfId="3" applyBorder="1" applyAlignment="1">
      <alignment horizontal="center" vertical="center"/>
    </xf>
    <xf numFmtId="0" fontId="2" fillId="0" borderId="3" xfId="3" applyBorder="1" applyAlignment="1">
      <alignment horizontal="center" vertical="center"/>
    </xf>
    <xf numFmtId="0" fontId="12" fillId="3" borderId="1" xfId="2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2" fillId="3" borderId="4" xfId="2" applyFont="1" applyBorder="1" applyAlignment="1">
      <alignment horizontal="center"/>
    </xf>
    <xf numFmtId="0" fontId="12" fillId="3" borderId="5" xfId="2" applyFont="1" applyBorder="1" applyAlignment="1">
      <alignment horizontal="center"/>
    </xf>
    <xf numFmtId="0" fontId="12" fillId="3" borderId="6" xfId="2" applyFon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1" fillId="2" borderId="4" xfId="1" applyBorder="1" applyAlignment="1">
      <alignment horizontal="center"/>
    </xf>
    <xf numFmtId="0" fontId="1" fillId="2" borderId="5" xfId="1" applyBorder="1" applyAlignment="1">
      <alignment horizontal="center"/>
    </xf>
    <xf numFmtId="0" fontId="1" fillId="2" borderId="6" xfId="1" applyBorder="1" applyAlignment="1">
      <alignment horizontal="center"/>
    </xf>
    <xf numFmtId="0" fontId="0" fillId="0" borderId="1" xfId="0" applyBorder="1"/>
  </cellXfs>
  <cellStyles count="4">
    <cellStyle name="20% - Accent3" xfId="1" builtinId="38"/>
    <cellStyle name="60% - Accent5" xfId="2" builtinId="48"/>
    <cellStyle name="Hyperlink" xfId="3" builtinId="8"/>
    <cellStyle name="Normal" xfId="0" builtinId="0"/>
  </cellStyles>
  <dxfs count="56"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yyyy/mm/d\ h: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>
          <bgColor theme="0" tint="-0.499984740745262"/>
        </patternFill>
      </fill>
    </dxf>
    <dxf>
      <fill>
        <patternFill>
          <bgColor theme="8" tint="0.39994506668294322"/>
        </patternFill>
      </fill>
    </dxf>
    <dxf>
      <fill>
        <patternFill>
          <bgColor rgb="FFFB873F"/>
        </patternFill>
      </fill>
    </dxf>
    <dxf>
      <fill>
        <patternFill>
          <bgColor rgb="FFF6F66A"/>
        </patternFill>
      </fill>
    </dxf>
    <dxf>
      <fill>
        <patternFill>
          <bgColor rgb="FF92D050"/>
        </patternFill>
      </fill>
    </dxf>
    <dxf>
      <fill>
        <patternFill>
          <bgColor rgb="FFFF7575"/>
        </patternFill>
      </fill>
    </dxf>
  </dxfs>
  <tableStyles count="0" defaultTableStyle="TableStyleMedium2" defaultPivotStyle="PivotStyleLight16"/>
  <colors>
    <mruColors>
      <color rgb="FFC39BE1"/>
      <color rgb="FF70AE8C"/>
      <color rgb="FFDAA100"/>
      <color rgb="FF03E4DF"/>
      <color rgb="FF699BFF"/>
      <color rgb="FFFB873F"/>
      <color rgb="FFFF7575"/>
      <color rgb="FFF6F66A"/>
      <color rgb="FFFF9371"/>
      <color rgb="FFCADD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304800</xdr:colOff>
          <xdr:row>0</xdr:row>
          <xdr:rowOff>0</xdr:rowOff>
        </xdr:from>
        <xdr:to>
          <xdr:col>7</xdr:col>
          <xdr:colOff>487680</xdr:colOff>
          <xdr:row>0</xdr:row>
          <xdr:rowOff>480060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0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350520</xdr:colOff>
          <xdr:row>0</xdr:row>
          <xdr:rowOff>0</xdr:rowOff>
        </xdr:from>
        <xdr:to>
          <xdr:col>12</xdr:col>
          <xdr:colOff>525780</xdr:colOff>
          <xdr:row>0</xdr:row>
          <xdr:rowOff>472440</xdr:rowOff>
        </xdr:to>
        <xdr:sp macro="" textlink="">
          <xdr:nvSpPr>
            <xdr:cNvPr id="19461" name="Button 5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00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Seperate Backup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609600</xdr:colOff>
          <xdr:row>0</xdr:row>
          <xdr:rowOff>0</xdr:rowOff>
        </xdr:from>
        <xdr:to>
          <xdr:col>10</xdr:col>
          <xdr:colOff>175260</xdr:colOff>
          <xdr:row>0</xdr:row>
          <xdr:rowOff>480060</xdr:rowOff>
        </xdr:to>
        <xdr:sp macro="" textlink="">
          <xdr:nvSpPr>
            <xdr:cNvPr id="19462" name="Button 6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0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 Cadet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83820</xdr:colOff>
          <xdr:row>0</xdr:row>
          <xdr:rowOff>0</xdr:rowOff>
        </xdr:from>
        <xdr:to>
          <xdr:col>15</xdr:col>
          <xdr:colOff>259080</xdr:colOff>
          <xdr:row>0</xdr:row>
          <xdr:rowOff>480060</xdr:rowOff>
        </xdr:to>
        <xdr:sp macro="" textlink="">
          <xdr:nvSpPr>
            <xdr:cNvPr id="19463" name="Button 7" hidden="1">
              <a:extLst>
                <a:ext uri="{63B3BB69-23CF-44E3-9099-C40C66FF867C}">
                  <a14:compatExt spid="_x0000_s19463"/>
                </a:ext>
                <a:ext uri="{FF2B5EF4-FFF2-40B4-BE49-F238E27FC236}">
                  <a16:creationId xmlns:a16="http://schemas.microsoft.com/office/drawing/2014/main" id="{00000000-0008-0000-0000-00000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Emergency Test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396240</xdr:colOff>
          <xdr:row>0</xdr:row>
          <xdr:rowOff>129540</xdr:rowOff>
        </xdr:from>
        <xdr:to>
          <xdr:col>16</xdr:col>
          <xdr:colOff>342900</xdr:colOff>
          <xdr:row>1</xdr:row>
          <xdr:rowOff>0</xdr:rowOff>
        </xdr:to>
        <xdr:sp macro="" textlink="">
          <xdr:nvSpPr>
            <xdr:cNvPr id="105473" name="Button 1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id="{00000000-0008-0000-0100-000001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To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30480</xdr:colOff>
          <xdr:row>0</xdr:row>
          <xdr:rowOff>53340</xdr:rowOff>
        </xdr:from>
        <xdr:to>
          <xdr:col>25</xdr:col>
          <xdr:colOff>190500</xdr:colOff>
          <xdr:row>1</xdr:row>
          <xdr:rowOff>0</xdr:rowOff>
        </xdr:to>
        <xdr:sp macro="" textlink="">
          <xdr:nvSpPr>
            <xdr:cNvPr id="163841" name="Button 1" hidden="1">
              <a:extLst>
                <a:ext uri="{63B3BB69-23CF-44E3-9099-C40C66FF867C}">
                  <a14:compatExt spid="_x0000_s163841"/>
                </a:ext>
                <a:ext uri="{FF2B5EF4-FFF2-40B4-BE49-F238E27FC236}">
                  <a16:creationId xmlns:a16="http://schemas.microsoft.com/office/drawing/2014/main" id="{00000000-0008-0000-0200-000001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31</xdr:row>
          <xdr:rowOff>152400</xdr:rowOff>
        </xdr:from>
        <xdr:to>
          <xdr:col>12</xdr:col>
          <xdr:colOff>7620</xdr:colOff>
          <xdr:row>33</xdr:row>
          <xdr:rowOff>152400</xdr:rowOff>
        </xdr:to>
        <xdr:sp macro="" textlink="">
          <xdr:nvSpPr>
            <xdr:cNvPr id="153601" name="Button 1" hidden="1">
              <a:extLst>
                <a:ext uri="{63B3BB69-23CF-44E3-9099-C40C66FF867C}">
                  <a14:compatExt spid="_x0000_s153601"/>
                </a:ext>
                <a:ext uri="{FF2B5EF4-FFF2-40B4-BE49-F238E27FC236}">
                  <a16:creationId xmlns:a16="http://schemas.microsoft.com/office/drawing/2014/main" id="{00000000-0008-0000-0300-000001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10</xdr:row>
          <xdr:rowOff>198120</xdr:rowOff>
        </xdr:from>
        <xdr:to>
          <xdr:col>12</xdr:col>
          <xdr:colOff>7620</xdr:colOff>
          <xdr:row>12</xdr:row>
          <xdr:rowOff>198120</xdr:rowOff>
        </xdr:to>
        <xdr:sp macro="" textlink="">
          <xdr:nvSpPr>
            <xdr:cNvPr id="153602" name="Button 2" hidden="1">
              <a:extLst>
                <a:ext uri="{63B3BB69-23CF-44E3-9099-C40C66FF867C}">
                  <a14:compatExt spid="_x0000_s153602"/>
                </a:ext>
                <a:ext uri="{FF2B5EF4-FFF2-40B4-BE49-F238E27FC236}">
                  <a16:creationId xmlns:a16="http://schemas.microsoft.com/office/drawing/2014/main" id="{00000000-0008-0000-0300-000002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205740</xdr:rowOff>
        </xdr:from>
        <xdr:to>
          <xdr:col>12</xdr:col>
          <xdr:colOff>0</xdr:colOff>
          <xdr:row>15</xdr:row>
          <xdr:rowOff>190500</xdr:rowOff>
        </xdr:to>
        <xdr:sp macro="" textlink="">
          <xdr:nvSpPr>
            <xdr:cNvPr id="153603" name="Button 3" hidden="1">
              <a:extLst>
                <a:ext uri="{63B3BB69-23CF-44E3-9099-C40C66FF867C}">
                  <a14:compatExt spid="_x0000_s153603"/>
                </a:ext>
                <a:ext uri="{FF2B5EF4-FFF2-40B4-BE49-F238E27FC236}">
                  <a16:creationId xmlns:a16="http://schemas.microsoft.com/office/drawing/2014/main" id="{00000000-0008-0000-0300-000003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213360</xdr:rowOff>
        </xdr:from>
        <xdr:to>
          <xdr:col>12</xdr:col>
          <xdr:colOff>30480</xdr:colOff>
          <xdr:row>21</xdr:row>
          <xdr:rowOff>160020</xdr:rowOff>
        </xdr:to>
        <xdr:sp macro="" textlink="">
          <xdr:nvSpPr>
            <xdr:cNvPr id="153604" name="Button 4" hidden="1">
              <a:extLst>
                <a:ext uri="{63B3BB69-23CF-44E3-9099-C40C66FF867C}">
                  <a14:compatExt spid="_x0000_s153604"/>
                </a:ext>
                <a:ext uri="{FF2B5EF4-FFF2-40B4-BE49-F238E27FC236}">
                  <a16:creationId xmlns:a16="http://schemas.microsoft.com/office/drawing/2014/main" id="{00000000-0008-0000-0300-000004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31</xdr:row>
          <xdr:rowOff>152400</xdr:rowOff>
        </xdr:from>
        <xdr:to>
          <xdr:col>12</xdr:col>
          <xdr:colOff>7620</xdr:colOff>
          <xdr:row>33</xdr:row>
          <xdr:rowOff>152400</xdr:rowOff>
        </xdr:to>
        <xdr:sp macro="" textlink="">
          <xdr:nvSpPr>
            <xdr:cNvPr id="158721" name="Button 1" hidden="1">
              <a:extLst>
                <a:ext uri="{63B3BB69-23CF-44E3-9099-C40C66FF867C}">
                  <a14:compatExt spid="_x0000_s158721"/>
                </a:ext>
                <a:ext uri="{FF2B5EF4-FFF2-40B4-BE49-F238E27FC236}">
                  <a16:creationId xmlns:a16="http://schemas.microsoft.com/office/drawing/2014/main" id="{00000000-0008-0000-0400-000001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10</xdr:row>
          <xdr:rowOff>198120</xdr:rowOff>
        </xdr:from>
        <xdr:to>
          <xdr:col>12</xdr:col>
          <xdr:colOff>7620</xdr:colOff>
          <xdr:row>12</xdr:row>
          <xdr:rowOff>198120</xdr:rowOff>
        </xdr:to>
        <xdr:sp macro="" textlink="">
          <xdr:nvSpPr>
            <xdr:cNvPr id="158722" name="Button 2" hidden="1">
              <a:extLst>
                <a:ext uri="{63B3BB69-23CF-44E3-9099-C40C66FF867C}">
                  <a14:compatExt spid="_x0000_s158722"/>
                </a:ext>
                <a:ext uri="{FF2B5EF4-FFF2-40B4-BE49-F238E27FC236}">
                  <a16:creationId xmlns:a16="http://schemas.microsoft.com/office/drawing/2014/main" id="{00000000-0008-0000-0400-000002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205740</xdr:rowOff>
        </xdr:from>
        <xdr:to>
          <xdr:col>12</xdr:col>
          <xdr:colOff>0</xdr:colOff>
          <xdr:row>15</xdr:row>
          <xdr:rowOff>190500</xdr:rowOff>
        </xdr:to>
        <xdr:sp macro="" textlink="">
          <xdr:nvSpPr>
            <xdr:cNvPr id="158723" name="Button 3" hidden="1">
              <a:extLst>
                <a:ext uri="{63B3BB69-23CF-44E3-9099-C40C66FF867C}">
                  <a14:compatExt spid="_x0000_s158723"/>
                </a:ext>
                <a:ext uri="{FF2B5EF4-FFF2-40B4-BE49-F238E27FC236}">
                  <a16:creationId xmlns:a16="http://schemas.microsoft.com/office/drawing/2014/main" id="{00000000-0008-0000-0400-000003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213360</xdr:rowOff>
        </xdr:from>
        <xdr:to>
          <xdr:col>12</xdr:col>
          <xdr:colOff>30480</xdr:colOff>
          <xdr:row>21</xdr:row>
          <xdr:rowOff>160020</xdr:rowOff>
        </xdr:to>
        <xdr:sp macro="" textlink="">
          <xdr:nvSpPr>
            <xdr:cNvPr id="158724" name="Button 4" hidden="1">
              <a:extLst>
                <a:ext uri="{63B3BB69-23CF-44E3-9099-C40C66FF867C}">
                  <a14:compatExt spid="_x0000_s158724"/>
                </a:ext>
                <a:ext uri="{FF2B5EF4-FFF2-40B4-BE49-F238E27FC236}">
                  <a16:creationId xmlns:a16="http://schemas.microsoft.com/office/drawing/2014/main" id="{00000000-0008-0000-0400-000004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31</xdr:row>
          <xdr:rowOff>152400</xdr:rowOff>
        </xdr:from>
        <xdr:to>
          <xdr:col>12</xdr:col>
          <xdr:colOff>7620</xdr:colOff>
          <xdr:row>33</xdr:row>
          <xdr:rowOff>152400</xdr:rowOff>
        </xdr:to>
        <xdr:sp macro="" textlink="">
          <xdr:nvSpPr>
            <xdr:cNvPr id="159745" name="Button 1" hidden="1">
              <a:extLst>
                <a:ext uri="{63B3BB69-23CF-44E3-9099-C40C66FF867C}">
                  <a14:compatExt spid="_x0000_s159745"/>
                </a:ext>
                <a:ext uri="{FF2B5EF4-FFF2-40B4-BE49-F238E27FC236}">
                  <a16:creationId xmlns:a16="http://schemas.microsoft.com/office/drawing/2014/main" id="{00000000-0008-0000-0500-000001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10</xdr:row>
          <xdr:rowOff>198120</xdr:rowOff>
        </xdr:from>
        <xdr:to>
          <xdr:col>12</xdr:col>
          <xdr:colOff>7620</xdr:colOff>
          <xdr:row>12</xdr:row>
          <xdr:rowOff>198120</xdr:rowOff>
        </xdr:to>
        <xdr:sp macro="" textlink="">
          <xdr:nvSpPr>
            <xdr:cNvPr id="159746" name="Button 2" hidden="1">
              <a:extLst>
                <a:ext uri="{63B3BB69-23CF-44E3-9099-C40C66FF867C}">
                  <a14:compatExt spid="_x0000_s159746"/>
                </a:ext>
                <a:ext uri="{FF2B5EF4-FFF2-40B4-BE49-F238E27FC236}">
                  <a16:creationId xmlns:a16="http://schemas.microsoft.com/office/drawing/2014/main" id="{00000000-0008-0000-0500-000002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205740</xdr:rowOff>
        </xdr:from>
        <xdr:to>
          <xdr:col>12</xdr:col>
          <xdr:colOff>0</xdr:colOff>
          <xdr:row>15</xdr:row>
          <xdr:rowOff>190500</xdr:rowOff>
        </xdr:to>
        <xdr:sp macro="" textlink="">
          <xdr:nvSpPr>
            <xdr:cNvPr id="159747" name="Button 3" hidden="1">
              <a:extLst>
                <a:ext uri="{63B3BB69-23CF-44E3-9099-C40C66FF867C}">
                  <a14:compatExt spid="_x0000_s159747"/>
                </a:ext>
                <a:ext uri="{FF2B5EF4-FFF2-40B4-BE49-F238E27FC236}">
                  <a16:creationId xmlns:a16="http://schemas.microsoft.com/office/drawing/2014/main" id="{00000000-0008-0000-0500-000003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213360</xdr:rowOff>
        </xdr:from>
        <xdr:to>
          <xdr:col>12</xdr:col>
          <xdr:colOff>30480</xdr:colOff>
          <xdr:row>21</xdr:row>
          <xdr:rowOff>160020</xdr:rowOff>
        </xdr:to>
        <xdr:sp macro="" textlink="">
          <xdr:nvSpPr>
            <xdr:cNvPr id="159748" name="Button 4" hidden="1">
              <a:extLst>
                <a:ext uri="{63B3BB69-23CF-44E3-9099-C40C66FF867C}">
                  <a14:compatExt spid="_x0000_s159748"/>
                </a:ext>
                <a:ext uri="{FF2B5EF4-FFF2-40B4-BE49-F238E27FC236}">
                  <a16:creationId xmlns:a16="http://schemas.microsoft.com/office/drawing/2014/main" id="{00000000-0008-0000-0500-000004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31</xdr:row>
          <xdr:rowOff>152400</xdr:rowOff>
        </xdr:from>
        <xdr:to>
          <xdr:col>12</xdr:col>
          <xdr:colOff>7620</xdr:colOff>
          <xdr:row>33</xdr:row>
          <xdr:rowOff>152400</xdr:rowOff>
        </xdr:to>
        <xdr:sp macro="" textlink="">
          <xdr:nvSpPr>
            <xdr:cNvPr id="162817" name="Button 1" hidden="1">
              <a:extLst>
                <a:ext uri="{63B3BB69-23CF-44E3-9099-C40C66FF867C}">
                  <a14:compatExt spid="_x0000_s162817"/>
                </a:ext>
                <a:ext uri="{FF2B5EF4-FFF2-40B4-BE49-F238E27FC236}">
                  <a16:creationId xmlns:a16="http://schemas.microsoft.com/office/drawing/2014/main" id="{00000000-0008-0000-0600-000001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10</xdr:row>
          <xdr:rowOff>198120</xdr:rowOff>
        </xdr:from>
        <xdr:to>
          <xdr:col>12</xdr:col>
          <xdr:colOff>7620</xdr:colOff>
          <xdr:row>12</xdr:row>
          <xdr:rowOff>198120</xdr:rowOff>
        </xdr:to>
        <xdr:sp macro="" textlink="">
          <xdr:nvSpPr>
            <xdr:cNvPr id="162818" name="Button 2" hidden="1">
              <a:extLst>
                <a:ext uri="{63B3BB69-23CF-44E3-9099-C40C66FF867C}">
                  <a14:compatExt spid="_x0000_s162818"/>
                </a:ext>
                <a:ext uri="{FF2B5EF4-FFF2-40B4-BE49-F238E27FC236}">
                  <a16:creationId xmlns:a16="http://schemas.microsoft.com/office/drawing/2014/main" id="{00000000-0008-0000-0600-000002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205740</xdr:rowOff>
        </xdr:from>
        <xdr:to>
          <xdr:col>12</xdr:col>
          <xdr:colOff>0</xdr:colOff>
          <xdr:row>15</xdr:row>
          <xdr:rowOff>190500</xdr:rowOff>
        </xdr:to>
        <xdr:sp macro="" textlink="">
          <xdr:nvSpPr>
            <xdr:cNvPr id="162819" name="Button 3" hidden="1">
              <a:extLst>
                <a:ext uri="{63B3BB69-23CF-44E3-9099-C40C66FF867C}">
                  <a14:compatExt spid="_x0000_s162819"/>
                </a:ext>
                <a:ext uri="{FF2B5EF4-FFF2-40B4-BE49-F238E27FC236}">
                  <a16:creationId xmlns:a16="http://schemas.microsoft.com/office/drawing/2014/main" id="{00000000-0008-0000-0600-000003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213360</xdr:rowOff>
        </xdr:from>
        <xdr:to>
          <xdr:col>12</xdr:col>
          <xdr:colOff>30480</xdr:colOff>
          <xdr:row>21</xdr:row>
          <xdr:rowOff>160020</xdr:rowOff>
        </xdr:to>
        <xdr:sp macro="" textlink="">
          <xdr:nvSpPr>
            <xdr:cNvPr id="162820" name="Button 4" hidden="1">
              <a:extLst>
                <a:ext uri="{63B3BB69-23CF-44E3-9099-C40C66FF867C}">
                  <a14:compatExt spid="_x0000_s162820"/>
                </a:ext>
                <a:ext uri="{FF2B5EF4-FFF2-40B4-BE49-F238E27FC236}">
                  <a16:creationId xmlns:a16="http://schemas.microsoft.com/office/drawing/2014/main" id="{00000000-0008-0000-0600-000004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31</xdr:row>
          <xdr:rowOff>152400</xdr:rowOff>
        </xdr:from>
        <xdr:to>
          <xdr:col>12</xdr:col>
          <xdr:colOff>7620</xdr:colOff>
          <xdr:row>33</xdr:row>
          <xdr:rowOff>152400</xdr:rowOff>
        </xdr:to>
        <xdr:sp macro="" textlink="">
          <xdr:nvSpPr>
            <xdr:cNvPr id="60420" name="Button 4" hidden="1">
              <a:extLst>
                <a:ext uri="{63B3BB69-23CF-44E3-9099-C40C66FF867C}">
                  <a14:compatExt spid="_x0000_s60420"/>
                </a:ext>
                <a:ext uri="{FF2B5EF4-FFF2-40B4-BE49-F238E27FC236}">
                  <a16:creationId xmlns:a16="http://schemas.microsoft.com/office/drawing/2014/main" id="{00000000-0008-0000-0700-00000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10</xdr:row>
          <xdr:rowOff>198120</xdr:rowOff>
        </xdr:from>
        <xdr:to>
          <xdr:col>12</xdr:col>
          <xdr:colOff>7620</xdr:colOff>
          <xdr:row>12</xdr:row>
          <xdr:rowOff>198120</xdr:rowOff>
        </xdr:to>
        <xdr:sp macro="" textlink="">
          <xdr:nvSpPr>
            <xdr:cNvPr id="60421" name="Button 5" hidden="1">
              <a:extLst>
                <a:ext uri="{63B3BB69-23CF-44E3-9099-C40C66FF867C}">
                  <a14:compatExt spid="_x0000_s60421"/>
                </a:ext>
                <a:ext uri="{FF2B5EF4-FFF2-40B4-BE49-F238E27FC236}">
                  <a16:creationId xmlns:a16="http://schemas.microsoft.com/office/drawing/2014/main" id="{00000000-0008-0000-0700-00000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205740</xdr:rowOff>
        </xdr:from>
        <xdr:to>
          <xdr:col>12</xdr:col>
          <xdr:colOff>0</xdr:colOff>
          <xdr:row>15</xdr:row>
          <xdr:rowOff>190500</xdr:rowOff>
        </xdr:to>
        <xdr:sp macro="" textlink="">
          <xdr:nvSpPr>
            <xdr:cNvPr id="60422" name="Button 6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07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213360</xdr:rowOff>
        </xdr:from>
        <xdr:to>
          <xdr:col>12</xdr:col>
          <xdr:colOff>30480</xdr:colOff>
          <xdr:row>21</xdr:row>
          <xdr:rowOff>160020</xdr:rowOff>
        </xdr:to>
        <xdr:sp macro="" textlink="">
          <xdr:nvSpPr>
            <xdr:cNvPr id="60424" name="Button 8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07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E3155DF-3CB2-4063-8346-D3006162EB2E}" name="MenuTable" displayName="MenuTable" ref="A1:E7" totalsRowShown="0" headerRowDxfId="49" dataDxfId="47" headerRowBorderDxfId="48" tableBorderDxfId="46" totalsRowBorderDxfId="45" headerRowCellStyle="60% - Accent5">
  <autoFilter ref="A1:E7" xr:uid="{7E3155DF-3CB2-4063-8346-D3006162EB2E}"/>
  <sortState xmlns:xlrd2="http://schemas.microsoft.com/office/spreadsheetml/2017/richdata2" ref="A2:E7">
    <sortCondition ref="A1:A7"/>
  </sortState>
  <tableColumns count="5">
    <tableColumn id="1" xr3:uid="{4A3C96D4-74F9-46DA-B54B-0CD347E35136}" name="Surname" dataDxfId="44" dataCellStyle="Hyperlink"/>
    <tableColumn id="2" xr3:uid="{2B90B92F-5F96-4EDA-9BBB-0E797162ECC4}" name="First Name" dataDxfId="43" dataCellStyle="Hyperlink"/>
    <tableColumn id="8" xr3:uid="{CFE0A41F-FE26-4CF3-BAA8-F6CEC7B006D4}" name="Status" dataDxfId="42" dataCellStyle="Hyperlink"/>
    <tableColumn id="3" xr3:uid="{EBBDE5FC-4AD9-4996-A6CE-25D9B52D4D03}" name="Date" dataDxfId="41"/>
    <tableColumn id="4" xr3:uid="{854BBB0E-E50E-4F6C-90CC-6180E0CE5D32}" name="ID" dataDxfId="40"/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26.xml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F3530-B4A1-476B-B008-9B7C4EB64E1C}">
  <sheetPr codeName="Sheet2"/>
  <dimension ref="A1:E7"/>
  <sheetViews>
    <sheetView tabSelected="1" workbookViewId="0">
      <selection activeCell="D16" sqref="D16"/>
    </sheetView>
  </sheetViews>
  <sheetFormatPr defaultRowHeight="14.4" x14ac:dyDescent="0.3"/>
  <cols>
    <col min="1" max="1" width="16.88671875" customWidth="1"/>
    <col min="2" max="2" width="21.33203125" customWidth="1"/>
    <col min="3" max="3" width="20.21875" customWidth="1"/>
    <col min="4" max="4" width="25.6640625" customWidth="1"/>
    <col min="5" max="5" width="16.6640625" customWidth="1"/>
  </cols>
  <sheetData>
    <row r="1" spans="1:5" ht="43.8" customHeight="1" x14ac:dyDescent="0.3">
      <c r="A1" s="7" t="s">
        <v>0</v>
      </c>
      <c r="B1" s="6" t="s">
        <v>2</v>
      </c>
      <c r="C1" s="29" t="s">
        <v>36</v>
      </c>
      <c r="D1" s="6" t="s">
        <v>40</v>
      </c>
      <c r="E1" s="13" t="s">
        <v>41</v>
      </c>
    </row>
    <row r="2" spans="1:5" ht="15" x14ac:dyDescent="0.3">
      <c r="A2" s="32" t="s">
        <v>87</v>
      </c>
      <c r="B2" s="30" t="s">
        <v>88</v>
      </c>
      <c r="C2" s="31" t="s">
        <v>47</v>
      </c>
      <c r="D2" s="33">
        <v>45263.695231481484</v>
      </c>
      <c r="E2" s="34" t="s">
        <v>89</v>
      </c>
    </row>
    <row r="3" spans="1:5" ht="15" x14ac:dyDescent="0.3">
      <c r="A3" s="32" t="s">
        <v>87</v>
      </c>
      <c r="B3" s="30" t="s">
        <v>103</v>
      </c>
      <c r="C3" s="31" t="s">
        <v>47</v>
      </c>
      <c r="D3" s="33">
        <v>45263.695451388892</v>
      </c>
      <c r="E3" s="34" t="s">
        <v>104</v>
      </c>
    </row>
    <row r="4" spans="1:5" ht="15" x14ac:dyDescent="0.3">
      <c r="A4" s="32" t="s">
        <v>62</v>
      </c>
      <c r="B4" s="30" t="s">
        <v>70</v>
      </c>
      <c r="C4" s="31" t="s">
        <v>47</v>
      </c>
      <c r="D4" s="33">
        <v>45201.988206018519</v>
      </c>
      <c r="E4" s="34" t="s">
        <v>71</v>
      </c>
    </row>
    <row r="5" spans="1:5" ht="15" x14ac:dyDescent="0.3">
      <c r="A5" s="32" t="s">
        <v>123</v>
      </c>
      <c r="B5" s="30" t="s">
        <v>124</v>
      </c>
      <c r="C5" s="31" t="s">
        <v>47</v>
      </c>
      <c r="D5" s="33">
        <v>45263.701226851852</v>
      </c>
      <c r="E5" s="34" t="s">
        <v>125</v>
      </c>
    </row>
    <row r="6" spans="1:5" ht="15" x14ac:dyDescent="0.3">
      <c r="A6" s="32"/>
      <c r="B6" s="30"/>
      <c r="C6" s="31"/>
      <c r="D6" s="33"/>
      <c r="E6" s="34"/>
    </row>
    <row r="7" spans="1:5" ht="15" x14ac:dyDescent="0.3">
      <c r="A7" s="32"/>
      <c r="B7" s="30"/>
      <c r="C7" s="31"/>
      <c r="D7" s="33"/>
      <c r="E7" s="34"/>
    </row>
  </sheetData>
  <conditionalFormatting sqref="C2:C7">
    <cfRule type="containsText" dxfId="55" priority="1" operator="containsText" text="UNP">
      <formula>NOT(ISERROR(SEARCH("UNP",C2)))</formula>
    </cfRule>
    <cfRule type="containsText" dxfId="54" priority="2" operator="containsText" text="Pick Up">
      <formula>NOT(ISERROR(SEARCH("Pick Up",C2)))</formula>
    </cfRule>
    <cfRule type="cellIs" dxfId="53" priority="7" operator="equal">
      <formula>"Ready To Order"</formula>
    </cfRule>
    <cfRule type="containsText" dxfId="52" priority="8" operator="containsText" text="Ordered">
      <formula>NOT(ISERROR(SEARCH("Ordered",C2)))</formula>
    </cfRule>
    <cfRule type="containsText" dxfId="51" priority="9" operator="containsText" text="Complete">
      <formula>NOT(ISERROR(SEARCH("Complete",C2)))</formula>
    </cfRule>
    <cfRule type="cellIs" dxfId="50" priority="10" operator="equal">
      <formula>"Returned"</formula>
    </cfRule>
  </conditionalFormatting>
  <hyperlinks>
    <hyperlink ref="A4" location="'Henry_Smith_AB6D98A0'!A1" display="Smith" xr:uid="{F0491C2D-9026-45AA-BDE6-9C7BDC7799B0}"/>
    <hyperlink ref="A2" location="'Alice_Robinson_AB7A73BD'!A1" display="Robinson" xr:uid="{1BF412B7-D95B-4B05-BB50-2AF2D53F7E87}"/>
    <hyperlink ref="A3" location="'Liam_Robinson_FD0E829E'!A1" display="Robinson" xr:uid="{59E2DE7E-42B1-4A2F-8807-32153C3DB157}"/>
    <hyperlink ref="A5" location="'Taylor_White_0556E08D'!A1" display="White" xr:uid="{8036E8A5-CB76-4F77-9574-3F69FE4BE62B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60" r:id="rId3" name="Button 4">
              <controlPr defaultSize="0" print="0" autoFill="0" autoPict="0" macro="[0]!ScanAllSheetsAndPrioritizeLabels">
                <anchor moveWithCells="1" sizeWithCells="1">
                  <from>
                    <xdr:col>5</xdr:col>
                    <xdr:colOff>304800</xdr:colOff>
                    <xdr:row>0</xdr:row>
                    <xdr:rowOff>0</xdr:rowOff>
                  </from>
                  <to>
                    <xdr:col>7</xdr:col>
                    <xdr:colOff>487680</xdr:colOff>
                    <xdr:row>0</xdr:row>
                    <xdr:rowOff>480060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1" r:id="rId4" name="Button 5">
              <controlPr defaultSize="0" print="0" autoFill="0" autoPict="0" macro="[0]!ManualBackup">
                <anchor moveWithCells="1" sizeWithCells="1">
                  <from>
                    <xdr:col>10</xdr:col>
                    <xdr:colOff>350520</xdr:colOff>
                    <xdr:row>0</xdr:row>
                    <xdr:rowOff>0</xdr:rowOff>
                  </from>
                  <to>
                    <xdr:col>12</xdr:col>
                    <xdr:colOff>525780</xdr:colOff>
                    <xdr:row>0</xdr:row>
                    <xdr:rowOff>472440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r:id="rId5" name="Button 6">
              <controlPr defaultSize="0" print="0" autoFill="0" autoPict="0" macro="[0]!NCInput_Button">
                <anchor moveWithCells="1" sizeWithCells="1">
                  <from>
                    <xdr:col>7</xdr:col>
                    <xdr:colOff>609600</xdr:colOff>
                    <xdr:row>0</xdr:row>
                    <xdr:rowOff>0</xdr:rowOff>
                  </from>
                  <to>
                    <xdr:col>10</xdr:col>
                    <xdr:colOff>175260</xdr:colOff>
                    <xdr:row>0</xdr:row>
                    <xdr:rowOff>480060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3" r:id="rId6" name="Button 7">
              <controlPr defaultSize="0" print="0" autoFill="0" autoPict="0" macro="[0]!NC_Experiment">
                <anchor moveWithCells="1" sizeWithCells="1">
                  <from>
                    <xdr:col>13</xdr:col>
                    <xdr:colOff>83820</xdr:colOff>
                    <xdr:row>0</xdr:row>
                    <xdr:rowOff>0</xdr:rowOff>
                  </from>
                  <to>
                    <xdr:col>15</xdr:col>
                    <xdr:colOff>259080</xdr:colOff>
                    <xdr:row>0</xdr:row>
                    <xdr:rowOff>480060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60BFF2-89D4-4B39-8B77-7D0F1E2AF126}">
  <sheetPr codeName="Sheet3"/>
  <dimension ref="A1:M1"/>
  <sheetViews>
    <sheetView workbookViewId="0">
      <selection activeCell="H44" sqref="H44"/>
    </sheetView>
  </sheetViews>
  <sheetFormatPr defaultRowHeight="14.4" x14ac:dyDescent="0.3"/>
  <sheetData>
    <row r="1" spans="1:13" ht="37.950000000000003" customHeight="1" x14ac:dyDescent="0.3">
      <c r="A1" s="35">
        <v>111</v>
      </c>
      <c r="B1" s="35" t="s">
        <v>63</v>
      </c>
      <c r="C1" s="35" t="s">
        <v>2</v>
      </c>
      <c r="D1" s="35" t="s">
        <v>64</v>
      </c>
      <c r="E1" s="35" t="s">
        <v>9</v>
      </c>
      <c r="F1" s="35" t="s">
        <v>11</v>
      </c>
      <c r="G1" s="35" t="s">
        <v>12</v>
      </c>
      <c r="H1" s="35" t="s">
        <v>13</v>
      </c>
      <c r="I1" s="35" t="s">
        <v>65</v>
      </c>
      <c r="J1" s="35" t="s">
        <v>15</v>
      </c>
      <c r="K1" s="35" t="s">
        <v>66</v>
      </c>
      <c r="L1" s="35" t="s">
        <v>67</v>
      </c>
      <c r="M1" s="35" t="s">
        <v>86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73" r:id="rId3" name="Button 1">
              <controlPr defaultSize="0" print="0" autoFill="0" autoPict="0" macro="[0]!Importing.Importing">
                <anchor moveWithCells="1" sizeWithCells="1">
                  <from>
                    <xdr:col>13</xdr:col>
                    <xdr:colOff>396240</xdr:colOff>
                    <xdr:row>0</xdr:row>
                    <xdr:rowOff>129540</xdr:rowOff>
                  </from>
                  <to>
                    <xdr:col>16</xdr:col>
                    <xdr:colOff>342900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0140C-40F8-4668-B479-DCBAA4954D0E}">
  <sheetPr codeName="Sheet12"/>
  <dimension ref="B1:V1"/>
  <sheetViews>
    <sheetView workbookViewId="0">
      <selection activeCell="L24" sqref="L24"/>
    </sheetView>
  </sheetViews>
  <sheetFormatPr defaultRowHeight="14.4" x14ac:dyDescent="0.3"/>
  <cols>
    <col min="1" max="1" width="30.6640625" customWidth="1"/>
    <col min="3" max="3" width="10.88671875" customWidth="1"/>
    <col min="4" max="4" width="12.21875" customWidth="1"/>
    <col min="5" max="5" width="13.88671875" customWidth="1"/>
    <col min="7" max="7" width="12.44140625" customWidth="1"/>
    <col min="10" max="10" width="12" customWidth="1"/>
    <col min="14" max="14" width="11.77734375" customWidth="1"/>
    <col min="15" max="15" width="14.109375" customWidth="1"/>
  </cols>
  <sheetData>
    <row r="1" spans="2:22" ht="30.15" customHeight="1" x14ac:dyDescent="0.3">
      <c r="B1" s="4" t="s">
        <v>18</v>
      </c>
      <c r="C1" s="1" t="s">
        <v>21</v>
      </c>
      <c r="D1" s="4" t="s">
        <v>19</v>
      </c>
      <c r="E1" s="1" t="s">
        <v>20</v>
      </c>
      <c r="F1" s="4" t="s">
        <v>24</v>
      </c>
      <c r="G1" s="1" t="s">
        <v>23</v>
      </c>
      <c r="H1" s="4" t="s">
        <v>25</v>
      </c>
      <c r="I1" s="1" t="s">
        <v>26</v>
      </c>
      <c r="J1" s="4" t="s">
        <v>27</v>
      </c>
      <c r="K1" s="2"/>
      <c r="L1" s="4" t="s">
        <v>28</v>
      </c>
      <c r="M1" s="1" t="s">
        <v>22</v>
      </c>
      <c r="N1" s="4" t="s">
        <v>29</v>
      </c>
      <c r="O1" s="1" t="s">
        <v>30</v>
      </c>
      <c r="P1" s="10"/>
      <c r="Q1" s="1" t="s">
        <v>33</v>
      </c>
      <c r="R1" s="4" t="s">
        <v>31</v>
      </c>
      <c r="S1" s="1" t="s">
        <v>50</v>
      </c>
      <c r="T1" s="4" t="s">
        <v>32</v>
      </c>
      <c r="U1" s="1"/>
      <c r="V1" s="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41" r:id="rId3" name="Button 1">
              <controlPr defaultSize="0" print="0" autoFill="0" autoPict="0" macro="[0]!pickup">
                <anchor moveWithCells="1" sizeWithCells="1">
                  <from>
                    <xdr:col>22</xdr:col>
                    <xdr:colOff>30480</xdr:colOff>
                    <xdr:row>0</xdr:row>
                    <xdr:rowOff>53340</xdr:rowOff>
                  </from>
                  <to>
                    <xdr:col>25</xdr:col>
                    <xdr:colOff>190500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D00C4-525A-4B6F-B684-05266ED0D55D}">
  <sheetPr codeName="Sheet51"/>
  <dimension ref="A1:O34"/>
  <sheetViews>
    <sheetView workbookViewId="0">
      <selection activeCell="E2" sqref="E2:F2"/>
    </sheetView>
  </sheetViews>
  <sheetFormatPr defaultRowHeight="14.4" x14ac:dyDescent="0.3"/>
  <cols>
    <col min="1" max="1" width="18.664062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5" x14ac:dyDescent="0.3">
      <c r="A1" s="37" t="s">
        <v>42</v>
      </c>
      <c r="B1" s="20" t="s">
        <v>3</v>
      </c>
      <c r="C1" s="39" t="s">
        <v>0</v>
      </c>
      <c r="D1" s="39"/>
      <c r="E1" s="39" t="s">
        <v>2</v>
      </c>
      <c r="F1" s="39"/>
      <c r="G1" s="20" t="s">
        <v>34</v>
      </c>
      <c r="K1" s="20" t="s">
        <v>38</v>
      </c>
      <c r="L1" s="20" t="s">
        <v>10</v>
      </c>
      <c r="N1">
        <v>222221</v>
      </c>
    </row>
    <row r="2" spans="1:15" x14ac:dyDescent="0.3">
      <c r="A2" s="38"/>
      <c r="B2" s="2" t="s">
        <v>43</v>
      </c>
      <c r="C2" s="40" t="s">
        <v>62</v>
      </c>
      <c r="D2" s="40"/>
      <c r="E2" s="40" t="s">
        <v>70</v>
      </c>
      <c r="F2" s="40"/>
      <c r="G2" s="1" t="s">
        <v>71</v>
      </c>
      <c r="K2" s="4" t="s">
        <v>9</v>
      </c>
      <c r="L2" s="4">
        <v>19.3</v>
      </c>
      <c r="O2">
        <v>222</v>
      </c>
    </row>
    <row r="3" spans="1:15" x14ac:dyDescent="0.3">
      <c r="A3" s="20" t="s">
        <v>1</v>
      </c>
      <c r="B3" s="41" t="s">
        <v>4</v>
      </c>
      <c r="C3" s="42"/>
      <c r="D3" s="43"/>
      <c r="E3" s="41" t="s">
        <v>51</v>
      </c>
      <c r="F3" s="43"/>
      <c r="G3" s="20" t="s">
        <v>5</v>
      </c>
      <c r="K3" s="1" t="s">
        <v>11</v>
      </c>
      <c r="L3" s="1">
        <v>13.3</v>
      </c>
    </row>
    <row r="4" spans="1:15" x14ac:dyDescent="0.3">
      <c r="A4" s="1" t="s">
        <v>39</v>
      </c>
      <c r="B4" s="44">
        <v>3727638738</v>
      </c>
      <c r="C4" s="44"/>
      <c r="D4" s="44"/>
      <c r="E4" s="40" t="s">
        <v>58</v>
      </c>
      <c r="F4" s="40"/>
      <c r="G4" s="1" t="s">
        <v>44</v>
      </c>
      <c r="K4" s="4" t="s">
        <v>12</v>
      </c>
      <c r="L4" s="4">
        <v>61.4</v>
      </c>
    </row>
    <row r="5" spans="1:15" x14ac:dyDescent="0.3">
      <c r="A5" s="20" t="s">
        <v>6</v>
      </c>
      <c r="B5" s="39" t="s">
        <v>7</v>
      </c>
      <c r="C5" s="39"/>
      <c r="D5" s="39"/>
      <c r="E5" s="20" t="s">
        <v>8</v>
      </c>
      <c r="F5" s="20" t="s">
        <v>35</v>
      </c>
      <c r="G5" s="20" t="s">
        <v>36</v>
      </c>
      <c r="K5" s="1" t="s">
        <v>13</v>
      </c>
      <c r="L5" s="1">
        <v>48.3</v>
      </c>
    </row>
    <row r="6" spans="1:15" x14ac:dyDescent="0.3">
      <c r="A6" s="3" t="s">
        <v>72</v>
      </c>
      <c r="B6" s="36" t="s">
        <v>18</v>
      </c>
      <c r="C6" s="36"/>
      <c r="D6" s="36"/>
      <c r="E6" s="4">
        <v>8060</v>
      </c>
      <c r="F6" s="4">
        <v>1</v>
      </c>
      <c r="G6" s="25" t="s">
        <v>47</v>
      </c>
      <c r="H6" s="28" t="str">
        <f>HYPERLINK("#G6",CHAR(128))</f>
        <v>€</v>
      </c>
      <c r="K6" s="4" t="s">
        <v>14</v>
      </c>
      <c r="L6" s="4">
        <v>63.7</v>
      </c>
    </row>
    <row r="7" spans="1:15" x14ac:dyDescent="0.3">
      <c r="A7" s="2" t="s">
        <v>73</v>
      </c>
      <c r="B7" s="40" t="s">
        <v>21</v>
      </c>
      <c r="C7" s="40"/>
      <c r="D7" s="40"/>
      <c r="E7" s="1">
        <v>20</v>
      </c>
      <c r="F7" s="16">
        <v>1</v>
      </c>
      <c r="G7" s="4" t="s">
        <v>47</v>
      </c>
      <c r="H7" s="28" t="str">
        <f>HYPERLINK("#G7",CHAR(128))</f>
        <v>€</v>
      </c>
      <c r="K7" s="1" t="s">
        <v>15</v>
      </c>
      <c r="L7" s="1">
        <v>70.2</v>
      </c>
    </row>
    <row r="8" spans="1:15" x14ac:dyDescent="0.3">
      <c r="A8" s="3" t="s">
        <v>80</v>
      </c>
      <c r="B8" s="36" t="s">
        <v>19</v>
      </c>
      <c r="C8" s="36"/>
      <c r="D8" s="36"/>
      <c r="E8" s="4" t="s">
        <v>45</v>
      </c>
      <c r="F8" s="4">
        <v>1</v>
      </c>
      <c r="G8" s="4" t="s">
        <v>47</v>
      </c>
      <c r="H8" s="28" t="str">
        <f>HYPERLINK("#G8",CHAR(128))</f>
        <v>€</v>
      </c>
      <c r="K8" s="4" t="s">
        <v>16</v>
      </c>
      <c r="L8" s="4">
        <v>276.89999999999998</v>
      </c>
    </row>
    <row r="9" spans="1:15" x14ac:dyDescent="0.3">
      <c r="A9" s="2" t="s">
        <v>74</v>
      </c>
      <c r="B9" s="40" t="s">
        <v>20</v>
      </c>
      <c r="C9" s="40"/>
      <c r="D9" s="40"/>
      <c r="E9" s="1">
        <v>7658</v>
      </c>
      <c r="F9" s="16">
        <v>1</v>
      </c>
      <c r="G9" s="4" t="s">
        <v>47</v>
      </c>
      <c r="H9" s="28" t="str">
        <f>HYPERLINK("#G9",CHAR(128))</f>
        <v>€</v>
      </c>
      <c r="I9" s="11"/>
      <c r="K9" s="1" t="s">
        <v>17</v>
      </c>
      <c r="L9" s="1">
        <v>124.3</v>
      </c>
    </row>
    <row r="10" spans="1:15" x14ac:dyDescent="0.3">
      <c r="A10" s="3" t="s">
        <v>60</v>
      </c>
      <c r="B10" s="36" t="s">
        <v>24</v>
      </c>
      <c r="C10" s="36"/>
      <c r="D10" s="36"/>
      <c r="E10" s="8">
        <v>6.375</v>
      </c>
      <c r="F10" s="4">
        <v>1</v>
      </c>
      <c r="G10" s="4" t="s">
        <v>47</v>
      </c>
      <c r="H10" s="28" t="str">
        <f>HYPERLINK("#G10",CHAR(128))</f>
        <v>€</v>
      </c>
      <c r="K10" s="15" t="s">
        <v>49</v>
      </c>
      <c r="L10" s="15">
        <v>9.9</v>
      </c>
    </row>
    <row r="11" spans="1:15" x14ac:dyDescent="0.3">
      <c r="A11" s="2" t="s">
        <v>57</v>
      </c>
      <c r="B11" s="40" t="s">
        <v>23</v>
      </c>
      <c r="C11" s="40"/>
      <c r="D11" s="40"/>
      <c r="E11" s="1" t="s">
        <v>56</v>
      </c>
      <c r="F11" s="16">
        <v>1</v>
      </c>
      <c r="G11" s="4" t="s">
        <v>47</v>
      </c>
      <c r="H11" s="28" t="str">
        <f>HYPERLINK("#G11",CHAR(128))</f>
        <v>€</v>
      </c>
    </row>
    <row r="12" spans="1:15" x14ac:dyDescent="0.3">
      <c r="A12" s="5" t="s">
        <v>69</v>
      </c>
      <c r="B12" s="36" t="s">
        <v>25</v>
      </c>
      <c r="C12" s="36"/>
      <c r="D12" s="36"/>
      <c r="E12" s="4" t="s">
        <v>68</v>
      </c>
      <c r="F12" s="4">
        <v>1</v>
      </c>
      <c r="G12" s="4" t="s">
        <v>47</v>
      </c>
      <c r="H12" s="28" t="str">
        <f>HYPERLINK("#G12",CHAR(128))</f>
        <v>€</v>
      </c>
    </row>
    <row r="13" spans="1:15" x14ac:dyDescent="0.3">
      <c r="A13" s="2" t="s">
        <v>55</v>
      </c>
      <c r="B13" s="40" t="s">
        <v>26</v>
      </c>
      <c r="C13" s="40"/>
      <c r="D13" s="40"/>
      <c r="E13" s="1" t="s">
        <v>46</v>
      </c>
      <c r="F13" s="16">
        <v>1</v>
      </c>
      <c r="G13" s="4" t="s">
        <v>47</v>
      </c>
      <c r="H13" s="28" t="str">
        <f>HYPERLINK("#G13",CHAR(128))</f>
        <v>€</v>
      </c>
    </row>
    <row r="14" spans="1:15" x14ac:dyDescent="0.3">
      <c r="A14" s="5" t="s">
        <v>59</v>
      </c>
      <c r="B14" s="36" t="s">
        <v>27</v>
      </c>
      <c r="C14" s="36"/>
      <c r="D14" s="36"/>
      <c r="E14" s="4" t="s">
        <v>53</v>
      </c>
      <c r="F14" s="4">
        <v>1</v>
      </c>
      <c r="G14" s="4" t="s">
        <v>47</v>
      </c>
      <c r="H14" s="28" t="str">
        <f>HYPERLINK("#G14",CHAR(128))</f>
        <v>€</v>
      </c>
    </row>
    <row r="15" spans="1:15" x14ac:dyDescent="0.3">
      <c r="A15" s="2"/>
      <c r="B15" s="48"/>
      <c r="C15" s="48"/>
      <c r="D15" s="48"/>
      <c r="E15" s="1"/>
      <c r="F15" s="16"/>
      <c r="G15" s="4"/>
      <c r="H15" s="14"/>
    </row>
    <row r="16" spans="1:15" x14ac:dyDescent="0.3">
      <c r="A16" s="5" t="s">
        <v>48</v>
      </c>
      <c r="B16" s="36" t="s">
        <v>28</v>
      </c>
      <c r="C16" s="36"/>
      <c r="D16" s="36"/>
      <c r="E16" s="4" t="s">
        <v>54</v>
      </c>
      <c r="F16" s="4">
        <v>1</v>
      </c>
      <c r="G16" s="4" t="s">
        <v>47</v>
      </c>
      <c r="H16" s="23" t="str">
        <f>HYPERLINK("#G16",CHAR(128))</f>
        <v>€</v>
      </c>
    </row>
    <row r="17" spans="1:10" x14ac:dyDescent="0.3">
      <c r="A17" s="2" t="s">
        <v>61</v>
      </c>
      <c r="B17" s="40" t="s">
        <v>22</v>
      </c>
      <c r="C17" s="40"/>
      <c r="D17" s="40"/>
      <c r="E17" s="1" t="s">
        <v>45</v>
      </c>
      <c r="F17" s="16">
        <v>1</v>
      </c>
      <c r="G17" s="4" t="s">
        <v>47</v>
      </c>
      <c r="H17" s="23" t="str">
        <f>HYPERLINK("#G17",CHAR(128))</f>
        <v>€</v>
      </c>
    </row>
    <row r="18" spans="1:10" x14ac:dyDescent="0.3">
      <c r="A18" s="5" t="s">
        <v>79</v>
      </c>
      <c r="B18" s="36" t="s">
        <v>29</v>
      </c>
      <c r="C18" s="36"/>
      <c r="D18" s="36"/>
      <c r="E18" s="4">
        <v>6432</v>
      </c>
      <c r="F18" s="4">
        <v>1</v>
      </c>
      <c r="G18" s="4" t="s">
        <v>47</v>
      </c>
      <c r="H18" s="23" t="str">
        <f>HYPERLINK("#G18",CHAR(128))</f>
        <v>€</v>
      </c>
    </row>
    <row r="19" spans="1:10" x14ac:dyDescent="0.3">
      <c r="A19" s="2" t="s">
        <v>76</v>
      </c>
      <c r="B19" s="40" t="s">
        <v>30</v>
      </c>
      <c r="C19" s="40"/>
      <c r="D19" s="40"/>
      <c r="E19" s="1" t="s">
        <v>75</v>
      </c>
      <c r="F19" s="16">
        <v>1</v>
      </c>
      <c r="G19" s="4" t="s">
        <v>47</v>
      </c>
      <c r="H19" s="23" t="str">
        <f>HYPERLINK("#G19",CHAR(128))</f>
        <v>€</v>
      </c>
    </row>
    <row r="20" spans="1:10" x14ac:dyDescent="0.3">
      <c r="A20" s="5"/>
      <c r="B20" s="45"/>
      <c r="C20" s="46"/>
      <c r="D20" s="47"/>
      <c r="E20" s="4"/>
      <c r="F20" s="4"/>
      <c r="G20" s="4"/>
      <c r="H20" s="14"/>
    </row>
    <row r="21" spans="1:10" x14ac:dyDescent="0.3">
      <c r="A21" s="2" t="s">
        <v>77</v>
      </c>
      <c r="B21" s="40" t="s">
        <v>33</v>
      </c>
      <c r="C21" s="40"/>
      <c r="D21" s="40"/>
      <c r="E21" s="9">
        <v>6.125</v>
      </c>
      <c r="F21" s="16">
        <v>1</v>
      </c>
      <c r="G21" s="4" t="s">
        <v>47</v>
      </c>
      <c r="H21" s="23" t="str">
        <f>HYPERLINK("#G21",CHAR(128))</f>
        <v>€</v>
      </c>
    </row>
    <row r="22" spans="1:10" x14ac:dyDescent="0.3">
      <c r="A22" s="5" t="s">
        <v>78</v>
      </c>
      <c r="B22" s="36" t="s">
        <v>31</v>
      </c>
      <c r="C22" s="36"/>
      <c r="D22" s="36"/>
      <c r="E22" s="4">
        <v>7036</v>
      </c>
      <c r="F22" s="4">
        <v>1</v>
      </c>
      <c r="G22" s="4" t="s">
        <v>47</v>
      </c>
      <c r="H22" s="23" t="str">
        <f>HYPERLINK("#G22",CHAR(128))</f>
        <v>€</v>
      </c>
    </row>
    <row r="23" spans="1:10" x14ac:dyDescent="0.3">
      <c r="A23" s="2" t="s">
        <v>83</v>
      </c>
      <c r="B23" s="40" t="s">
        <v>50</v>
      </c>
      <c r="C23" s="40"/>
      <c r="D23" s="40"/>
      <c r="E23" s="1">
        <v>6426</v>
      </c>
      <c r="F23" s="16">
        <v>1</v>
      </c>
      <c r="G23" s="4" t="s">
        <v>47</v>
      </c>
      <c r="H23" s="22" t="str">
        <f>HYPERLINK("#G23",CHAR(128))</f>
        <v>€</v>
      </c>
    </row>
    <row r="24" spans="1:10" x14ac:dyDescent="0.3">
      <c r="A24" s="5" t="s">
        <v>85</v>
      </c>
      <c r="B24" s="36" t="s">
        <v>32</v>
      </c>
      <c r="C24" s="36"/>
      <c r="D24" s="36"/>
      <c r="E24" s="4" t="s">
        <v>84</v>
      </c>
      <c r="F24" s="4">
        <v>1</v>
      </c>
      <c r="G24" s="4" t="s">
        <v>47</v>
      </c>
      <c r="H24" s="22" t="str">
        <f>HYPERLINK("#G24",CHAR(128))</f>
        <v>€</v>
      </c>
    </row>
    <row r="25" spans="1:10" x14ac:dyDescent="0.3">
      <c r="A25" s="2"/>
      <c r="B25" s="40"/>
      <c r="C25" s="40"/>
      <c r="D25" s="40"/>
      <c r="E25" s="1"/>
      <c r="F25" s="16"/>
      <c r="G25" s="4"/>
      <c r="H25" s="14"/>
      <c r="I25" s="12"/>
    </row>
    <row r="26" spans="1:10" x14ac:dyDescent="0.3">
      <c r="A26" s="5"/>
      <c r="B26" s="36" t="s">
        <v>37</v>
      </c>
      <c r="C26" s="36"/>
      <c r="D26" s="36"/>
      <c r="E26" s="4" t="str">
        <f>C2</f>
        <v>Smith</v>
      </c>
      <c r="F26" s="4">
        <v>1</v>
      </c>
      <c r="G26" s="4" t="s">
        <v>47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39" t="s">
        <v>52</v>
      </c>
      <c r="C29" s="39"/>
      <c r="D29" s="39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36"/>
      <c r="C30" s="36"/>
      <c r="D30" s="36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40"/>
      <c r="C31" s="40"/>
      <c r="D31" s="40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36"/>
      <c r="C32" s="36"/>
      <c r="D32" s="36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40"/>
      <c r="C33" s="40"/>
      <c r="D33" s="40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36"/>
      <c r="C34" s="36"/>
      <c r="D34" s="36"/>
      <c r="E34" s="4"/>
      <c r="F34" s="4">
        <v>1</v>
      </c>
      <c r="G34" s="27"/>
      <c r="H34" s="19" t="str">
        <f>HYPERLINK("#G34",CHAR(128))</f>
        <v>€</v>
      </c>
    </row>
  </sheetData>
  <mergeCells count="37"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</mergeCells>
  <conditionalFormatting sqref="G6:G26">
    <cfRule type="cellIs" dxfId="39" priority="1" operator="equal">
      <formula>"Returned"</formula>
    </cfRule>
    <cfRule type="cellIs" dxfId="38" priority="4" operator="equal">
      <formula>"Ready To Order"</formula>
    </cfRule>
    <cfRule type="containsText" dxfId="37" priority="5" operator="containsText" text="UNP">
      <formula>NOT(ISERROR(SEARCH("UNP",G6)))</formula>
    </cfRule>
    <cfRule type="containsText" dxfId="36" priority="6" operator="containsText" text="Ordered">
      <formula>NOT(ISERROR(SEARCH("Ordered",G6)))</formula>
    </cfRule>
    <cfRule type="containsText" dxfId="35" priority="7" operator="containsText" text="Pick Up">
      <formula>NOT(ISERROR(SEARCH("Pick Up",G6)))</formula>
    </cfRule>
    <cfRule type="containsText" dxfId="34" priority="8" operator="containsText" text="Complete">
      <formula>NOT(ISERROR(SEARCH("Complete",G6)))</formula>
    </cfRule>
  </conditionalFormatting>
  <conditionalFormatting sqref="G30:G33">
    <cfRule type="containsText" dxfId="33" priority="3" operator="containsText" text="Given">
      <formula>NOT(ISERROR(SEARCH("Given",G30)))</formula>
    </cfRule>
  </conditionalFormatting>
  <conditionalFormatting sqref="G30:G34">
    <cfRule type="containsText" dxfId="32" priority="2" operator="containsText" text="Returned">
      <formula>NOT(ISERROR(SEARCH("Returned",G30)))</formula>
    </cfRule>
  </conditionalFormatting>
  <dataValidations disablePrompts="1" count="3">
    <dataValidation type="list" allowBlank="1" showInputMessage="1" showErrorMessage="1" sqref="G30:G34" xr:uid="{4B6FA9E9-34ED-4E45-9C0B-1D950C934FDF}">
      <formula1>"--,Returned, Given"</formula1>
    </dataValidation>
    <dataValidation type="list" allowBlank="1" showInputMessage="1" showErrorMessage="1" sqref="G6:G26" xr:uid="{4C57E8C5-5091-4E9B-BBDB-64168138A210}">
      <formula1>"UNP, Ready To Order, Ordered, Pick Up, Complete, Returned"</formula1>
    </dataValidation>
    <dataValidation type="decimal" allowBlank="1" showInputMessage="1" showErrorMessage="1" sqref="L2" xr:uid="{76E50FD3-5B9F-4F7F-8EC6-1FE1028305C3}">
      <formula1>19</formula1>
      <formula2>26</formula2>
    </dataValidation>
  </dataValidations>
  <hyperlinks>
    <hyperlink ref="A1:A2" location="Menu!A1" display="Back to Menu" xr:uid="{B65373D3-2D5B-4903-816D-C82730D88727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01" r:id="rId3" name="Button 1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31</xdr:row>
                    <xdr:rowOff>152400</xdr:rowOff>
                  </from>
                  <to>
                    <xdr:col>12</xdr:col>
                    <xdr:colOff>7620</xdr:colOff>
                    <xdr:row>33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02" r:id="rId4" name="Button 2">
              <controlPr defaultSize="0" print="0" autoFill="0" autoPict="0" macro="[0]!Resize">
                <anchor moveWithCells="1" sizeWithCells="1">
                  <from>
                    <xdr:col>10</xdr:col>
                    <xdr:colOff>7620</xdr:colOff>
                    <xdr:row>10</xdr:row>
                    <xdr:rowOff>198120</xdr:rowOff>
                  </from>
                  <to>
                    <xdr:col>12</xdr:col>
                    <xdr:colOff>7620</xdr:colOff>
                    <xdr:row>12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03" r:id="rId5" name="Button 3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205740</xdr:rowOff>
                  </from>
                  <to>
                    <xdr:col>12</xdr:col>
                    <xdr:colOff>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04" r:id="rId6" name="Button 4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213360</xdr:rowOff>
                  </from>
                  <to>
                    <xdr:col>12</xdr:col>
                    <xdr:colOff>30480</xdr:colOff>
                    <xdr:row>21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93A0EA-2E72-487D-A83C-A8ABDB46773C}">
  <sheetPr codeName="Sheet7"/>
  <dimension ref="A1:L34"/>
  <sheetViews>
    <sheetView workbookViewId="0">
      <selection activeCell="E9" sqref="E9"/>
    </sheetView>
  </sheetViews>
  <sheetFormatPr defaultRowHeight="14.4" x14ac:dyDescent="0.3"/>
  <cols>
    <col min="1" max="1" width="18.664062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37" t="s">
        <v>42</v>
      </c>
      <c r="B1" s="20" t="s">
        <v>3</v>
      </c>
      <c r="C1" s="39" t="s">
        <v>0</v>
      </c>
      <c r="D1" s="39"/>
      <c r="E1" s="39" t="s">
        <v>2</v>
      </c>
      <c r="F1" s="39"/>
      <c r="G1" s="20" t="s">
        <v>34</v>
      </c>
      <c r="K1" s="20" t="s">
        <v>38</v>
      </c>
      <c r="L1" s="20" t="s">
        <v>10</v>
      </c>
    </row>
    <row r="2" spans="1:12" x14ac:dyDescent="0.3">
      <c r="A2" s="38"/>
      <c r="B2" s="2" t="s">
        <v>43</v>
      </c>
      <c r="C2" s="40" t="s">
        <v>87</v>
      </c>
      <c r="D2" s="40"/>
      <c r="E2" s="40" t="s">
        <v>88</v>
      </c>
      <c r="F2" s="40"/>
      <c r="G2" s="1" t="s">
        <v>89</v>
      </c>
      <c r="K2" s="4" t="s">
        <v>9</v>
      </c>
      <c r="L2" s="4">
        <v>23.8</v>
      </c>
    </row>
    <row r="3" spans="1:12" x14ac:dyDescent="0.3">
      <c r="A3" s="20" t="s">
        <v>1</v>
      </c>
      <c r="B3" s="41" t="s">
        <v>4</v>
      </c>
      <c r="C3" s="42"/>
      <c r="D3" s="43"/>
      <c r="E3" s="41" t="s">
        <v>51</v>
      </c>
      <c r="F3" s="43"/>
      <c r="G3" s="20" t="s">
        <v>5</v>
      </c>
      <c r="K3" s="1" t="s">
        <v>11</v>
      </c>
      <c r="L3" s="1">
        <v>17.399999999999999</v>
      </c>
    </row>
    <row r="4" spans="1:12" x14ac:dyDescent="0.3">
      <c r="A4" s="1" t="s">
        <v>39</v>
      </c>
      <c r="B4" s="44">
        <v>5796352250</v>
      </c>
      <c r="C4" s="44"/>
      <c r="D4" s="44"/>
      <c r="E4" s="40" t="s">
        <v>58</v>
      </c>
      <c r="F4" s="40"/>
      <c r="G4" s="1" t="s">
        <v>90</v>
      </c>
      <c r="K4" s="4" t="s">
        <v>12</v>
      </c>
      <c r="L4" s="4">
        <v>33.799999999999997</v>
      </c>
    </row>
    <row r="5" spans="1:12" x14ac:dyDescent="0.3">
      <c r="A5" s="20" t="s">
        <v>6</v>
      </c>
      <c r="B5" s="39" t="s">
        <v>7</v>
      </c>
      <c r="C5" s="39"/>
      <c r="D5" s="39"/>
      <c r="E5" s="20" t="s">
        <v>8</v>
      </c>
      <c r="F5" s="20" t="s">
        <v>35</v>
      </c>
      <c r="G5" s="20" t="s">
        <v>36</v>
      </c>
      <c r="K5" s="1" t="s">
        <v>13</v>
      </c>
      <c r="L5" s="1">
        <v>61.1</v>
      </c>
    </row>
    <row r="6" spans="1:12" x14ac:dyDescent="0.3">
      <c r="A6" s="3" t="s">
        <v>91</v>
      </c>
      <c r="B6" s="36" t="s">
        <v>18</v>
      </c>
      <c r="C6" s="36"/>
      <c r="D6" s="36"/>
      <c r="E6" s="4">
        <v>6134</v>
      </c>
      <c r="F6" s="4">
        <v>1</v>
      </c>
      <c r="G6" s="25" t="s">
        <v>47</v>
      </c>
      <c r="H6" s="28" t="str">
        <f>HYPERLINK("#G6",CHAR(128))</f>
        <v>€</v>
      </c>
      <c r="K6" s="4" t="s">
        <v>14</v>
      </c>
      <c r="L6" s="4">
        <v>43.4</v>
      </c>
    </row>
    <row r="7" spans="1:12" x14ac:dyDescent="0.3">
      <c r="A7" s="2" t="s">
        <v>93</v>
      </c>
      <c r="B7" s="40" t="s">
        <v>21</v>
      </c>
      <c r="C7" s="40"/>
      <c r="D7" s="40"/>
      <c r="E7" s="1" t="s">
        <v>92</v>
      </c>
      <c r="F7" s="16">
        <v>1</v>
      </c>
      <c r="G7" s="4" t="s">
        <v>47</v>
      </c>
      <c r="H7" s="28" t="str">
        <f>HYPERLINK("#G7",CHAR(128))</f>
        <v>€</v>
      </c>
      <c r="K7" s="1" t="s">
        <v>15</v>
      </c>
      <c r="L7" s="1">
        <v>57.8</v>
      </c>
    </row>
    <row r="8" spans="1:12" x14ac:dyDescent="0.3">
      <c r="A8" s="3" t="s">
        <v>82</v>
      </c>
      <c r="B8" s="36" t="s">
        <v>19</v>
      </c>
      <c r="C8" s="36"/>
      <c r="D8" s="36"/>
      <c r="E8" s="4" t="s">
        <v>81</v>
      </c>
      <c r="F8" s="4">
        <v>1</v>
      </c>
      <c r="G8" s="4" t="s">
        <v>47</v>
      </c>
      <c r="H8" s="28" t="str">
        <f>HYPERLINK("#G8",CHAR(128))</f>
        <v>€</v>
      </c>
      <c r="K8" s="4" t="s">
        <v>16</v>
      </c>
      <c r="L8" s="4">
        <v>302.8</v>
      </c>
    </row>
    <row r="9" spans="1:12" x14ac:dyDescent="0.3">
      <c r="A9" s="2"/>
      <c r="B9" s="40" t="s">
        <v>20</v>
      </c>
      <c r="C9" s="40"/>
      <c r="D9" s="40"/>
      <c r="E9" s="1"/>
      <c r="F9" s="16">
        <v>1</v>
      </c>
      <c r="G9" s="4" t="s">
        <v>47</v>
      </c>
      <c r="H9" s="28" t="str">
        <f>HYPERLINK("#G9",CHAR(128))</f>
        <v>€</v>
      </c>
      <c r="I9" s="11"/>
      <c r="K9" s="1" t="s">
        <v>17</v>
      </c>
      <c r="L9" s="1">
        <v>125.7</v>
      </c>
    </row>
    <row r="10" spans="1:12" x14ac:dyDescent="0.3">
      <c r="A10" s="3" t="s">
        <v>94</v>
      </c>
      <c r="B10" s="36" t="s">
        <v>24</v>
      </c>
      <c r="C10" s="36"/>
      <c r="D10" s="36"/>
      <c r="E10" s="8">
        <v>7.625</v>
      </c>
      <c r="F10" s="4">
        <v>1</v>
      </c>
      <c r="G10" s="4" t="s">
        <v>47</v>
      </c>
      <c r="H10" s="28" t="str">
        <f>HYPERLINK("#G10",CHAR(128))</f>
        <v>€</v>
      </c>
      <c r="K10" s="15" t="s">
        <v>49</v>
      </c>
      <c r="L10" s="15">
        <v>7.8</v>
      </c>
    </row>
    <row r="11" spans="1:12" x14ac:dyDescent="0.3">
      <c r="A11" s="2" t="s">
        <v>96</v>
      </c>
      <c r="B11" s="40" t="s">
        <v>23</v>
      </c>
      <c r="C11" s="40"/>
      <c r="D11" s="40"/>
      <c r="E11" s="1" t="s">
        <v>95</v>
      </c>
      <c r="F11" s="16">
        <v>1</v>
      </c>
      <c r="G11" s="4" t="s">
        <v>47</v>
      </c>
      <c r="H11" s="28" t="str">
        <f>HYPERLINK("#G11",CHAR(128))</f>
        <v>€</v>
      </c>
    </row>
    <row r="12" spans="1:12" x14ac:dyDescent="0.3">
      <c r="A12" s="5"/>
      <c r="B12" s="36" t="s">
        <v>25</v>
      </c>
      <c r="C12" s="36"/>
      <c r="D12" s="36"/>
      <c r="E12" s="4"/>
      <c r="F12" s="4">
        <v>1</v>
      </c>
      <c r="G12" s="4" t="s">
        <v>47</v>
      </c>
      <c r="H12" s="28" t="str">
        <f>HYPERLINK("#G12",CHAR(128))</f>
        <v>€</v>
      </c>
    </row>
    <row r="13" spans="1:12" x14ac:dyDescent="0.3">
      <c r="A13" s="2" t="s">
        <v>55</v>
      </c>
      <c r="B13" s="40" t="s">
        <v>26</v>
      </c>
      <c r="C13" s="40"/>
      <c r="D13" s="40"/>
      <c r="E13" s="1" t="s">
        <v>46</v>
      </c>
      <c r="F13" s="16">
        <v>1</v>
      </c>
      <c r="G13" s="4" t="s">
        <v>47</v>
      </c>
      <c r="H13" s="28" t="str">
        <f>HYPERLINK("#G13",CHAR(128))</f>
        <v>€</v>
      </c>
    </row>
    <row r="14" spans="1:12" x14ac:dyDescent="0.3">
      <c r="A14" s="5" t="s">
        <v>59</v>
      </c>
      <c r="B14" s="36" t="s">
        <v>27</v>
      </c>
      <c r="C14" s="36"/>
      <c r="D14" s="36"/>
      <c r="E14" s="4" t="s">
        <v>53</v>
      </c>
      <c r="F14" s="4">
        <v>1</v>
      </c>
      <c r="G14" s="4" t="s">
        <v>47</v>
      </c>
      <c r="H14" s="28" t="str">
        <f>HYPERLINK("#G14",CHAR(128))</f>
        <v>€</v>
      </c>
    </row>
    <row r="15" spans="1:12" x14ac:dyDescent="0.3">
      <c r="A15" s="2"/>
      <c r="B15" s="48"/>
      <c r="C15" s="48"/>
      <c r="D15" s="48"/>
      <c r="E15" s="1"/>
      <c r="F15" s="16"/>
      <c r="G15" s="4"/>
      <c r="H15" s="14"/>
    </row>
    <row r="16" spans="1:12" x14ac:dyDescent="0.3">
      <c r="A16" s="5" t="s">
        <v>48</v>
      </c>
      <c r="B16" s="36" t="s">
        <v>28</v>
      </c>
      <c r="C16" s="36"/>
      <c r="D16" s="36"/>
      <c r="E16" s="4" t="s">
        <v>54</v>
      </c>
      <c r="F16" s="4">
        <v>1</v>
      </c>
      <c r="G16" s="4" t="s">
        <v>47</v>
      </c>
      <c r="H16" s="23" t="str">
        <f>HYPERLINK("#G16",CHAR(128))</f>
        <v>€</v>
      </c>
    </row>
    <row r="17" spans="1:10" x14ac:dyDescent="0.3">
      <c r="A17" s="2" t="s">
        <v>97</v>
      </c>
      <c r="B17" s="40" t="s">
        <v>22</v>
      </c>
      <c r="C17" s="40"/>
      <c r="D17" s="40"/>
      <c r="E17" s="1" t="s">
        <v>68</v>
      </c>
      <c r="F17" s="16">
        <v>1</v>
      </c>
      <c r="G17" s="4" t="s">
        <v>47</v>
      </c>
      <c r="H17" s="23" t="str">
        <f>HYPERLINK("#G17",CHAR(128))</f>
        <v>€</v>
      </c>
    </row>
    <row r="18" spans="1:10" x14ac:dyDescent="0.3">
      <c r="A18" s="5" t="s">
        <v>98</v>
      </c>
      <c r="B18" s="36" t="s">
        <v>29</v>
      </c>
      <c r="C18" s="36"/>
      <c r="D18" s="36"/>
      <c r="E18" s="4">
        <v>6444</v>
      </c>
      <c r="F18" s="4">
        <v>1</v>
      </c>
      <c r="G18" s="4" t="s">
        <v>47</v>
      </c>
      <c r="H18" s="23" t="str">
        <f>HYPERLINK("#G18",CHAR(128))</f>
        <v>€</v>
      </c>
    </row>
    <row r="19" spans="1:10" x14ac:dyDescent="0.3">
      <c r="A19" s="2" t="s">
        <v>100</v>
      </c>
      <c r="B19" s="40" t="s">
        <v>30</v>
      </c>
      <c r="C19" s="40"/>
      <c r="D19" s="40"/>
      <c r="E19" s="1" t="s">
        <v>99</v>
      </c>
      <c r="F19" s="16">
        <v>1</v>
      </c>
      <c r="G19" s="4" t="s">
        <v>47</v>
      </c>
      <c r="H19" s="23" t="str">
        <f>HYPERLINK("#G19",CHAR(128))</f>
        <v>€</v>
      </c>
    </row>
    <row r="20" spans="1:10" x14ac:dyDescent="0.3">
      <c r="A20" s="5"/>
      <c r="B20" s="45"/>
      <c r="C20" s="46"/>
      <c r="D20" s="47"/>
      <c r="E20" s="4"/>
      <c r="F20" s="4"/>
      <c r="G20" s="4"/>
      <c r="H20" s="14"/>
    </row>
    <row r="21" spans="1:10" x14ac:dyDescent="0.3">
      <c r="A21" s="2" t="s">
        <v>101</v>
      </c>
      <c r="B21" s="40" t="s">
        <v>33</v>
      </c>
      <c r="C21" s="40"/>
      <c r="D21" s="40"/>
      <c r="E21" s="9">
        <v>7.625</v>
      </c>
      <c r="F21" s="16">
        <v>1</v>
      </c>
      <c r="G21" s="4" t="s">
        <v>47</v>
      </c>
      <c r="H21" s="23" t="str">
        <f>HYPERLINK("#G21",CHAR(128))</f>
        <v>€</v>
      </c>
    </row>
    <row r="22" spans="1:10" x14ac:dyDescent="0.3">
      <c r="A22" s="5" t="s">
        <v>102</v>
      </c>
      <c r="B22" s="36" t="s">
        <v>31</v>
      </c>
      <c r="C22" s="36"/>
      <c r="D22" s="36"/>
      <c r="E22" s="4">
        <v>6436</v>
      </c>
      <c r="F22" s="4">
        <v>1</v>
      </c>
      <c r="G22" s="4" t="s">
        <v>47</v>
      </c>
      <c r="H22" s="23" t="str">
        <f>HYPERLINK("#G22",CHAR(128))</f>
        <v>€</v>
      </c>
    </row>
    <row r="23" spans="1:10" x14ac:dyDescent="0.3">
      <c r="A23" s="2"/>
      <c r="B23" s="40" t="s">
        <v>50</v>
      </c>
      <c r="C23" s="40"/>
      <c r="D23" s="40"/>
      <c r="E23" s="1"/>
      <c r="F23" s="16">
        <v>1</v>
      </c>
      <c r="G23" s="4" t="s">
        <v>47</v>
      </c>
      <c r="H23" s="22" t="str">
        <f>HYPERLINK("#G23",CHAR(128))</f>
        <v>€</v>
      </c>
    </row>
    <row r="24" spans="1:10" x14ac:dyDescent="0.3">
      <c r="A24" s="5"/>
      <c r="B24" s="36" t="s">
        <v>32</v>
      </c>
      <c r="C24" s="36"/>
      <c r="D24" s="36"/>
      <c r="E24" s="4"/>
      <c r="F24" s="4">
        <v>1</v>
      </c>
      <c r="G24" s="4" t="s">
        <v>47</v>
      </c>
      <c r="H24" s="22" t="str">
        <f>HYPERLINK("#G24",CHAR(128))</f>
        <v>€</v>
      </c>
    </row>
    <row r="25" spans="1:10" x14ac:dyDescent="0.3">
      <c r="A25" s="2"/>
      <c r="B25" s="40"/>
      <c r="C25" s="40"/>
      <c r="D25" s="40"/>
      <c r="E25" s="1"/>
      <c r="F25" s="16"/>
      <c r="G25" s="4"/>
      <c r="H25" s="14"/>
      <c r="I25" s="12"/>
    </row>
    <row r="26" spans="1:10" x14ac:dyDescent="0.3">
      <c r="A26" s="5"/>
      <c r="B26" s="36" t="s">
        <v>37</v>
      </c>
      <c r="C26" s="36"/>
      <c r="D26" s="36"/>
      <c r="E26" s="4" t="str">
        <f>C2</f>
        <v>Robinson</v>
      </c>
      <c r="F26" s="4">
        <v>1</v>
      </c>
      <c r="G26" s="4" t="s">
        <v>47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39" t="s">
        <v>52</v>
      </c>
      <c r="C29" s="39"/>
      <c r="D29" s="39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36"/>
      <c r="C30" s="36"/>
      <c r="D30" s="36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40"/>
      <c r="C31" s="40"/>
      <c r="D31" s="40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36"/>
      <c r="C32" s="36"/>
      <c r="D32" s="36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40"/>
      <c r="C33" s="40"/>
      <c r="D33" s="40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36"/>
      <c r="C34" s="36"/>
      <c r="D34" s="36"/>
      <c r="E34" s="4"/>
      <c r="F34" s="4">
        <v>1</v>
      </c>
      <c r="G34" s="27"/>
      <c r="H34" s="19" t="str">
        <f>HYPERLINK("#G34",CHAR(128))</f>
        <v>€</v>
      </c>
    </row>
  </sheetData>
  <mergeCells count="37"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</mergeCells>
  <conditionalFormatting sqref="G6:G26">
    <cfRule type="cellIs" dxfId="31" priority="1" operator="equal">
      <formula>"Returned"</formula>
    </cfRule>
    <cfRule type="cellIs" dxfId="30" priority="4" operator="equal">
      <formula>"Ready To Order"</formula>
    </cfRule>
    <cfRule type="containsText" dxfId="29" priority="5" operator="containsText" text="UNP">
      <formula>NOT(ISERROR(SEARCH("UNP",G6)))</formula>
    </cfRule>
    <cfRule type="containsText" dxfId="28" priority="6" operator="containsText" text="Ordered">
      <formula>NOT(ISERROR(SEARCH("Ordered",G6)))</formula>
    </cfRule>
    <cfRule type="containsText" dxfId="27" priority="7" operator="containsText" text="Pick Up">
      <formula>NOT(ISERROR(SEARCH("Pick Up",G6)))</formula>
    </cfRule>
    <cfRule type="containsText" dxfId="26" priority="8" operator="containsText" text="Complete">
      <formula>NOT(ISERROR(SEARCH("Complete",G6)))</formula>
    </cfRule>
  </conditionalFormatting>
  <conditionalFormatting sqref="G30:G33">
    <cfRule type="containsText" dxfId="25" priority="3" operator="containsText" text="Given">
      <formula>NOT(ISERROR(SEARCH("Given",G30)))</formula>
    </cfRule>
  </conditionalFormatting>
  <conditionalFormatting sqref="G30:G34">
    <cfRule type="containsText" dxfId="24" priority="2" operator="containsText" text="Returned">
      <formula>NOT(ISERROR(SEARCH("Returned",G30)))</formula>
    </cfRule>
  </conditionalFormatting>
  <dataValidations count="3">
    <dataValidation type="list" allowBlank="1" showInputMessage="1" showErrorMessage="1" sqref="G30:G34" xr:uid="{E3EDF432-BE4A-49EE-8A99-E22616EBDB7F}">
      <formula1>"--,Returned, Given"</formula1>
    </dataValidation>
    <dataValidation type="list" allowBlank="1" showInputMessage="1" showErrorMessage="1" sqref="G6:G26" xr:uid="{BD1BF856-5278-44E0-A095-3D8ED868B696}">
      <formula1>"UNP, Ready To Order, Ordered, Pick Up, Complete, Returned"</formula1>
    </dataValidation>
    <dataValidation type="decimal" allowBlank="1" showInputMessage="1" showErrorMessage="1" sqref="L2" xr:uid="{A2B60D61-33BC-4F5D-976C-3DEE74569D93}">
      <formula1>19</formula1>
      <formula2>26</formula2>
    </dataValidation>
  </dataValidations>
  <hyperlinks>
    <hyperlink ref="A1:A2" location="Menu!A1" display="Back to Menu" xr:uid="{D8B693AC-CC18-4D6F-AEE3-D286E828190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8721" r:id="rId3" name="Button 1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31</xdr:row>
                    <xdr:rowOff>152400</xdr:rowOff>
                  </from>
                  <to>
                    <xdr:col>12</xdr:col>
                    <xdr:colOff>7620</xdr:colOff>
                    <xdr:row>33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22" r:id="rId4" name="Button 2">
              <controlPr defaultSize="0" print="0" autoFill="0" autoPict="0" macro="[0]!Resize">
                <anchor moveWithCells="1" sizeWithCells="1">
                  <from>
                    <xdr:col>10</xdr:col>
                    <xdr:colOff>7620</xdr:colOff>
                    <xdr:row>10</xdr:row>
                    <xdr:rowOff>198120</xdr:rowOff>
                  </from>
                  <to>
                    <xdr:col>12</xdr:col>
                    <xdr:colOff>7620</xdr:colOff>
                    <xdr:row>12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23" r:id="rId5" name="Button 3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205740</xdr:rowOff>
                  </from>
                  <to>
                    <xdr:col>12</xdr:col>
                    <xdr:colOff>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24" r:id="rId6" name="Button 4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213360</xdr:rowOff>
                  </from>
                  <to>
                    <xdr:col>12</xdr:col>
                    <xdr:colOff>30480</xdr:colOff>
                    <xdr:row>21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0BBD80-4625-467D-A047-C66780E85D27}">
  <sheetPr codeName="Sheet8"/>
  <dimension ref="A1:L34"/>
  <sheetViews>
    <sheetView workbookViewId="0">
      <selection activeCell="C45" sqref="C45"/>
    </sheetView>
  </sheetViews>
  <sheetFormatPr defaultRowHeight="14.4" x14ac:dyDescent="0.3"/>
  <cols>
    <col min="1" max="1" width="18.664062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37" t="s">
        <v>42</v>
      </c>
      <c r="B1" s="20" t="s">
        <v>3</v>
      </c>
      <c r="C1" s="39" t="s">
        <v>0</v>
      </c>
      <c r="D1" s="39"/>
      <c r="E1" s="39" t="s">
        <v>2</v>
      </c>
      <c r="F1" s="39"/>
      <c r="G1" s="20" t="s">
        <v>34</v>
      </c>
      <c r="K1" s="20" t="s">
        <v>38</v>
      </c>
      <c r="L1" s="20" t="s">
        <v>10</v>
      </c>
    </row>
    <row r="2" spans="1:12" x14ac:dyDescent="0.3">
      <c r="A2" s="38"/>
      <c r="B2" s="2" t="s">
        <v>43</v>
      </c>
      <c r="C2" s="40" t="s">
        <v>87</v>
      </c>
      <c r="D2" s="40"/>
      <c r="E2" s="40" t="s">
        <v>103</v>
      </c>
      <c r="F2" s="40"/>
      <c r="G2" s="1" t="s">
        <v>104</v>
      </c>
      <c r="K2" s="4" t="s">
        <v>9</v>
      </c>
      <c r="L2" s="4">
        <v>20.2</v>
      </c>
    </row>
    <row r="3" spans="1:12" x14ac:dyDescent="0.3">
      <c r="A3" s="20" t="s">
        <v>1</v>
      </c>
      <c r="B3" s="41" t="s">
        <v>4</v>
      </c>
      <c r="C3" s="42"/>
      <c r="D3" s="43"/>
      <c r="E3" s="41" t="s">
        <v>51</v>
      </c>
      <c r="F3" s="43"/>
      <c r="G3" s="20" t="s">
        <v>5</v>
      </c>
      <c r="K3" s="1" t="s">
        <v>11</v>
      </c>
      <c r="L3" s="1">
        <v>12.8</v>
      </c>
    </row>
    <row r="4" spans="1:12" x14ac:dyDescent="0.3">
      <c r="A4" s="1" t="s">
        <v>39</v>
      </c>
      <c r="B4" s="44">
        <v>4465777595</v>
      </c>
      <c r="C4" s="44"/>
      <c r="D4" s="44"/>
      <c r="E4" s="40" t="s">
        <v>58</v>
      </c>
      <c r="F4" s="40"/>
      <c r="G4" s="1" t="s">
        <v>90</v>
      </c>
      <c r="K4" s="4" t="s">
        <v>12</v>
      </c>
      <c r="L4" s="4">
        <v>40.700000000000003</v>
      </c>
    </row>
    <row r="5" spans="1:12" x14ac:dyDescent="0.3">
      <c r="A5" s="20" t="s">
        <v>6</v>
      </c>
      <c r="B5" s="39" t="s">
        <v>7</v>
      </c>
      <c r="C5" s="39"/>
      <c r="D5" s="39"/>
      <c r="E5" s="20" t="s">
        <v>8</v>
      </c>
      <c r="F5" s="20" t="s">
        <v>35</v>
      </c>
      <c r="G5" s="20" t="s">
        <v>36</v>
      </c>
      <c r="K5" s="1" t="s">
        <v>13</v>
      </c>
      <c r="L5" s="1">
        <v>34</v>
      </c>
    </row>
    <row r="6" spans="1:12" x14ac:dyDescent="0.3">
      <c r="A6" s="3" t="s">
        <v>105</v>
      </c>
      <c r="B6" s="36" t="s">
        <v>18</v>
      </c>
      <c r="C6" s="36"/>
      <c r="D6" s="36"/>
      <c r="E6" s="4">
        <v>6442</v>
      </c>
      <c r="F6" s="4">
        <v>1</v>
      </c>
      <c r="G6" s="25" t="s">
        <v>47</v>
      </c>
      <c r="H6" s="28" t="str">
        <f>HYPERLINK("#G6",CHAR(128))</f>
        <v>€</v>
      </c>
      <c r="K6" s="4" t="s">
        <v>14</v>
      </c>
      <c r="L6" s="4">
        <v>46.7</v>
      </c>
    </row>
    <row r="7" spans="1:12" x14ac:dyDescent="0.3">
      <c r="A7" s="2" t="s">
        <v>107</v>
      </c>
      <c r="B7" s="40" t="s">
        <v>21</v>
      </c>
      <c r="C7" s="40"/>
      <c r="D7" s="40"/>
      <c r="E7" s="1" t="s">
        <v>106</v>
      </c>
      <c r="F7" s="16">
        <v>1</v>
      </c>
      <c r="G7" s="4" t="s">
        <v>47</v>
      </c>
      <c r="H7" s="28" t="str">
        <f>HYPERLINK("#G7",CHAR(128))</f>
        <v>€</v>
      </c>
      <c r="K7" s="1" t="s">
        <v>15</v>
      </c>
      <c r="L7" s="1">
        <v>63.6</v>
      </c>
    </row>
    <row r="8" spans="1:12" x14ac:dyDescent="0.3">
      <c r="A8" s="3" t="s">
        <v>109</v>
      </c>
      <c r="B8" s="36" t="s">
        <v>19</v>
      </c>
      <c r="C8" s="36"/>
      <c r="D8" s="36"/>
      <c r="E8" s="4" t="s">
        <v>108</v>
      </c>
      <c r="F8" s="4">
        <v>1</v>
      </c>
      <c r="G8" s="4" t="s">
        <v>47</v>
      </c>
      <c r="H8" s="28" t="str">
        <f>HYPERLINK("#G8",CHAR(128))</f>
        <v>€</v>
      </c>
      <c r="K8" s="4" t="s">
        <v>16</v>
      </c>
      <c r="L8" s="4">
        <v>284.7</v>
      </c>
    </row>
    <row r="9" spans="1:12" x14ac:dyDescent="0.3">
      <c r="A9" s="2" t="s">
        <v>111</v>
      </c>
      <c r="B9" s="40" t="s">
        <v>20</v>
      </c>
      <c r="C9" s="40"/>
      <c r="D9" s="40"/>
      <c r="E9" s="1" t="s">
        <v>110</v>
      </c>
      <c r="F9" s="16">
        <v>1</v>
      </c>
      <c r="G9" s="4" t="s">
        <v>47</v>
      </c>
      <c r="H9" s="28" t="str">
        <f>HYPERLINK("#G9",CHAR(128))</f>
        <v>€</v>
      </c>
      <c r="I9" s="11"/>
      <c r="K9" s="1" t="s">
        <v>17</v>
      </c>
      <c r="L9" s="1">
        <v>112.1</v>
      </c>
    </row>
    <row r="10" spans="1:12" x14ac:dyDescent="0.3">
      <c r="A10" s="3" t="s">
        <v>112</v>
      </c>
      <c r="B10" s="36" t="s">
        <v>24</v>
      </c>
      <c r="C10" s="36"/>
      <c r="D10" s="36"/>
      <c r="E10" s="8">
        <v>6.5</v>
      </c>
      <c r="F10" s="4">
        <v>1</v>
      </c>
      <c r="G10" s="4" t="s">
        <v>47</v>
      </c>
      <c r="H10" s="28" t="str">
        <f>HYPERLINK("#G10",CHAR(128))</f>
        <v>€</v>
      </c>
      <c r="K10" s="15" t="s">
        <v>49</v>
      </c>
      <c r="L10" s="15">
        <v>9.5</v>
      </c>
    </row>
    <row r="11" spans="1:12" x14ac:dyDescent="0.3">
      <c r="A11" s="2" t="s">
        <v>96</v>
      </c>
      <c r="B11" s="40" t="s">
        <v>23</v>
      </c>
      <c r="C11" s="40"/>
      <c r="D11" s="40"/>
      <c r="E11" s="1" t="s">
        <v>95</v>
      </c>
      <c r="F11" s="16">
        <v>1</v>
      </c>
      <c r="G11" s="4" t="s">
        <v>47</v>
      </c>
      <c r="H11" s="28" t="str">
        <f>HYPERLINK("#G11",CHAR(128))</f>
        <v>€</v>
      </c>
    </row>
    <row r="12" spans="1:12" x14ac:dyDescent="0.3">
      <c r="A12" s="5" t="s">
        <v>114</v>
      </c>
      <c r="B12" s="36" t="s">
        <v>25</v>
      </c>
      <c r="C12" s="36"/>
      <c r="D12" s="36"/>
      <c r="E12" s="4" t="s">
        <v>113</v>
      </c>
      <c r="F12" s="4">
        <v>1</v>
      </c>
      <c r="G12" s="4" t="s">
        <v>47</v>
      </c>
      <c r="H12" s="28" t="str">
        <f>HYPERLINK("#G12",CHAR(128))</f>
        <v>€</v>
      </c>
    </row>
    <row r="13" spans="1:12" x14ac:dyDescent="0.3">
      <c r="A13" s="2" t="s">
        <v>55</v>
      </c>
      <c r="B13" s="40" t="s">
        <v>26</v>
      </c>
      <c r="C13" s="40"/>
      <c r="D13" s="40"/>
      <c r="E13" s="1" t="s">
        <v>46</v>
      </c>
      <c r="F13" s="16">
        <v>1</v>
      </c>
      <c r="G13" s="4" t="s">
        <v>47</v>
      </c>
      <c r="H13" s="28" t="str">
        <f>HYPERLINK("#G13",CHAR(128))</f>
        <v>€</v>
      </c>
    </row>
    <row r="14" spans="1:12" x14ac:dyDescent="0.3">
      <c r="A14" s="5" t="s">
        <v>116</v>
      </c>
      <c r="B14" s="36" t="s">
        <v>27</v>
      </c>
      <c r="C14" s="36"/>
      <c r="D14" s="36"/>
      <c r="E14" s="4" t="s">
        <v>115</v>
      </c>
      <c r="F14" s="4">
        <v>1</v>
      </c>
      <c r="G14" s="4" t="s">
        <v>47</v>
      </c>
      <c r="H14" s="28" t="str">
        <f>HYPERLINK("#G14",CHAR(128))</f>
        <v>€</v>
      </c>
    </row>
    <row r="15" spans="1:12" x14ac:dyDescent="0.3">
      <c r="A15" s="2"/>
      <c r="B15" s="48"/>
      <c r="C15" s="48"/>
      <c r="D15" s="48"/>
      <c r="E15" s="1"/>
      <c r="F15" s="16"/>
      <c r="G15" s="4"/>
      <c r="H15" s="14"/>
    </row>
    <row r="16" spans="1:12" x14ac:dyDescent="0.3">
      <c r="A16" s="5" t="s">
        <v>48</v>
      </c>
      <c r="B16" s="36" t="s">
        <v>28</v>
      </c>
      <c r="C16" s="36"/>
      <c r="D16" s="36"/>
      <c r="E16" s="4" t="s">
        <v>54</v>
      </c>
      <c r="F16" s="4">
        <v>1</v>
      </c>
      <c r="G16" s="4" t="s">
        <v>47</v>
      </c>
      <c r="H16" s="23" t="str">
        <f>HYPERLINK("#G16",CHAR(128))</f>
        <v>€</v>
      </c>
    </row>
    <row r="17" spans="1:10" x14ac:dyDescent="0.3">
      <c r="A17" s="2" t="s">
        <v>61</v>
      </c>
      <c r="B17" s="40" t="s">
        <v>22</v>
      </c>
      <c r="C17" s="40"/>
      <c r="D17" s="40"/>
      <c r="E17" s="1" t="s">
        <v>45</v>
      </c>
      <c r="F17" s="16">
        <v>1</v>
      </c>
      <c r="G17" s="4" t="s">
        <v>47</v>
      </c>
      <c r="H17" s="23" t="str">
        <f>HYPERLINK("#G17",CHAR(128))</f>
        <v>€</v>
      </c>
    </row>
    <row r="18" spans="1:10" x14ac:dyDescent="0.3">
      <c r="A18" s="5" t="s">
        <v>117</v>
      </c>
      <c r="B18" s="36" t="s">
        <v>29</v>
      </c>
      <c r="C18" s="36"/>
      <c r="D18" s="36"/>
      <c r="E18" s="4">
        <v>7648</v>
      </c>
      <c r="F18" s="4">
        <v>1</v>
      </c>
      <c r="G18" s="4" t="s">
        <v>47</v>
      </c>
      <c r="H18" s="23" t="str">
        <f>HYPERLINK("#G18",CHAR(128))</f>
        <v>€</v>
      </c>
    </row>
    <row r="19" spans="1:10" x14ac:dyDescent="0.3">
      <c r="A19" s="2" t="s">
        <v>76</v>
      </c>
      <c r="B19" s="40" t="s">
        <v>30</v>
      </c>
      <c r="C19" s="40"/>
      <c r="D19" s="40"/>
      <c r="E19" s="1" t="s">
        <v>75</v>
      </c>
      <c r="F19" s="16">
        <v>1</v>
      </c>
      <c r="G19" s="4" t="s">
        <v>47</v>
      </c>
      <c r="H19" s="23" t="str">
        <f>HYPERLINK("#G19",CHAR(128))</f>
        <v>€</v>
      </c>
    </row>
    <row r="20" spans="1:10" x14ac:dyDescent="0.3">
      <c r="A20" s="5"/>
      <c r="B20" s="45"/>
      <c r="C20" s="46"/>
      <c r="D20" s="47"/>
      <c r="E20" s="4"/>
      <c r="F20" s="4"/>
      <c r="G20" s="4"/>
      <c r="H20" s="14"/>
    </row>
    <row r="21" spans="1:10" x14ac:dyDescent="0.3">
      <c r="A21" s="2" t="s">
        <v>118</v>
      </c>
      <c r="B21" s="40" t="s">
        <v>33</v>
      </c>
      <c r="C21" s="40"/>
      <c r="D21" s="40"/>
      <c r="E21" s="9">
        <v>6.5</v>
      </c>
      <c r="F21" s="16">
        <v>1</v>
      </c>
      <c r="G21" s="4" t="s">
        <v>47</v>
      </c>
      <c r="H21" s="23" t="str">
        <f>HYPERLINK("#G21",CHAR(128))</f>
        <v>€</v>
      </c>
    </row>
    <row r="22" spans="1:10" x14ac:dyDescent="0.3">
      <c r="A22" s="5" t="s">
        <v>119</v>
      </c>
      <c r="B22" s="36" t="s">
        <v>31</v>
      </c>
      <c r="C22" s="36"/>
      <c r="D22" s="36"/>
      <c r="E22" s="4">
        <v>6744</v>
      </c>
      <c r="F22" s="4">
        <v>1</v>
      </c>
      <c r="G22" s="4" t="s">
        <v>47</v>
      </c>
      <c r="H22" s="23" t="str">
        <f>HYPERLINK("#G22",CHAR(128))</f>
        <v>€</v>
      </c>
    </row>
    <row r="23" spans="1:10" x14ac:dyDescent="0.3">
      <c r="A23" s="2" t="s">
        <v>120</v>
      </c>
      <c r="B23" s="40" t="s">
        <v>50</v>
      </c>
      <c r="C23" s="40"/>
      <c r="D23" s="40"/>
      <c r="E23" s="1">
        <v>6434</v>
      </c>
      <c r="F23" s="16">
        <v>1</v>
      </c>
      <c r="G23" s="4" t="s">
        <v>47</v>
      </c>
      <c r="H23" s="22" t="str">
        <f>HYPERLINK("#G23",CHAR(128))</f>
        <v>€</v>
      </c>
    </row>
    <row r="24" spans="1:10" x14ac:dyDescent="0.3">
      <c r="A24" s="5" t="s">
        <v>122</v>
      </c>
      <c r="B24" s="36" t="s">
        <v>32</v>
      </c>
      <c r="C24" s="36"/>
      <c r="D24" s="36"/>
      <c r="E24" s="4" t="s">
        <v>121</v>
      </c>
      <c r="F24" s="4">
        <v>1</v>
      </c>
      <c r="G24" s="4" t="s">
        <v>47</v>
      </c>
      <c r="H24" s="22" t="str">
        <f>HYPERLINK("#G24",CHAR(128))</f>
        <v>€</v>
      </c>
    </row>
    <row r="25" spans="1:10" x14ac:dyDescent="0.3">
      <c r="A25" s="2"/>
      <c r="B25" s="40"/>
      <c r="C25" s="40"/>
      <c r="D25" s="40"/>
      <c r="E25" s="1"/>
      <c r="F25" s="16"/>
      <c r="G25" s="4"/>
      <c r="H25" s="14"/>
      <c r="I25" s="12"/>
    </row>
    <row r="26" spans="1:10" x14ac:dyDescent="0.3">
      <c r="A26" s="5"/>
      <c r="B26" s="36" t="s">
        <v>37</v>
      </c>
      <c r="C26" s="36"/>
      <c r="D26" s="36"/>
      <c r="E26" s="4" t="str">
        <f>C2</f>
        <v>Robinson</v>
      </c>
      <c r="F26" s="4">
        <v>1</v>
      </c>
      <c r="G26" s="4" t="s">
        <v>47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39" t="s">
        <v>52</v>
      </c>
      <c r="C29" s="39"/>
      <c r="D29" s="39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36"/>
      <c r="C30" s="36"/>
      <c r="D30" s="36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40"/>
      <c r="C31" s="40"/>
      <c r="D31" s="40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36"/>
      <c r="C32" s="36"/>
      <c r="D32" s="36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40"/>
      <c r="C33" s="40"/>
      <c r="D33" s="40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36"/>
      <c r="C34" s="36"/>
      <c r="D34" s="36"/>
      <c r="E34" s="4"/>
      <c r="F34" s="4">
        <v>1</v>
      </c>
      <c r="G34" s="27"/>
      <c r="H34" s="19" t="str">
        <f>HYPERLINK("#G34",CHAR(128))</f>
        <v>€</v>
      </c>
    </row>
  </sheetData>
  <mergeCells count="37"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</mergeCells>
  <conditionalFormatting sqref="G6:G26">
    <cfRule type="cellIs" dxfId="23" priority="1" operator="equal">
      <formula>"Returned"</formula>
    </cfRule>
    <cfRule type="cellIs" dxfId="22" priority="4" operator="equal">
      <formula>"Ready To Order"</formula>
    </cfRule>
    <cfRule type="containsText" dxfId="21" priority="5" operator="containsText" text="UNP">
      <formula>NOT(ISERROR(SEARCH("UNP",G6)))</formula>
    </cfRule>
    <cfRule type="containsText" dxfId="20" priority="6" operator="containsText" text="Ordered">
      <formula>NOT(ISERROR(SEARCH("Ordered",G6)))</formula>
    </cfRule>
    <cfRule type="containsText" dxfId="19" priority="7" operator="containsText" text="Pick Up">
      <formula>NOT(ISERROR(SEARCH("Pick Up",G6)))</formula>
    </cfRule>
    <cfRule type="containsText" dxfId="18" priority="8" operator="containsText" text="Complete">
      <formula>NOT(ISERROR(SEARCH("Complete",G6)))</formula>
    </cfRule>
  </conditionalFormatting>
  <conditionalFormatting sqref="G30:G33">
    <cfRule type="containsText" dxfId="17" priority="3" operator="containsText" text="Given">
      <formula>NOT(ISERROR(SEARCH("Given",G30)))</formula>
    </cfRule>
  </conditionalFormatting>
  <conditionalFormatting sqref="G30:G34">
    <cfRule type="containsText" dxfId="16" priority="2" operator="containsText" text="Returned">
      <formula>NOT(ISERROR(SEARCH("Returned",G30)))</formula>
    </cfRule>
  </conditionalFormatting>
  <dataValidations count="3">
    <dataValidation type="list" allowBlank="1" showInputMessage="1" showErrorMessage="1" sqref="G30:G34" xr:uid="{20BDE421-38B2-48E9-A268-D7C61310AC96}">
      <formula1>"--,Returned, Given"</formula1>
    </dataValidation>
    <dataValidation type="list" allowBlank="1" showInputMessage="1" showErrorMessage="1" sqref="G6:G26" xr:uid="{CFC03184-2B84-4CAD-AC05-BE6E307972BF}">
      <formula1>"UNP, Ready To Order, Ordered, Pick Up, Complete, Returned"</formula1>
    </dataValidation>
    <dataValidation type="decimal" allowBlank="1" showInputMessage="1" showErrorMessage="1" sqref="L2" xr:uid="{120371CA-B393-402B-9903-6E7368DE13F9}">
      <formula1>19</formula1>
      <formula2>26</formula2>
    </dataValidation>
  </dataValidations>
  <hyperlinks>
    <hyperlink ref="A1:A2" location="Menu!A1" display="Back to Menu" xr:uid="{CC5FD93A-1C93-476C-91F2-E7D568D2CC45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9745" r:id="rId3" name="Button 1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31</xdr:row>
                    <xdr:rowOff>152400</xdr:rowOff>
                  </from>
                  <to>
                    <xdr:col>12</xdr:col>
                    <xdr:colOff>7620</xdr:colOff>
                    <xdr:row>33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46" r:id="rId4" name="Button 2">
              <controlPr defaultSize="0" print="0" autoFill="0" autoPict="0" macro="[0]!Resize">
                <anchor moveWithCells="1" sizeWithCells="1">
                  <from>
                    <xdr:col>10</xdr:col>
                    <xdr:colOff>7620</xdr:colOff>
                    <xdr:row>10</xdr:row>
                    <xdr:rowOff>198120</xdr:rowOff>
                  </from>
                  <to>
                    <xdr:col>12</xdr:col>
                    <xdr:colOff>7620</xdr:colOff>
                    <xdr:row>12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47" r:id="rId5" name="Button 3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205740</xdr:rowOff>
                  </from>
                  <to>
                    <xdr:col>12</xdr:col>
                    <xdr:colOff>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48" r:id="rId6" name="Button 4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213360</xdr:rowOff>
                  </from>
                  <to>
                    <xdr:col>12</xdr:col>
                    <xdr:colOff>30480</xdr:colOff>
                    <xdr:row>21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1F37C-3907-4FE6-B3F4-88B147A8A806}">
  <sheetPr codeName="Sheet11"/>
  <dimension ref="A1:L34"/>
  <sheetViews>
    <sheetView workbookViewId="0">
      <selection activeCell="E27" sqref="E27"/>
    </sheetView>
  </sheetViews>
  <sheetFormatPr defaultRowHeight="14.4" x14ac:dyDescent="0.3"/>
  <cols>
    <col min="1" max="1" width="18.664062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37" t="s">
        <v>42</v>
      </c>
      <c r="B1" s="20" t="s">
        <v>3</v>
      </c>
      <c r="C1" s="39" t="s">
        <v>0</v>
      </c>
      <c r="D1" s="39"/>
      <c r="E1" s="39" t="s">
        <v>2</v>
      </c>
      <c r="F1" s="39"/>
      <c r="G1" s="20" t="s">
        <v>34</v>
      </c>
      <c r="K1" s="20" t="s">
        <v>38</v>
      </c>
      <c r="L1" s="20" t="s">
        <v>10</v>
      </c>
    </row>
    <row r="2" spans="1:12" x14ac:dyDescent="0.3">
      <c r="A2" s="38"/>
      <c r="B2" s="2" t="s">
        <v>43</v>
      </c>
      <c r="C2" s="40" t="s">
        <v>123</v>
      </c>
      <c r="D2" s="40"/>
      <c r="E2" s="40" t="s">
        <v>124</v>
      </c>
      <c r="F2" s="40"/>
      <c r="G2" s="1" t="s">
        <v>125</v>
      </c>
      <c r="K2" s="4" t="s">
        <v>9</v>
      </c>
      <c r="L2" s="4">
        <v>19.5</v>
      </c>
    </row>
    <row r="3" spans="1:12" x14ac:dyDescent="0.3">
      <c r="A3" s="20" t="s">
        <v>1</v>
      </c>
      <c r="B3" s="41" t="s">
        <v>4</v>
      </c>
      <c r="C3" s="42"/>
      <c r="D3" s="43"/>
      <c r="E3" s="41" t="s">
        <v>51</v>
      </c>
      <c r="F3" s="43"/>
      <c r="G3" s="20" t="s">
        <v>5</v>
      </c>
      <c r="K3" s="1" t="s">
        <v>11</v>
      </c>
      <c r="L3" s="1">
        <v>15.7</v>
      </c>
    </row>
    <row r="4" spans="1:12" x14ac:dyDescent="0.3">
      <c r="A4" s="1" t="s">
        <v>39</v>
      </c>
      <c r="B4" s="44">
        <v>7345806215</v>
      </c>
      <c r="C4" s="44"/>
      <c r="D4" s="44"/>
      <c r="E4" s="40" t="s">
        <v>58</v>
      </c>
      <c r="F4" s="40"/>
      <c r="G4" s="1" t="s">
        <v>44</v>
      </c>
      <c r="K4" s="4" t="s">
        <v>12</v>
      </c>
      <c r="L4" s="4">
        <v>33.299999999999997</v>
      </c>
    </row>
    <row r="5" spans="1:12" x14ac:dyDescent="0.3">
      <c r="A5" s="20" t="s">
        <v>6</v>
      </c>
      <c r="B5" s="39" t="s">
        <v>7</v>
      </c>
      <c r="C5" s="39"/>
      <c r="D5" s="39"/>
      <c r="E5" s="20" t="s">
        <v>8</v>
      </c>
      <c r="F5" s="20" t="s">
        <v>35</v>
      </c>
      <c r="G5" s="20" t="s">
        <v>36</v>
      </c>
      <c r="K5" s="1" t="s">
        <v>13</v>
      </c>
      <c r="L5" s="1">
        <v>30.6</v>
      </c>
    </row>
    <row r="6" spans="1:12" x14ac:dyDescent="0.3">
      <c r="A6" s="3" t="s">
        <v>126</v>
      </c>
      <c r="B6" s="36" t="s">
        <v>18</v>
      </c>
      <c r="C6" s="36"/>
      <c r="D6" s="36"/>
      <c r="E6" s="4">
        <v>8034</v>
      </c>
      <c r="F6" s="4">
        <v>1</v>
      </c>
      <c r="G6" s="25" t="s">
        <v>47</v>
      </c>
      <c r="H6" s="28" t="str">
        <f>HYPERLINK("#G6",CHAR(128))</f>
        <v>€</v>
      </c>
      <c r="K6" s="4" t="s">
        <v>14</v>
      </c>
      <c r="L6" s="4">
        <v>46.9</v>
      </c>
    </row>
    <row r="7" spans="1:12" x14ac:dyDescent="0.3">
      <c r="A7" s="2" t="s">
        <v>127</v>
      </c>
      <c r="B7" s="40" t="s">
        <v>21</v>
      </c>
      <c r="C7" s="40"/>
      <c r="D7" s="40"/>
      <c r="E7" s="1">
        <v>16</v>
      </c>
      <c r="F7" s="16">
        <v>1</v>
      </c>
      <c r="G7" s="4" t="s">
        <v>47</v>
      </c>
      <c r="H7" s="28" t="str">
        <f>HYPERLINK("#G7",CHAR(128))</f>
        <v>€</v>
      </c>
      <c r="K7" s="1" t="s">
        <v>15</v>
      </c>
      <c r="L7" s="1">
        <v>74.5</v>
      </c>
    </row>
    <row r="8" spans="1:12" x14ac:dyDescent="0.3">
      <c r="A8" s="3" t="s">
        <v>82</v>
      </c>
      <c r="B8" s="36" t="s">
        <v>19</v>
      </c>
      <c r="C8" s="36"/>
      <c r="D8" s="36"/>
      <c r="E8" s="4" t="s">
        <v>81</v>
      </c>
      <c r="F8" s="4">
        <v>1</v>
      </c>
      <c r="G8" s="4" t="s">
        <v>47</v>
      </c>
      <c r="H8" s="28" t="str">
        <f>HYPERLINK("#G8",CHAR(128))</f>
        <v>€</v>
      </c>
      <c r="K8" s="4" t="s">
        <v>16</v>
      </c>
      <c r="L8" s="4">
        <v>261.3</v>
      </c>
    </row>
    <row r="9" spans="1:12" x14ac:dyDescent="0.3">
      <c r="A9" s="2" t="s">
        <v>128</v>
      </c>
      <c r="B9" s="40" t="s">
        <v>20</v>
      </c>
      <c r="C9" s="40"/>
      <c r="D9" s="40"/>
      <c r="E9" s="1">
        <v>7642</v>
      </c>
      <c r="F9" s="16">
        <v>1</v>
      </c>
      <c r="G9" s="4" t="s">
        <v>47</v>
      </c>
      <c r="H9" s="28" t="str">
        <f>HYPERLINK("#G9",CHAR(128))</f>
        <v>€</v>
      </c>
      <c r="I9" s="11"/>
      <c r="K9" s="1" t="s">
        <v>17</v>
      </c>
      <c r="L9" s="1">
        <v>128.6</v>
      </c>
    </row>
    <row r="10" spans="1:12" x14ac:dyDescent="0.3">
      <c r="A10" s="3" t="s">
        <v>60</v>
      </c>
      <c r="B10" s="36" t="s">
        <v>24</v>
      </c>
      <c r="C10" s="36"/>
      <c r="D10" s="36"/>
      <c r="E10" s="8">
        <v>6.375</v>
      </c>
      <c r="F10" s="4">
        <v>1</v>
      </c>
      <c r="G10" s="4" t="s">
        <v>47</v>
      </c>
      <c r="H10" s="28" t="str">
        <f>HYPERLINK("#G10",CHAR(128))</f>
        <v>€</v>
      </c>
      <c r="K10" s="15" t="s">
        <v>49</v>
      </c>
      <c r="L10" s="15">
        <v>6</v>
      </c>
    </row>
    <row r="11" spans="1:12" x14ac:dyDescent="0.3">
      <c r="A11" s="2" t="s">
        <v>130</v>
      </c>
      <c r="B11" s="40" t="s">
        <v>23</v>
      </c>
      <c r="C11" s="40"/>
      <c r="D11" s="40"/>
      <c r="E11" s="1" t="s">
        <v>129</v>
      </c>
      <c r="F11" s="16">
        <v>1</v>
      </c>
      <c r="G11" s="4" t="s">
        <v>47</v>
      </c>
      <c r="H11" s="28" t="str">
        <f>HYPERLINK("#G11",CHAR(128))</f>
        <v>€</v>
      </c>
    </row>
    <row r="12" spans="1:12" x14ac:dyDescent="0.3">
      <c r="A12" s="5" t="s">
        <v>114</v>
      </c>
      <c r="B12" s="36" t="s">
        <v>25</v>
      </c>
      <c r="C12" s="36"/>
      <c r="D12" s="36"/>
      <c r="E12" s="4" t="s">
        <v>113</v>
      </c>
      <c r="F12" s="4">
        <v>1</v>
      </c>
      <c r="G12" s="4" t="s">
        <v>47</v>
      </c>
      <c r="H12" s="28" t="str">
        <f>HYPERLINK("#G12",CHAR(128))</f>
        <v>€</v>
      </c>
    </row>
    <row r="13" spans="1:12" x14ac:dyDescent="0.3">
      <c r="A13" s="2" t="s">
        <v>132</v>
      </c>
      <c r="B13" s="40" t="s">
        <v>26</v>
      </c>
      <c r="C13" s="40"/>
      <c r="D13" s="40"/>
      <c r="E13" s="1" t="s">
        <v>131</v>
      </c>
      <c r="F13" s="16">
        <v>1</v>
      </c>
      <c r="G13" s="4" t="s">
        <v>47</v>
      </c>
      <c r="H13" s="28" t="str">
        <f>HYPERLINK("#G13",CHAR(128))</f>
        <v>€</v>
      </c>
    </row>
    <row r="14" spans="1:12" x14ac:dyDescent="0.3">
      <c r="A14" s="5" t="s">
        <v>134</v>
      </c>
      <c r="B14" s="36" t="s">
        <v>27</v>
      </c>
      <c r="C14" s="36"/>
      <c r="D14" s="36"/>
      <c r="E14" s="4" t="s">
        <v>133</v>
      </c>
      <c r="F14" s="4">
        <v>1</v>
      </c>
      <c r="G14" s="4" t="s">
        <v>47</v>
      </c>
      <c r="H14" s="28" t="str">
        <f>HYPERLINK("#G14",CHAR(128))</f>
        <v>€</v>
      </c>
    </row>
    <row r="15" spans="1:12" x14ac:dyDescent="0.3">
      <c r="A15" s="2"/>
      <c r="B15" s="48"/>
      <c r="C15" s="48"/>
      <c r="D15" s="48"/>
      <c r="E15" s="1"/>
      <c r="F15" s="16"/>
      <c r="G15" s="4"/>
      <c r="H15" s="14"/>
    </row>
    <row r="16" spans="1:12" x14ac:dyDescent="0.3">
      <c r="A16" s="5" t="s">
        <v>48</v>
      </c>
      <c r="B16" s="36" t="s">
        <v>28</v>
      </c>
      <c r="C16" s="36"/>
      <c r="D16" s="36"/>
      <c r="E16" s="4" t="s">
        <v>54</v>
      </c>
      <c r="F16" s="4">
        <v>1</v>
      </c>
      <c r="G16" s="4" t="s">
        <v>47</v>
      </c>
      <c r="H16" s="23" t="str">
        <f>HYPERLINK("#G16",CHAR(128))</f>
        <v>€</v>
      </c>
    </row>
    <row r="17" spans="1:10" x14ac:dyDescent="0.3">
      <c r="A17" s="2" t="s">
        <v>61</v>
      </c>
      <c r="B17" s="40" t="s">
        <v>22</v>
      </c>
      <c r="C17" s="40"/>
      <c r="D17" s="40"/>
      <c r="E17" s="1" t="s">
        <v>45</v>
      </c>
      <c r="F17" s="16">
        <v>1</v>
      </c>
      <c r="G17" s="4" t="s">
        <v>47</v>
      </c>
      <c r="H17" s="23" t="str">
        <f>HYPERLINK("#G17",CHAR(128))</f>
        <v>€</v>
      </c>
    </row>
    <row r="18" spans="1:10" x14ac:dyDescent="0.3">
      <c r="A18" s="5" t="s">
        <v>117</v>
      </c>
      <c r="B18" s="36" t="s">
        <v>29</v>
      </c>
      <c r="C18" s="36"/>
      <c r="D18" s="36"/>
      <c r="E18" s="4">
        <v>7648</v>
      </c>
      <c r="F18" s="4">
        <v>1</v>
      </c>
      <c r="G18" s="4" t="s">
        <v>47</v>
      </c>
      <c r="H18" s="23" t="str">
        <f>HYPERLINK("#G18",CHAR(128))</f>
        <v>€</v>
      </c>
    </row>
    <row r="19" spans="1:10" x14ac:dyDescent="0.3">
      <c r="A19" s="2" t="s">
        <v>139</v>
      </c>
      <c r="B19" s="40" t="s">
        <v>30</v>
      </c>
      <c r="C19" s="40"/>
      <c r="D19" s="40"/>
      <c r="E19" s="1" t="s">
        <v>138</v>
      </c>
      <c r="F19" s="16">
        <v>1</v>
      </c>
      <c r="G19" s="4" t="s">
        <v>47</v>
      </c>
      <c r="H19" s="23" t="str">
        <f>HYPERLINK("#G19",CHAR(128))</f>
        <v>€</v>
      </c>
    </row>
    <row r="20" spans="1:10" x14ac:dyDescent="0.3">
      <c r="A20" s="5"/>
      <c r="B20" s="45"/>
      <c r="C20" s="46"/>
      <c r="D20" s="47"/>
      <c r="E20" s="4"/>
      <c r="F20" s="4"/>
      <c r="G20" s="4"/>
      <c r="H20" s="14"/>
    </row>
    <row r="21" spans="1:10" x14ac:dyDescent="0.3">
      <c r="A21" s="2" t="s">
        <v>135</v>
      </c>
      <c r="B21" s="40" t="s">
        <v>33</v>
      </c>
      <c r="C21" s="40"/>
      <c r="D21" s="40"/>
      <c r="E21" s="9">
        <v>6.25</v>
      </c>
      <c r="F21" s="16">
        <v>1</v>
      </c>
      <c r="G21" s="4" t="s">
        <v>47</v>
      </c>
      <c r="H21" s="23" t="str">
        <f>HYPERLINK("#G21",CHAR(128))</f>
        <v>€</v>
      </c>
    </row>
    <row r="22" spans="1:10" x14ac:dyDescent="0.3">
      <c r="A22" s="5" t="s">
        <v>136</v>
      </c>
      <c r="B22" s="36" t="s">
        <v>31</v>
      </c>
      <c r="C22" s="36"/>
      <c r="D22" s="36"/>
      <c r="E22" s="4">
        <v>7640</v>
      </c>
      <c r="F22" s="4">
        <v>1</v>
      </c>
      <c r="G22" s="4" t="s">
        <v>47</v>
      </c>
      <c r="H22" s="23" t="str">
        <f>HYPERLINK("#G22",CHAR(128))</f>
        <v>€</v>
      </c>
    </row>
    <row r="23" spans="1:10" x14ac:dyDescent="0.3">
      <c r="A23" s="2" t="s">
        <v>137</v>
      </c>
      <c r="B23" s="40" t="s">
        <v>50</v>
      </c>
      <c r="C23" s="40"/>
      <c r="D23" s="40"/>
      <c r="E23" s="1">
        <v>7634</v>
      </c>
      <c r="F23" s="16">
        <v>1</v>
      </c>
      <c r="G23" s="4" t="s">
        <v>47</v>
      </c>
      <c r="H23" s="22" t="str">
        <f>HYPERLINK("#G23",CHAR(128))</f>
        <v>€</v>
      </c>
    </row>
    <row r="24" spans="1:10" x14ac:dyDescent="0.3">
      <c r="A24" s="5" t="s">
        <v>141</v>
      </c>
      <c r="B24" s="36" t="s">
        <v>32</v>
      </c>
      <c r="C24" s="36"/>
      <c r="D24" s="36"/>
      <c r="E24" s="4" t="s">
        <v>140</v>
      </c>
      <c r="F24" s="4">
        <v>1</v>
      </c>
      <c r="G24" s="4" t="s">
        <v>47</v>
      </c>
      <c r="H24" s="22" t="str">
        <f>HYPERLINK("#G24",CHAR(128))</f>
        <v>€</v>
      </c>
    </row>
    <row r="25" spans="1:10" x14ac:dyDescent="0.3">
      <c r="A25" s="2"/>
      <c r="B25" s="40"/>
      <c r="C25" s="40"/>
      <c r="D25" s="40"/>
      <c r="E25" s="1"/>
      <c r="F25" s="16"/>
      <c r="G25" s="4"/>
      <c r="H25" s="14"/>
      <c r="I25" s="12"/>
    </row>
    <row r="26" spans="1:10" x14ac:dyDescent="0.3">
      <c r="A26" s="5"/>
      <c r="B26" s="36" t="s">
        <v>37</v>
      </c>
      <c r="C26" s="36"/>
      <c r="D26" s="36"/>
      <c r="E26" s="4" t="str">
        <f>C2</f>
        <v>White</v>
      </c>
      <c r="F26" s="4">
        <v>1</v>
      </c>
      <c r="G26" s="4" t="s">
        <v>47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39" t="s">
        <v>52</v>
      </c>
      <c r="C29" s="39"/>
      <c r="D29" s="39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36"/>
      <c r="C30" s="36"/>
      <c r="D30" s="36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40"/>
      <c r="C31" s="40"/>
      <c r="D31" s="40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36"/>
      <c r="C32" s="36"/>
      <c r="D32" s="36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40"/>
      <c r="C33" s="40"/>
      <c r="D33" s="40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36"/>
      <c r="C34" s="36"/>
      <c r="D34" s="36"/>
      <c r="E34" s="4"/>
      <c r="F34" s="4">
        <v>1</v>
      </c>
      <c r="G34" s="27"/>
      <c r="H34" s="19" t="str">
        <f>HYPERLINK("#G34",CHAR(128))</f>
        <v>€</v>
      </c>
    </row>
  </sheetData>
  <mergeCells count="37"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</mergeCells>
  <conditionalFormatting sqref="G6:G26">
    <cfRule type="cellIs" dxfId="15" priority="1" operator="equal">
      <formula>"Returned"</formula>
    </cfRule>
    <cfRule type="cellIs" dxfId="14" priority="4" operator="equal">
      <formula>"Ready To Order"</formula>
    </cfRule>
    <cfRule type="containsText" dxfId="13" priority="5" operator="containsText" text="UNP">
      <formula>NOT(ISERROR(SEARCH("UNP",G6)))</formula>
    </cfRule>
    <cfRule type="containsText" dxfId="12" priority="6" operator="containsText" text="Ordered">
      <formula>NOT(ISERROR(SEARCH("Ordered",G6)))</formula>
    </cfRule>
    <cfRule type="containsText" dxfId="11" priority="7" operator="containsText" text="Pick Up">
      <formula>NOT(ISERROR(SEARCH("Pick Up",G6)))</formula>
    </cfRule>
    <cfRule type="containsText" dxfId="10" priority="8" operator="containsText" text="Complete">
      <formula>NOT(ISERROR(SEARCH("Complete",G6)))</formula>
    </cfRule>
  </conditionalFormatting>
  <conditionalFormatting sqref="G30:G33">
    <cfRule type="containsText" dxfId="9" priority="3" operator="containsText" text="Given">
      <formula>NOT(ISERROR(SEARCH("Given",G30)))</formula>
    </cfRule>
  </conditionalFormatting>
  <conditionalFormatting sqref="G30:G34">
    <cfRule type="containsText" dxfId="8" priority="2" operator="containsText" text="Returned">
      <formula>NOT(ISERROR(SEARCH("Returned",G30)))</formula>
    </cfRule>
  </conditionalFormatting>
  <dataValidations count="3">
    <dataValidation type="list" allowBlank="1" showInputMessage="1" showErrorMessage="1" sqref="G30:G34" xr:uid="{CA092A4A-4B1C-4356-80E4-FC82E8AA8610}">
      <formula1>"--,Returned, Given"</formula1>
    </dataValidation>
    <dataValidation type="list" allowBlank="1" showInputMessage="1" showErrorMessage="1" sqref="G6:G26" xr:uid="{5DC5B6F9-2A0E-4824-A566-9833968A0491}">
      <formula1>"UNP, Ready To Order, Ordered, Pick Up, Complete, Returned"</formula1>
    </dataValidation>
    <dataValidation type="decimal" allowBlank="1" showInputMessage="1" showErrorMessage="1" sqref="L2" xr:uid="{F1FE6A9B-9354-4E3A-8220-E3A065BA172E}">
      <formula1>19</formula1>
      <formula2>26</formula2>
    </dataValidation>
  </dataValidations>
  <hyperlinks>
    <hyperlink ref="A1:A2" location="Menu!A1" display="Back to Menu" xr:uid="{EDED0F91-88DE-40B9-956B-10BAE79DE968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2817" r:id="rId3" name="Button 1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31</xdr:row>
                    <xdr:rowOff>152400</xdr:rowOff>
                  </from>
                  <to>
                    <xdr:col>12</xdr:col>
                    <xdr:colOff>7620</xdr:colOff>
                    <xdr:row>33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18" r:id="rId4" name="Button 2">
              <controlPr defaultSize="0" print="0" autoFill="0" autoPict="0" macro="[0]!Resize">
                <anchor moveWithCells="1" sizeWithCells="1">
                  <from>
                    <xdr:col>10</xdr:col>
                    <xdr:colOff>7620</xdr:colOff>
                    <xdr:row>10</xdr:row>
                    <xdr:rowOff>198120</xdr:rowOff>
                  </from>
                  <to>
                    <xdr:col>12</xdr:col>
                    <xdr:colOff>7620</xdr:colOff>
                    <xdr:row>12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19" r:id="rId5" name="Button 3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205740</xdr:rowOff>
                  </from>
                  <to>
                    <xdr:col>12</xdr:col>
                    <xdr:colOff>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20" r:id="rId6" name="Button 4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213360</xdr:rowOff>
                  </from>
                  <to>
                    <xdr:col>12</xdr:col>
                    <xdr:colOff>30480</xdr:colOff>
                    <xdr:row>21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B21E3-E0E8-4923-A85D-C119C4FF25D4}">
  <sheetPr codeName="Sheet1"/>
  <dimension ref="A1:N34"/>
  <sheetViews>
    <sheetView zoomScaleNormal="100" workbookViewId="0">
      <selection activeCell="G42" sqref="G42"/>
    </sheetView>
  </sheetViews>
  <sheetFormatPr defaultRowHeight="14.4" x14ac:dyDescent="0.3"/>
  <cols>
    <col min="1" max="1" width="18.5546875" customWidth="1"/>
    <col min="5" max="5" width="14.33203125" customWidth="1"/>
    <col min="7" max="7" width="16.5546875" customWidth="1"/>
    <col min="8" max="8" width="2.44140625" customWidth="1"/>
    <col min="11" max="11" width="12.109375" customWidth="1"/>
    <col min="12" max="12" width="13.109375" customWidth="1"/>
  </cols>
  <sheetData>
    <row r="1" spans="1:12" ht="17.25" customHeight="1" x14ac:dyDescent="0.3">
      <c r="A1" s="37" t="s">
        <v>42</v>
      </c>
      <c r="B1" s="20" t="s">
        <v>3</v>
      </c>
      <c r="C1" s="39" t="s">
        <v>0</v>
      </c>
      <c r="D1" s="39"/>
      <c r="E1" s="39" t="s">
        <v>2</v>
      </c>
      <c r="F1" s="39"/>
      <c r="G1" s="20" t="s">
        <v>34</v>
      </c>
      <c r="K1" s="20" t="s">
        <v>38</v>
      </c>
      <c r="L1" s="20" t="s">
        <v>10</v>
      </c>
    </row>
    <row r="2" spans="1:12" ht="17.25" customHeight="1" x14ac:dyDescent="0.3">
      <c r="A2" s="38"/>
      <c r="B2" s="2"/>
      <c r="C2" s="40"/>
      <c r="D2" s="40"/>
      <c r="E2" s="40"/>
      <c r="F2" s="40"/>
      <c r="G2" s="1"/>
      <c r="K2" s="4" t="s">
        <v>9</v>
      </c>
      <c r="L2" s="4"/>
    </row>
    <row r="3" spans="1:12" ht="17.25" customHeight="1" x14ac:dyDescent="0.3">
      <c r="A3" s="20" t="s">
        <v>1</v>
      </c>
      <c r="B3" s="41" t="s">
        <v>4</v>
      </c>
      <c r="C3" s="42"/>
      <c r="D3" s="43"/>
      <c r="E3" s="41" t="s">
        <v>51</v>
      </c>
      <c r="F3" s="43"/>
      <c r="G3" s="20" t="s">
        <v>5</v>
      </c>
      <c r="K3" s="1" t="s">
        <v>11</v>
      </c>
      <c r="L3" s="1"/>
    </row>
    <row r="4" spans="1:12" ht="17.25" customHeight="1" x14ac:dyDescent="0.3">
      <c r="A4" s="1" t="s">
        <v>39</v>
      </c>
      <c r="B4" s="44"/>
      <c r="C4" s="44"/>
      <c r="D4" s="44"/>
      <c r="E4" s="40"/>
      <c r="F4" s="40"/>
      <c r="G4" s="1"/>
      <c r="K4" s="4" t="s">
        <v>12</v>
      </c>
      <c r="L4" s="4"/>
    </row>
    <row r="5" spans="1:12" ht="17.25" customHeight="1" x14ac:dyDescent="0.3">
      <c r="A5" s="20" t="s">
        <v>6</v>
      </c>
      <c r="B5" s="39" t="s">
        <v>7</v>
      </c>
      <c r="C5" s="39"/>
      <c r="D5" s="39"/>
      <c r="E5" s="20" t="s">
        <v>8</v>
      </c>
      <c r="F5" s="20" t="s">
        <v>35</v>
      </c>
      <c r="G5" s="20" t="s">
        <v>36</v>
      </c>
      <c r="K5" s="1" t="s">
        <v>13</v>
      </c>
      <c r="L5" s="1"/>
    </row>
    <row r="6" spans="1:12" ht="17.25" customHeight="1" x14ac:dyDescent="0.3">
      <c r="A6" s="3"/>
      <c r="B6" s="36" t="s">
        <v>18</v>
      </c>
      <c r="C6" s="36"/>
      <c r="D6" s="36"/>
      <c r="E6" s="4"/>
      <c r="F6" s="4">
        <v>1</v>
      </c>
      <c r="G6" s="25" t="s">
        <v>47</v>
      </c>
      <c r="H6" s="28" t="str">
        <f>HYPERLINK("#G6",CHAR(128))</f>
        <v>€</v>
      </c>
      <c r="K6" s="4" t="s">
        <v>14</v>
      </c>
      <c r="L6" s="4"/>
    </row>
    <row r="7" spans="1:12" ht="17.25" customHeight="1" x14ac:dyDescent="0.3">
      <c r="A7" s="2"/>
      <c r="B7" s="40" t="s">
        <v>21</v>
      </c>
      <c r="C7" s="40"/>
      <c r="D7" s="40"/>
      <c r="E7" s="1"/>
      <c r="F7" s="16">
        <v>1</v>
      </c>
      <c r="G7" s="4" t="s">
        <v>47</v>
      </c>
      <c r="H7" s="28" t="str">
        <f>HYPERLINK("#G7",CHAR(128))</f>
        <v>€</v>
      </c>
      <c r="K7" s="1" t="s">
        <v>15</v>
      </c>
      <c r="L7" s="1"/>
    </row>
    <row r="8" spans="1:12" ht="17.25" customHeight="1" x14ac:dyDescent="0.3">
      <c r="A8" s="3"/>
      <c r="B8" s="36" t="s">
        <v>19</v>
      </c>
      <c r="C8" s="36"/>
      <c r="D8" s="36"/>
      <c r="E8" s="4"/>
      <c r="F8" s="4">
        <v>1</v>
      </c>
      <c r="G8" s="4" t="s">
        <v>47</v>
      </c>
      <c r="H8" s="28" t="str">
        <f>HYPERLINK("#G8",CHAR(128))</f>
        <v>€</v>
      </c>
      <c r="K8" s="4" t="s">
        <v>16</v>
      </c>
      <c r="L8" s="4"/>
    </row>
    <row r="9" spans="1:12" ht="17.25" customHeight="1" x14ac:dyDescent="0.3">
      <c r="A9" s="2"/>
      <c r="B9" s="40" t="s">
        <v>20</v>
      </c>
      <c r="C9" s="40"/>
      <c r="D9" s="40"/>
      <c r="E9" s="1"/>
      <c r="F9" s="16">
        <v>1</v>
      </c>
      <c r="G9" s="4" t="s">
        <v>47</v>
      </c>
      <c r="H9" s="28" t="str">
        <f>HYPERLINK("#G9",CHAR(128))</f>
        <v>€</v>
      </c>
      <c r="I9" s="11"/>
      <c r="K9" s="1" t="s">
        <v>17</v>
      </c>
      <c r="L9" s="1"/>
    </row>
    <row r="10" spans="1:12" ht="17.25" customHeight="1" x14ac:dyDescent="0.3">
      <c r="A10" s="3"/>
      <c r="B10" s="36" t="s">
        <v>24</v>
      </c>
      <c r="C10" s="36"/>
      <c r="D10" s="36"/>
      <c r="E10" s="8"/>
      <c r="F10" s="4">
        <v>1</v>
      </c>
      <c r="G10" s="4" t="s">
        <v>47</v>
      </c>
      <c r="H10" s="28" t="str">
        <f>HYPERLINK("#G10",CHAR(128))</f>
        <v>€</v>
      </c>
      <c r="K10" s="15" t="s">
        <v>49</v>
      </c>
      <c r="L10" s="15"/>
    </row>
    <row r="11" spans="1:12" ht="17.25" customHeight="1" x14ac:dyDescent="0.3">
      <c r="A11" s="2"/>
      <c r="B11" s="40" t="s">
        <v>23</v>
      </c>
      <c r="C11" s="40"/>
      <c r="D11" s="40"/>
      <c r="E11" s="1"/>
      <c r="F11" s="16">
        <v>1</v>
      </c>
      <c r="G11" s="4" t="s">
        <v>47</v>
      </c>
      <c r="H11" s="28" t="str">
        <f>HYPERLINK("#G11",CHAR(128))</f>
        <v>€</v>
      </c>
    </row>
    <row r="12" spans="1:12" ht="17.25" customHeight="1" x14ac:dyDescent="0.3">
      <c r="A12" s="5"/>
      <c r="B12" s="36" t="s">
        <v>25</v>
      </c>
      <c r="C12" s="36"/>
      <c r="D12" s="36"/>
      <c r="E12" s="4"/>
      <c r="F12" s="4">
        <v>1</v>
      </c>
      <c r="G12" s="4" t="s">
        <v>47</v>
      </c>
      <c r="H12" s="28" t="str">
        <f>HYPERLINK("#G12",CHAR(128))</f>
        <v>€</v>
      </c>
    </row>
    <row r="13" spans="1:12" ht="17.25" customHeight="1" x14ac:dyDescent="0.3">
      <c r="A13" s="2"/>
      <c r="B13" s="40" t="s">
        <v>26</v>
      </c>
      <c r="C13" s="40"/>
      <c r="D13" s="40"/>
      <c r="E13" s="1"/>
      <c r="F13" s="16">
        <v>1</v>
      </c>
      <c r="G13" s="4" t="s">
        <v>47</v>
      </c>
      <c r="H13" s="28" t="str">
        <f>HYPERLINK("#G13",CHAR(128))</f>
        <v>€</v>
      </c>
    </row>
    <row r="14" spans="1:12" ht="17.25" customHeight="1" x14ac:dyDescent="0.3">
      <c r="A14" s="5"/>
      <c r="B14" s="36" t="s">
        <v>27</v>
      </c>
      <c r="C14" s="36"/>
      <c r="D14" s="36"/>
      <c r="E14" s="4"/>
      <c r="F14" s="4">
        <v>1</v>
      </c>
      <c r="G14" s="4" t="s">
        <v>47</v>
      </c>
      <c r="H14" s="28" t="str">
        <f>HYPERLINK("#G14",CHAR(128))</f>
        <v>€</v>
      </c>
    </row>
    <row r="15" spans="1:12" ht="17.25" customHeight="1" x14ac:dyDescent="0.3">
      <c r="A15" s="2"/>
      <c r="B15" s="48"/>
      <c r="C15" s="48"/>
      <c r="D15" s="48"/>
      <c r="E15" s="1"/>
      <c r="F15" s="16"/>
      <c r="G15" s="4"/>
      <c r="H15" s="14"/>
    </row>
    <row r="16" spans="1:12" ht="17.25" customHeight="1" x14ac:dyDescent="0.3">
      <c r="A16" s="5"/>
      <c r="B16" s="36" t="s">
        <v>28</v>
      </c>
      <c r="C16" s="36"/>
      <c r="D16" s="36"/>
      <c r="E16" s="4"/>
      <c r="F16" s="4">
        <v>1</v>
      </c>
      <c r="G16" s="4" t="s">
        <v>47</v>
      </c>
      <c r="H16" s="23" t="str">
        <f>HYPERLINK("#G16",CHAR(128))</f>
        <v>€</v>
      </c>
    </row>
    <row r="17" spans="1:14" ht="17.25" customHeight="1" x14ac:dyDescent="0.3">
      <c r="A17" s="2"/>
      <c r="B17" s="40" t="s">
        <v>22</v>
      </c>
      <c r="C17" s="40"/>
      <c r="D17" s="40"/>
      <c r="E17" s="1"/>
      <c r="F17" s="16">
        <v>1</v>
      </c>
      <c r="G17" s="4" t="s">
        <v>47</v>
      </c>
      <c r="H17" s="23" t="str">
        <f>HYPERLINK("#G17",CHAR(128))</f>
        <v>€</v>
      </c>
    </row>
    <row r="18" spans="1:14" ht="17.25" customHeight="1" x14ac:dyDescent="0.3">
      <c r="A18" s="5"/>
      <c r="B18" s="36" t="s">
        <v>29</v>
      </c>
      <c r="C18" s="36"/>
      <c r="D18" s="36"/>
      <c r="E18" s="4"/>
      <c r="F18" s="4">
        <v>1</v>
      </c>
      <c r="G18" s="4" t="s">
        <v>47</v>
      </c>
      <c r="H18" s="23" t="str">
        <f>HYPERLINK("#G18",CHAR(128))</f>
        <v>€</v>
      </c>
    </row>
    <row r="19" spans="1:14" ht="17.25" customHeight="1" x14ac:dyDescent="0.3">
      <c r="A19" s="2"/>
      <c r="B19" s="40" t="s">
        <v>30</v>
      </c>
      <c r="C19" s="40"/>
      <c r="D19" s="40"/>
      <c r="E19" s="1"/>
      <c r="F19" s="16">
        <v>1</v>
      </c>
      <c r="G19" s="4" t="s">
        <v>47</v>
      </c>
      <c r="H19" s="23" t="str">
        <f>HYPERLINK("#G19",CHAR(128))</f>
        <v>€</v>
      </c>
    </row>
    <row r="20" spans="1:14" ht="17.25" customHeight="1" x14ac:dyDescent="0.3">
      <c r="A20" s="5"/>
      <c r="B20" s="45"/>
      <c r="C20" s="46"/>
      <c r="D20" s="47"/>
      <c r="E20" s="4"/>
      <c r="F20" s="4"/>
      <c r="G20" s="4"/>
      <c r="H20" s="14"/>
    </row>
    <row r="21" spans="1:14" ht="15" x14ac:dyDescent="0.3">
      <c r="A21" s="2"/>
      <c r="B21" s="40" t="s">
        <v>33</v>
      </c>
      <c r="C21" s="40"/>
      <c r="D21" s="40"/>
      <c r="E21" s="9"/>
      <c r="F21" s="16">
        <v>1</v>
      </c>
      <c r="G21" s="4" t="s">
        <v>47</v>
      </c>
      <c r="H21" s="23" t="str">
        <f>HYPERLINK("#G21",CHAR(128))</f>
        <v>€</v>
      </c>
    </row>
    <row r="22" spans="1:14" ht="15" x14ac:dyDescent="0.3">
      <c r="A22" s="5"/>
      <c r="B22" s="36" t="s">
        <v>31</v>
      </c>
      <c r="C22" s="36"/>
      <c r="D22" s="36"/>
      <c r="E22" s="4"/>
      <c r="F22" s="4">
        <v>1</v>
      </c>
      <c r="G22" s="4" t="s">
        <v>47</v>
      </c>
      <c r="H22" s="23" t="str">
        <f>HYPERLINK("#G22",CHAR(128))</f>
        <v>€</v>
      </c>
      <c r="N22" s="2"/>
    </row>
    <row r="23" spans="1:14" ht="15" x14ac:dyDescent="0.3">
      <c r="A23" s="2"/>
      <c r="B23" s="40" t="s">
        <v>50</v>
      </c>
      <c r="C23" s="40"/>
      <c r="D23" s="40"/>
      <c r="E23" s="1"/>
      <c r="F23" s="16">
        <v>1</v>
      </c>
      <c r="G23" s="4" t="s">
        <v>47</v>
      </c>
      <c r="H23" s="22" t="str">
        <f>HYPERLINK("#G23",CHAR(128))</f>
        <v>€</v>
      </c>
    </row>
    <row r="24" spans="1:14" x14ac:dyDescent="0.3">
      <c r="A24" s="5"/>
      <c r="B24" s="36" t="s">
        <v>32</v>
      </c>
      <c r="C24" s="36"/>
      <c r="D24" s="36"/>
      <c r="E24" s="4"/>
      <c r="F24" s="4">
        <v>1</v>
      </c>
      <c r="G24" s="4" t="s">
        <v>47</v>
      </c>
      <c r="H24" s="22" t="str">
        <f>HYPERLINK("#G24",CHAR(128))</f>
        <v>€</v>
      </c>
    </row>
    <row r="25" spans="1:14" x14ac:dyDescent="0.3">
      <c r="A25" s="2"/>
      <c r="B25" s="40"/>
      <c r="C25" s="40"/>
      <c r="D25" s="40"/>
      <c r="E25" s="1"/>
      <c r="F25" s="16"/>
      <c r="G25" s="4"/>
      <c r="H25" s="14"/>
      <c r="I25" s="12"/>
    </row>
    <row r="26" spans="1:14" x14ac:dyDescent="0.3">
      <c r="A26" s="5"/>
      <c r="B26" s="36" t="s">
        <v>37</v>
      </c>
      <c r="C26" s="36"/>
      <c r="D26" s="36"/>
      <c r="E26" s="4">
        <f>C2</f>
        <v>0</v>
      </c>
      <c r="F26" s="4">
        <v>1</v>
      </c>
      <c r="G26" s="4" t="s">
        <v>47</v>
      </c>
      <c r="H26" s="24" t="str">
        <f>HYPERLINK("#G26",CHAR(128))</f>
        <v>€</v>
      </c>
    </row>
    <row r="28" spans="1:14" x14ac:dyDescent="0.3">
      <c r="J28" s="18"/>
    </row>
    <row r="29" spans="1:14" x14ac:dyDescent="0.3">
      <c r="A29" s="20"/>
      <c r="B29" s="39" t="s">
        <v>52</v>
      </c>
      <c r="C29" s="39"/>
      <c r="D29" s="39"/>
      <c r="E29" s="20" t="s">
        <v>8</v>
      </c>
      <c r="F29" s="20" t="s">
        <v>35</v>
      </c>
      <c r="G29" s="21" t="s">
        <v>36</v>
      </c>
    </row>
    <row r="30" spans="1:14" x14ac:dyDescent="0.3">
      <c r="A30" s="3"/>
      <c r="B30" s="36"/>
      <c r="C30" s="36"/>
      <c r="D30" s="36"/>
      <c r="E30" s="4"/>
      <c r="F30" s="10">
        <v>1</v>
      </c>
      <c r="G30" s="17"/>
      <c r="H30" s="19" t="str">
        <f>HYPERLINK("#G30",CHAR(128))</f>
        <v>€</v>
      </c>
    </row>
    <row r="31" spans="1:14" x14ac:dyDescent="0.3">
      <c r="A31" s="2"/>
      <c r="B31" s="40"/>
      <c r="C31" s="40"/>
      <c r="D31" s="40"/>
      <c r="E31" s="1"/>
      <c r="F31" s="16">
        <v>1</v>
      </c>
      <c r="G31" s="26"/>
      <c r="H31" s="19" t="str">
        <f>HYPERLINK("#G31",CHAR(128))</f>
        <v>€</v>
      </c>
    </row>
    <row r="32" spans="1:14" x14ac:dyDescent="0.3">
      <c r="A32" s="3"/>
      <c r="B32" s="36"/>
      <c r="C32" s="36"/>
      <c r="D32" s="36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40"/>
      <c r="C33" s="40"/>
      <c r="D33" s="40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36"/>
      <c r="C34" s="36"/>
      <c r="D34" s="36"/>
      <c r="E34" s="4"/>
      <c r="F34" s="4">
        <v>1</v>
      </c>
      <c r="G34" s="27"/>
      <c r="H34" s="19" t="str">
        <f>HYPERLINK("#G34",CHAR(128))</f>
        <v>€</v>
      </c>
    </row>
  </sheetData>
  <mergeCells count="37">
    <mergeCell ref="B31:D31"/>
    <mergeCell ref="B32:D32"/>
    <mergeCell ref="B33:D33"/>
    <mergeCell ref="B34:D34"/>
    <mergeCell ref="B23:D23"/>
    <mergeCell ref="B24:D24"/>
    <mergeCell ref="B21:D21"/>
    <mergeCell ref="B15:D15"/>
    <mergeCell ref="B30:D30"/>
    <mergeCell ref="B16:D16"/>
    <mergeCell ref="B17:D17"/>
    <mergeCell ref="B18:D18"/>
    <mergeCell ref="B19:D19"/>
    <mergeCell ref="B22:D22"/>
    <mergeCell ref="B29:D29"/>
    <mergeCell ref="B26:D26"/>
    <mergeCell ref="B25:D25"/>
    <mergeCell ref="B20:D20"/>
    <mergeCell ref="A1:A2"/>
    <mergeCell ref="B14:D14"/>
    <mergeCell ref="B10:D10"/>
    <mergeCell ref="B11:D11"/>
    <mergeCell ref="B12:D12"/>
    <mergeCell ref="B13:D13"/>
    <mergeCell ref="B5:D5"/>
    <mergeCell ref="C1:D1"/>
    <mergeCell ref="B6:D6"/>
    <mergeCell ref="B7:D7"/>
    <mergeCell ref="B8:D8"/>
    <mergeCell ref="B9:D9"/>
    <mergeCell ref="E1:F1"/>
    <mergeCell ref="C2:D2"/>
    <mergeCell ref="E2:F2"/>
    <mergeCell ref="B3:D3"/>
    <mergeCell ref="B4:D4"/>
    <mergeCell ref="E3:F3"/>
    <mergeCell ref="E4:F4"/>
  </mergeCells>
  <conditionalFormatting sqref="G6:G26">
    <cfRule type="cellIs" dxfId="7" priority="1" operator="equal">
      <formula>"Returned"</formula>
    </cfRule>
    <cfRule type="cellIs" dxfId="6" priority="11" operator="equal">
      <formula>"Ready To Order"</formula>
    </cfRule>
    <cfRule type="containsText" dxfId="5" priority="12" operator="containsText" text="UNP">
      <formula>NOT(ISERROR(SEARCH("UNP",G6)))</formula>
    </cfRule>
    <cfRule type="containsText" dxfId="4" priority="13" operator="containsText" text="Ordered">
      <formula>NOT(ISERROR(SEARCH("Ordered",G6)))</formula>
    </cfRule>
    <cfRule type="containsText" dxfId="3" priority="14" operator="containsText" text="Pick Up">
      <formula>NOT(ISERROR(SEARCH("Pick Up",G6)))</formula>
    </cfRule>
    <cfRule type="containsText" dxfId="2" priority="15" operator="containsText" text="Complete">
      <formula>NOT(ISERROR(SEARCH("Complete",G6)))</formula>
    </cfRule>
  </conditionalFormatting>
  <conditionalFormatting sqref="G30:G33">
    <cfRule type="containsText" dxfId="1" priority="3" operator="containsText" text="Given">
      <formula>NOT(ISERROR(SEARCH("Given",G30)))</formula>
    </cfRule>
  </conditionalFormatting>
  <conditionalFormatting sqref="G30:G34">
    <cfRule type="containsText" dxfId="0" priority="2" operator="containsText" text="Returned">
      <formula>NOT(ISERROR(SEARCH("Returned",G30)))</formula>
    </cfRule>
  </conditionalFormatting>
  <dataValidations count="3">
    <dataValidation type="decimal" allowBlank="1" showInputMessage="1" showErrorMessage="1" sqref="L2" xr:uid="{7527E896-C660-4838-87BF-DF0EE98B7B8A}">
      <formula1>19</formula1>
      <formula2>26</formula2>
    </dataValidation>
    <dataValidation type="list" allowBlank="1" showInputMessage="1" showErrorMessage="1" sqref="G6:G26" xr:uid="{CFD8070B-3CF9-4334-8473-D077F2C3716E}">
      <formula1>"UNP, Ready To Order, Ordered, Pick Up, Complete, Returned"</formula1>
    </dataValidation>
    <dataValidation type="list" allowBlank="1" showInputMessage="1" showErrorMessage="1" sqref="G30:G34" xr:uid="{01B9C70D-5AF7-4248-9017-6FBE7D1B9D7E}">
      <formula1>"--,Returned, Given"</formula1>
    </dataValidation>
  </dataValidations>
  <hyperlinks>
    <hyperlink ref="A1:A2" location="Menu!A1" display="Back to Menu" xr:uid="{BA8DDA18-7F61-4A99-B731-833B39AFB87C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20" r:id="rId3" name="Button 4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31</xdr:row>
                    <xdr:rowOff>152400</xdr:rowOff>
                  </from>
                  <to>
                    <xdr:col>12</xdr:col>
                    <xdr:colOff>7620</xdr:colOff>
                    <xdr:row>33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1" r:id="rId4" name="Button 5">
              <controlPr defaultSize="0" print="0" autoFill="0" autoPict="0" macro="[0]!Resize">
                <anchor moveWithCells="1" sizeWithCells="1">
                  <from>
                    <xdr:col>10</xdr:col>
                    <xdr:colOff>7620</xdr:colOff>
                    <xdr:row>10</xdr:row>
                    <xdr:rowOff>198120</xdr:rowOff>
                  </from>
                  <to>
                    <xdr:col>12</xdr:col>
                    <xdr:colOff>7620</xdr:colOff>
                    <xdr:row>12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2" r:id="rId5" name="Button 6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205740</xdr:rowOff>
                  </from>
                  <to>
                    <xdr:col>12</xdr:col>
                    <xdr:colOff>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4" r:id="rId6" name="Button 8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213360</xdr:rowOff>
                  </from>
                  <to>
                    <xdr:col>12</xdr:col>
                    <xdr:colOff>30480</xdr:colOff>
                    <xdr:row>21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Menu</vt:lpstr>
      <vt:lpstr>Importing</vt:lpstr>
      <vt:lpstr>Pickup</vt:lpstr>
      <vt:lpstr>Henry_Smith_AB6D98A0</vt:lpstr>
      <vt:lpstr>Alice_Robinson_AB7A73BD</vt:lpstr>
      <vt:lpstr>Liam_Robinson_FD0E829E</vt:lpstr>
      <vt:lpstr>Taylor_White_0556E08D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Rodger Zheng Lu</dc:creator>
  <cp:lastModifiedBy>Lu David</cp:lastModifiedBy>
  <dcterms:created xsi:type="dcterms:W3CDTF">2023-08-20T19:28:09Z</dcterms:created>
  <dcterms:modified xsi:type="dcterms:W3CDTF">2023-12-10T00:30:55Z</dcterms:modified>
</cp:coreProperties>
</file>