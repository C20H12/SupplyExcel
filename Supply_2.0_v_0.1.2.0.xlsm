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"/>
    </mc:Choice>
  </mc:AlternateContent>
  <xr:revisionPtr revIDLastSave="755" documentId="14_{FA42E853-228D-4D71-8A58-6DA085FCE615}" xr6:coauthVersionLast="47" xr6:coauthVersionMax="47" xr10:uidLastSave="{F828AA24-6947-4F34-8F40-417249D9F883}"/>
  <bookViews>
    <workbookView xWindow="-108" yWindow="-108" windowWidth="23256" windowHeight="12456" tabRatio="935" xr2:uid="{01218C0E-FF84-42AC-8993-DD76AC11461D}"/>
  </bookViews>
  <sheets>
    <sheet name="Menu" sheetId="48" r:id="rId1"/>
    <sheet name="Importing" sheetId="124" r:id="rId2"/>
    <sheet name="Frank_Smith_79A3989D" sheetId="141" r:id="rId3"/>
    <sheet name="Template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41" l="1"/>
  <c r="H33" i="141"/>
  <c r="H32" i="141"/>
  <c r="H31" i="141"/>
  <c r="H30" i="141"/>
  <c r="H26" i="141"/>
  <c r="E26" i="141"/>
  <c r="H24" i="141"/>
  <c r="H23" i="141"/>
  <c r="H22" i="141"/>
  <c r="H21" i="141"/>
  <c r="H19" i="141"/>
  <c r="H18" i="141"/>
  <c r="H17" i="141"/>
  <c r="H16" i="141"/>
  <c r="H14" i="141"/>
  <c r="H13" i="141"/>
  <c r="H12" i="141"/>
  <c r="H11" i="141"/>
  <c r="H10" i="141"/>
  <c r="H9" i="141"/>
  <c r="H8" i="141"/>
  <c r="H7" i="141"/>
  <c r="H6" i="141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<sst xmlns="http://schemas.openxmlformats.org/spreadsheetml/2006/main" count="188" uniqueCount="86">
  <si>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</si>
  <si>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</si>
  <si>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</si>
  <si>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</si>
  <si>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</si>
  <si>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</si>
  <si>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</si>
  <si>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</si>
  <si>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</si>
  <si>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</si>
  <si>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</si>
  <si>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</si>
  <si>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</si>
  <si>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</si>
  <si>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</si>
  <si>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</si>
  <si>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</si>
  <si>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</si>
  <si>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</si>
  <si>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</si>
  <si>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</si>
  <si>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</si>
  <si>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</si>
  <si>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</si>
  <si>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</si>
  <si>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</si>
  <si>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</si>
  <si>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</si>
  <si>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</si>
  <si>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</si>
  <si>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</si>
  <si>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</si>
  <si>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</si>
  <si>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</si>
  <si>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</si>
  <si>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</si>
  <si>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</si>
  <si>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</si>
  <si>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</si>
  <si>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</si>
  <si>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</si>
  <si>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</si>
  <si>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</si>
  <si>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</si>
  <si>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Female</t>
  </si>
  <si>
    <t>Hand Length</t>
  </si>
  <si>
    <t>FTU Pants</t>
  </si>
  <si>
    <t>Email</t>
  </si>
  <si>
    <t>Extra Items</t>
  </si>
  <si>
    <t>Heric</t>
  </si>
  <si>
    <t>Hana</t>
  </si>
  <si>
    <t>Last Name</t>
  </si>
  <si>
    <t>Is Male</t>
  </si>
  <si>
    <t>Hip</t>
  </si>
  <si>
    <t>Foot Len</t>
  </si>
  <si>
    <t>Foot Wid</t>
  </si>
  <si>
    <t>Male</t>
  </si>
  <si>
    <t>8405-21-907-9466</t>
  </si>
  <si>
    <t>UNI</t>
  </si>
  <si>
    <t>73DC55A6</t>
  </si>
  <si>
    <t>SOS</t>
  </si>
  <si>
    <t>Returned</t>
  </si>
  <si>
    <t>FSgt</t>
  </si>
  <si>
    <t>Smith</t>
  </si>
  <si>
    <t>Frank</t>
  </si>
  <si>
    <t>Jesus@hotmail.com</t>
  </si>
  <si>
    <t>79A3989D</t>
  </si>
  <si>
    <t>1000-21-059-8062</t>
  </si>
  <si>
    <t>8405-20-003-5848</t>
  </si>
  <si>
    <t>L (66 inch)</t>
  </si>
  <si>
    <t>8440-21-899-1182</t>
  </si>
  <si>
    <t>XL/TG</t>
  </si>
  <si>
    <t>8440-20-006-6068</t>
  </si>
  <si>
    <t>285/104</t>
  </si>
  <si>
    <t>8430-20-006-2554</t>
  </si>
  <si>
    <t>XXL</t>
  </si>
  <si>
    <t>8405-21-920-7281</t>
  </si>
  <si>
    <t>(L/XL - G/TG)</t>
  </si>
  <si>
    <t>8415-20-006-8917</t>
  </si>
  <si>
    <t>8405-20-013-1478</t>
  </si>
  <si>
    <t>11.5D</t>
  </si>
  <si>
    <t>8430-20-A0X-9208</t>
  </si>
  <si>
    <t>8405-21-909-2403</t>
  </si>
  <si>
    <t>REG</t>
  </si>
  <si>
    <t>8440-20-008-7936</t>
  </si>
  <si>
    <t>8405-20-004-7514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</si>
</sst>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n">
        <color indexed="64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13" fillId="0" borderId="13" xfId="0" applyFont="1" applyBorder="1" applyAlignment="1">
      <alignment wrapText="1"/>
    </xf>
    <xf numFmtId="0" fontId="13" fillId="0" borderId="13" xfId="0" applyFont="1" applyBorder="1" applyAlignment="1">
      <alignment horizontal="right" wrapText="1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3" fillId="0" borderId="0" xfId="0" applyFont="1" applyAlignment="1">
      <alignment wrapText="1"/>
    </xf>
    <xf numFmtId="0" fontId="13" fillId="0" borderId="14" xfId="0" applyFont="1" applyBorder="1" applyAlignment="1">
      <alignment horizontal="right" wrapText="1"/>
    </xf>
    <xf numFmtId="22" fontId="0" fillId="0" borderId="0" xfId="0" applyNumberFormat="1"/>
    <xf numFmtId="0" fontId="2" fillId="0" borderId="0" xfId="3"/>
    <xf numFmtId="0" fontId="1" fillId="2" borderId="1" xfId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2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0</xdr:row>
          <xdr:rowOff>0</xdr:rowOff>
        </xdr:from>
        <xdr:to>
          <xdr:col>11</xdr:col>
          <xdr:colOff>60960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335280</xdr:colOff>
          <xdr:row>1</xdr:row>
          <xdr:rowOff>160020</xdr:rowOff>
        </xdr:from>
        <xdr:to>
          <xdr:col>7</xdr:col>
          <xdr:colOff>510540</xdr:colOff>
          <xdr:row>4</xdr:row>
          <xdr:rowOff>99060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525780</xdr:colOff>
          <xdr:row>1</xdr:row>
          <xdr:rowOff>137160</xdr:rowOff>
        </xdr:from>
        <xdr:to>
          <xdr:col>11</xdr:col>
          <xdr:colOff>83820</xdr:colOff>
          <xdr:row>4</xdr:row>
          <xdr:rowOff>76200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22860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2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2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24932" name="Button 4" hidden="1">
              <a:extLst>
                <a:ext uri="{63B3BB69-23CF-44E3-9099-C40C66FF867C}">
                  <a14:compatExt spid="_x0000_s124932"/>
                </a:ext>
                <a:ext uri="{FF2B5EF4-FFF2-40B4-BE49-F238E27FC236}">
                  <a16:creationId xmlns:a16="http://schemas.microsoft.com/office/drawing/2014/main" id="{00000000-0008-0000-0200-000004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29</xdr:row>
          <xdr:rowOff>0</xdr:rowOff>
        </xdr:from>
        <xdr:to>
          <xdr:col>12</xdr:col>
          <xdr:colOff>7620</xdr:colOff>
          <xdr:row>31</xdr:row>
          <xdr:rowOff>0</xdr:rowOff>
        </xdr:to>
        <xdr:sp macro="" textlink="">
          <xdr:nvSpPr>
            <xdr:cNvPr id="124933" name="Button 5" hidden="1">
              <a:extLst>
                <a:ext uri="{63B3BB69-23CF-44E3-9099-C40C66FF867C}">
                  <a14:compatExt spid="_x0000_s124933"/>
                </a:ext>
                <a:ext uri="{FF2B5EF4-FFF2-40B4-BE49-F238E27FC236}">
                  <a16:creationId xmlns:a16="http://schemas.microsoft.com/office/drawing/2014/main" id="{00000000-0008-0000-0200-000005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29</xdr:row>
          <xdr:rowOff>0</xdr:rowOff>
        </xdr:from>
        <xdr:to>
          <xdr:col>12</xdr:col>
          <xdr:colOff>7620</xdr:colOff>
          <xdr:row>31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25" dataDxfId="23" headerRowBorderDxfId="24" tableBorderDxfId="22" totalsRowBorderDxfId="21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20" dataCellStyle="Hyperlink"/>
    <tableColumn id="2" xr3:uid="{2B90B92F-5F96-4EDA-9BBB-0E797162ECC4}" name="First Name" dataDxfId="19" dataCellStyle="Hyperlink"/>
    <tableColumn id="8" xr3:uid="{CFE0A41F-FE26-4CF3-BAA8-F6CEC7B006D4}" name="Status" dataDxfId="18" dataCellStyle="Hyperlink"/>
    <tableColumn id="3" xr3:uid="{EBBDE5FC-4AD9-4996-A6CE-25D9B52D4D03}" name="Date" dataDxfId="17"/>
    <tableColumn id="4" xr3:uid="{854BBB0E-E50E-4F6C-90CC-6180E0CE5D32}" name="ID" dataDxfId="16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abSelected="1" zoomScale="106" workbookViewId="0">
      <selection activeCell="D17" sqref="D17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32" t="s">
        <v>49</v>
      </c>
      <c r="B2" s="30" t="s">
        <v>50</v>
      </c>
      <c r="C2" s="31" t="s">
        <v>60</v>
      </c>
      <c r="D2" s="35">
        <v>45266.833587962959</v>
      </c>
      <c r="E2" s="36" t="s">
        <v>59</v>
      </c>
    </row>
    <row r="3" spans="1:5" x14ac:dyDescent="0.3">
      <c r="A3" s="32" t="s">
        <v>63</v>
      </c>
      <c r="B3" s="30" t="s">
        <v>64</v>
      </c>
      <c r="C3" s="31"/>
      <c r="D3" s="35">
        <v>45269.803472222222</v>
      </c>
      <c r="E3" s="36" t="s">
        <v>66</v>
      </c>
    </row>
    <row r="4" spans="1:5" x14ac:dyDescent="0.3">
      <c r="A4" s="32"/>
      <c r="B4" s="30"/>
      <c r="C4" s="31"/>
      <c r="D4" s="35"/>
      <c r="E4" s="36"/>
    </row>
    <row r="5" spans="1:5" x14ac:dyDescent="0.3">
      <c r="A5" s="41"/>
      <c r="D5" s="40"/>
    </row>
    <row r="6" spans="1:5" x14ac:dyDescent="0.3">
      <c r="A6" s="41"/>
      <c r="D6" s="40"/>
    </row>
    <row r="7" spans="1:5" x14ac:dyDescent="0.3">
      <c r="A7" s="41"/>
      <c r="D7" s="40"/>
    </row>
  </sheetData>
  <conditionalFormatting sqref="C2:C4">
    <cfRule type="containsText" dxfId="31" priority="1" operator="containsText" text="UNP">
      <formula>NOT(ISERROR(SEARCH("UNP",C2)))</formula>
    </cfRule>
    <cfRule type="containsText" dxfId="30" priority="2" operator="containsText" text="Pick Up">
      <formula>NOT(ISERROR(SEARCH("Pick Up",C2)))</formula>
    </cfRule>
    <cfRule type="cellIs" dxfId="29" priority="7" operator="equal">
      <formula>"Ready To Order"</formula>
    </cfRule>
    <cfRule type="containsText" dxfId="28" priority="8" operator="containsText" text="Ordered">
      <formula>NOT(ISERROR(SEARCH("Ordered",C2)))</formula>
    </cfRule>
    <cfRule type="containsText" dxfId="27" priority="9" operator="containsText" text="Complete">
      <formula>NOT(ISERROR(SEARCH("Complete",C2)))</formula>
    </cfRule>
    <cfRule type="cellIs" dxfId="26" priority="10" operator="equal">
      <formula>"Returned"</formula>
    </cfRule>
  </conditionalFormatting>
  <hyperlinks>
    <hyperlink ref="A2" location="'Hana_Heric_73DC55A6'!A1" display="Heric" xr:uid="{0DB542DC-62CF-4264-AB24-2A25F3AE643C}"/>
    <hyperlink ref="A3" location="'Frank_Smith_79A3989D'!A1" display="Smith" xr:uid="{C2C886DB-A5F5-459C-B5CF-E7FF155F892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>
                  <from>
                    <xdr:col>8</xdr:col>
                    <xdr:colOff>495300</xdr:colOff>
                    <xdr:row>0</xdr:row>
                    <xdr:rowOff>0</xdr:rowOff>
                  </from>
                  <to>
                    <xdr:col>11</xdr:col>
                    <xdr:colOff>60960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>
                  <from>
                    <xdr:col>5</xdr:col>
                    <xdr:colOff>335280</xdr:colOff>
                    <xdr:row>1</xdr:row>
                    <xdr:rowOff>160020</xdr:rowOff>
                  </from>
                  <to>
                    <xdr:col>7</xdr:col>
                    <xdr:colOff>510540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>
                  <from>
                    <xdr:col>8</xdr:col>
                    <xdr:colOff>525780</xdr:colOff>
                    <xdr:row>1</xdr:row>
                    <xdr:rowOff>137160</xdr:rowOff>
                  </from>
                  <to>
                    <xdr:col>11</xdr:col>
                    <xdr:colOff>83820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37"/>
  <sheetViews>
    <sheetView workbookViewId="0">
      <selection activeCell="I9" sqref="I9"/>
    </sheetView>
  </sheetViews>
  <sheetFormatPr defaultRowHeight="14.4" x14ac:dyDescent="0.3"/>
  <sheetData>
    <row r="1" spans="1:13" ht="37.950000000000003" customHeight="1" thickBot="1" x14ac:dyDescent="0.35">
      <c r="A1" s="37" t="s">
        <v>47</v>
      </c>
      <c r="B1" s="37" t="s">
        <v>51</v>
      </c>
      <c r="C1" s="37" t="s">
        <v>2</v>
      </c>
      <c r="D1" s="37" t="s">
        <v>52</v>
      </c>
      <c r="E1" s="37" t="s">
        <v>9</v>
      </c>
      <c r="F1" s="37" t="s">
        <v>11</v>
      </c>
      <c r="G1" s="37" t="s">
        <v>12</v>
      </c>
      <c r="H1" s="37" t="s">
        <v>13</v>
      </c>
      <c r="I1" s="37" t="s">
        <v>53</v>
      </c>
      <c r="J1" s="37" t="s">
        <v>15</v>
      </c>
      <c r="K1" s="37" t="s">
        <v>54</v>
      </c>
      <c r="L1" s="37" t="s">
        <v>55</v>
      </c>
    </row>
    <row r="2" spans="1:13" ht="15" thickBot="1" x14ac:dyDescent="0.35">
      <c r="A2" s="33"/>
      <c r="B2" s="33" t="s">
        <v>49</v>
      </c>
      <c r="C2" s="33" t="s">
        <v>50</v>
      </c>
      <c r="D2" s="33" t="s">
        <v>44</v>
      </c>
      <c r="E2" s="34">
        <v>21</v>
      </c>
      <c r="F2" s="34">
        <v>14</v>
      </c>
      <c r="G2" s="34">
        <v>34.5</v>
      </c>
      <c r="H2" s="34">
        <v>30</v>
      </c>
      <c r="I2" s="34">
        <v>39</v>
      </c>
      <c r="J2" s="34">
        <v>62</v>
      </c>
      <c r="K2" s="34">
        <v>240</v>
      </c>
      <c r="L2" s="39">
        <v>95</v>
      </c>
      <c r="M2" s="38"/>
    </row>
    <row r="3" spans="1:13" x14ac:dyDescent="0.3">
      <c r="A3" s="38"/>
    </row>
    <row r="4" spans="1:13" x14ac:dyDescent="0.3">
      <c r="A4" s="38"/>
    </row>
    <row r="5" spans="1:13" x14ac:dyDescent="0.3">
      <c r="A5" s="38"/>
    </row>
    <row r="6" spans="1:13" x14ac:dyDescent="0.3">
      <c r="A6" s="38"/>
    </row>
    <row r="7" spans="1:13" x14ac:dyDescent="0.3">
      <c r="A7" s="38"/>
    </row>
    <row r="8" spans="1:13" x14ac:dyDescent="0.3">
      <c r="A8" s="38"/>
    </row>
    <row r="9" spans="1:13" x14ac:dyDescent="0.3">
      <c r="A9" s="38"/>
    </row>
    <row r="10" spans="1:13" x14ac:dyDescent="0.3">
      <c r="A10" s="38"/>
    </row>
    <row r="11" spans="1:13" x14ac:dyDescent="0.3">
      <c r="A11" s="38"/>
    </row>
    <row r="12" spans="1:13" x14ac:dyDescent="0.3">
      <c r="A12" s="38"/>
    </row>
    <row r="13" spans="1:13" x14ac:dyDescent="0.3">
      <c r="A13" s="38"/>
    </row>
    <row r="14" spans="1:13" x14ac:dyDescent="0.3">
      <c r="A14" s="38"/>
    </row>
    <row r="15" spans="1:13" x14ac:dyDescent="0.3">
      <c r="A15" s="38"/>
    </row>
    <row r="16" spans="1:13" x14ac:dyDescent="0.3">
      <c r="A16" s="38"/>
    </row>
    <row r="17" spans="1:1" x14ac:dyDescent="0.3">
      <c r="A17" s="38"/>
    </row>
    <row r="18" spans="1:1" x14ac:dyDescent="0.3">
      <c r="A18" s="38"/>
    </row>
    <row r="19" spans="1:1" x14ac:dyDescent="0.3">
      <c r="A19" s="38"/>
    </row>
    <row r="20" spans="1:1" x14ac:dyDescent="0.3">
      <c r="A20" s="38"/>
    </row>
    <row r="21" spans="1:1" x14ac:dyDescent="0.3">
      <c r="A21" s="38"/>
    </row>
    <row r="22" spans="1:1" x14ac:dyDescent="0.3">
      <c r="A22" s="38"/>
    </row>
    <row r="23" spans="1:1" x14ac:dyDescent="0.3">
      <c r="A23" s="38"/>
    </row>
    <row r="24" spans="1:1" x14ac:dyDescent="0.3">
      <c r="A24" s="38"/>
    </row>
    <row r="25" spans="1:1" x14ac:dyDescent="0.3">
      <c r="A25" s="38"/>
    </row>
    <row r="26" spans="1:1" x14ac:dyDescent="0.3">
      <c r="A26" s="38"/>
    </row>
    <row r="27" spans="1:1" x14ac:dyDescent="0.3">
      <c r="A27" s="38"/>
    </row>
    <row r="28" spans="1:1" x14ac:dyDescent="0.3">
      <c r="A28" s="38"/>
    </row>
    <row r="29" spans="1:1" x14ac:dyDescent="0.3">
      <c r="A29" s="38"/>
    </row>
    <row r="30" spans="1:1" x14ac:dyDescent="0.3">
      <c r="A30" s="38"/>
    </row>
    <row r="31" spans="1:1" x14ac:dyDescent="0.3">
      <c r="A31" s="38"/>
    </row>
    <row r="32" spans="1:1" x14ac:dyDescent="0.3">
      <c r="A32" s="38"/>
    </row>
    <row r="33" spans="1:1" x14ac:dyDescent="0.3">
      <c r="A33" s="38"/>
    </row>
    <row r="34" spans="1:1" x14ac:dyDescent="0.3">
      <c r="A34" s="38"/>
    </row>
    <row r="35" spans="1:1" x14ac:dyDescent="0.3">
      <c r="A35" s="38"/>
    </row>
    <row r="36" spans="1:1" x14ac:dyDescent="0.3">
      <c r="A36" s="38"/>
    </row>
    <row r="37" spans="1:1" x14ac:dyDescent="0.3">
      <c r="A37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F2D5-9AB2-4A74-B99A-63C938EB9CE5}">
  <sheetPr codeName="Sheet12"/>
  <dimension ref="A1:L34"/>
  <sheetViews>
    <sheetView workbookViewId="0">
      <selection activeCell="T9" sqref="S9:T10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2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53"/>
      <c r="B2" s="2" t="s">
        <v>62</v>
      </c>
      <c r="C2" s="46" t="s">
        <v>63</v>
      </c>
      <c r="D2" s="46"/>
      <c r="E2" s="46" t="s">
        <v>64</v>
      </c>
      <c r="F2" s="46"/>
      <c r="G2" s="1" t="s">
        <v>66</v>
      </c>
      <c r="K2" s="4" t="s">
        <v>9</v>
      </c>
      <c r="L2" s="4">
        <v>23.9</v>
      </c>
    </row>
    <row r="3" spans="1:12" x14ac:dyDescent="0.3">
      <c r="A3" s="20" t="s">
        <v>1</v>
      </c>
      <c r="B3" s="54" t="s">
        <v>4</v>
      </c>
      <c r="C3" s="55"/>
      <c r="D3" s="56"/>
      <c r="E3" s="54" t="s">
        <v>47</v>
      </c>
      <c r="F3" s="56"/>
      <c r="G3" s="20" t="s">
        <v>5</v>
      </c>
      <c r="K3" s="1" t="s">
        <v>11</v>
      </c>
      <c r="L3" s="1">
        <v>17.899999999999999</v>
      </c>
    </row>
    <row r="4" spans="1:12" x14ac:dyDescent="0.3">
      <c r="A4" s="1" t="s">
        <v>39</v>
      </c>
      <c r="B4" s="51">
        <v>7345806215</v>
      </c>
      <c r="C4" s="51"/>
      <c r="D4" s="51"/>
      <c r="E4" s="46" t="s">
        <v>65</v>
      </c>
      <c r="F4" s="46"/>
      <c r="G4" s="1" t="s">
        <v>56</v>
      </c>
      <c r="K4" s="4" t="s">
        <v>12</v>
      </c>
      <c r="L4" s="4">
        <v>63.1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32</v>
      </c>
    </row>
    <row r="6" spans="1:12" x14ac:dyDescent="0.3">
      <c r="A6" s="3" t="s">
        <v>67</v>
      </c>
      <c r="B6" s="42" t="s">
        <v>18</v>
      </c>
      <c r="C6" s="42"/>
      <c r="D6" s="42"/>
      <c r="E6" s="4">
        <v>8062</v>
      </c>
      <c r="F6" s="4">
        <v>1</v>
      </c>
      <c r="G6" s="25" t="s">
        <v>43</v>
      </c>
      <c r="H6" s="28" t="str">
        <f>HYPERLINK("#G6",CHAR(128))</f>
        <v>€</v>
      </c>
      <c r="K6" s="4" t="s">
        <v>14</v>
      </c>
      <c r="L6" s="4">
        <v>32</v>
      </c>
    </row>
    <row r="7" spans="1:12" x14ac:dyDescent="0.3">
      <c r="A7" s="2"/>
      <c r="B7" s="46" t="s">
        <v>21</v>
      </c>
      <c r="C7" s="46"/>
      <c r="D7" s="46"/>
      <c r="E7" s="1"/>
      <c r="F7" s="16">
        <v>1</v>
      </c>
      <c r="G7" s="4" t="s">
        <v>43</v>
      </c>
      <c r="H7" s="28" t="str">
        <f>HYPERLINK("#G7",CHAR(128))</f>
        <v>€</v>
      </c>
      <c r="K7" s="1" t="s">
        <v>15</v>
      </c>
      <c r="L7" s="1">
        <v>69.3</v>
      </c>
    </row>
    <row r="8" spans="1:12" x14ac:dyDescent="0.3">
      <c r="A8" s="3"/>
      <c r="B8" s="42" t="s">
        <v>19</v>
      </c>
      <c r="C8" s="42"/>
      <c r="D8" s="42"/>
      <c r="E8" s="4"/>
      <c r="F8" s="4">
        <v>1</v>
      </c>
      <c r="G8" s="4" t="s">
        <v>43</v>
      </c>
      <c r="H8" s="28" t="str">
        <f>HYPERLINK("#G8",CHAR(128))</f>
        <v>€</v>
      </c>
      <c r="K8" s="4" t="s">
        <v>16</v>
      </c>
      <c r="L8" s="4">
        <v>284.5</v>
      </c>
    </row>
    <row r="9" spans="1:12" x14ac:dyDescent="0.3">
      <c r="A9" s="2" t="s">
        <v>82</v>
      </c>
      <c r="B9" s="46" t="s">
        <v>20</v>
      </c>
      <c r="C9" s="46"/>
      <c r="D9" s="46"/>
      <c r="E9" s="1">
        <v>7032</v>
      </c>
      <c r="F9" s="16">
        <v>1</v>
      </c>
      <c r="G9" s="4" t="s">
        <v>43</v>
      </c>
      <c r="H9" s="28" t="str">
        <f>HYPERLINK("#G9",CHAR(128))</f>
        <v>€</v>
      </c>
      <c r="I9" s="11"/>
      <c r="K9" s="1" t="s">
        <v>17</v>
      </c>
      <c r="L9" s="1">
        <v>99.4</v>
      </c>
    </row>
    <row r="10" spans="1:12" x14ac:dyDescent="0.3">
      <c r="A10" s="3" t="s">
        <v>68</v>
      </c>
      <c r="B10" s="42" t="s">
        <v>24</v>
      </c>
      <c r="C10" s="42"/>
      <c r="D10" s="42"/>
      <c r="E10" s="8">
        <v>7.75</v>
      </c>
      <c r="F10" s="4">
        <v>1</v>
      </c>
      <c r="G10" s="4" t="s">
        <v>43</v>
      </c>
      <c r="H10" s="28" t="str">
        <f>HYPERLINK("#G10",CHAR(128))</f>
        <v>€</v>
      </c>
      <c r="K10" s="15" t="s">
        <v>45</v>
      </c>
      <c r="L10" s="15">
        <v>9.9</v>
      </c>
    </row>
    <row r="11" spans="1:12" x14ac:dyDescent="0.3">
      <c r="A11" s="2" t="s">
        <v>70</v>
      </c>
      <c r="B11" s="46" t="s">
        <v>23</v>
      </c>
      <c r="C11" s="46"/>
      <c r="D11" s="46"/>
      <c r="E11" s="1" t="s">
        <v>69</v>
      </c>
      <c r="F11" s="16">
        <v>1</v>
      </c>
      <c r="G11" s="4" t="s">
        <v>43</v>
      </c>
      <c r="H11" s="28" t="str">
        <f>HYPERLINK("#G11",CHAR(128))</f>
        <v>€</v>
      </c>
    </row>
    <row r="12" spans="1:12" x14ac:dyDescent="0.3">
      <c r="A12" s="5" t="s">
        <v>84</v>
      </c>
      <c r="B12" s="42" t="s">
        <v>25</v>
      </c>
      <c r="C12" s="42"/>
      <c r="D12" s="42"/>
      <c r="E12" s="4" t="s">
        <v>83</v>
      </c>
      <c r="F12" s="4">
        <v>1</v>
      </c>
      <c r="G12" s="4" t="s">
        <v>43</v>
      </c>
      <c r="H12" s="28" t="str">
        <f>HYPERLINK("#G12",CHAR(128))</f>
        <v>€</v>
      </c>
    </row>
    <row r="13" spans="1:12" x14ac:dyDescent="0.3">
      <c r="A13" s="2" t="s">
        <v>72</v>
      </c>
      <c r="B13" s="46" t="s">
        <v>26</v>
      </c>
      <c r="C13" s="46"/>
      <c r="D13" s="46"/>
      <c r="E13" s="1" t="s">
        <v>71</v>
      </c>
      <c r="F13" s="16">
        <v>1</v>
      </c>
      <c r="G13" s="4" t="s">
        <v>43</v>
      </c>
      <c r="H13" s="28" t="str">
        <f>HYPERLINK("#G13",CHAR(128))</f>
        <v>€</v>
      </c>
    </row>
    <row r="14" spans="1:12" x14ac:dyDescent="0.3">
      <c r="A14" s="5" t="s">
        <v>74</v>
      </c>
      <c r="B14" s="42" t="s">
        <v>27</v>
      </c>
      <c r="C14" s="42"/>
      <c r="D14" s="42"/>
      <c r="E14" s="4" t="s">
        <v>73</v>
      </c>
      <c r="F14" s="4">
        <v>1</v>
      </c>
      <c r="G14" s="4" t="s">
        <v>43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4"/>
      <c r="H15" s="14"/>
    </row>
    <row r="16" spans="1:12" x14ac:dyDescent="0.3">
      <c r="A16" s="5" t="s">
        <v>57</v>
      </c>
      <c r="B16" s="42" t="s">
        <v>28</v>
      </c>
      <c r="C16" s="42"/>
      <c r="D16" s="42"/>
      <c r="E16" s="4" t="s">
        <v>58</v>
      </c>
      <c r="F16" s="4">
        <v>1</v>
      </c>
      <c r="G16" s="4" t="s">
        <v>43</v>
      </c>
      <c r="H16" s="23" t="str">
        <f>HYPERLINK("#G16",CHAR(128))</f>
        <v>€</v>
      </c>
    </row>
    <row r="17" spans="1:10" x14ac:dyDescent="0.3">
      <c r="A17" s="2" t="s">
        <v>76</v>
      </c>
      <c r="B17" s="46" t="s">
        <v>22</v>
      </c>
      <c r="C17" s="46"/>
      <c r="D17" s="46"/>
      <c r="E17" s="1" t="s">
        <v>75</v>
      </c>
      <c r="F17" s="16">
        <v>1</v>
      </c>
      <c r="G17" s="4" t="s">
        <v>43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4" t="s">
        <v>43</v>
      </c>
      <c r="H18" s="23" t="str">
        <f>HYPERLINK("#G18",CHAR(128))</f>
        <v>€</v>
      </c>
    </row>
    <row r="19" spans="1:10" x14ac:dyDescent="0.3">
      <c r="A19" s="2" t="s">
        <v>78</v>
      </c>
      <c r="B19" s="46" t="s">
        <v>30</v>
      </c>
      <c r="C19" s="46"/>
      <c r="D19" s="46"/>
      <c r="E19" s="1" t="s">
        <v>77</v>
      </c>
      <c r="F19" s="16">
        <v>1</v>
      </c>
      <c r="G19" s="4" t="s">
        <v>43</v>
      </c>
      <c r="H19" s="23" t="str">
        <f>HYPERLINK("#G19",CHAR(128))</f>
        <v>€</v>
      </c>
    </row>
    <row r="20" spans="1:10" x14ac:dyDescent="0.3">
      <c r="A20" s="5"/>
      <c r="B20" s="48"/>
      <c r="C20" s="49"/>
      <c r="D20" s="50"/>
      <c r="E20" s="4"/>
      <c r="F20" s="4"/>
      <c r="G20" s="4"/>
      <c r="H20" s="14"/>
    </row>
    <row r="21" spans="1:10" x14ac:dyDescent="0.3">
      <c r="A21" s="2" t="s">
        <v>79</v>
      </c>
      <c r="B21" s="46" t="s">
        <v>33</v>
      </c>
      <c r="C21" s="46"/>
      <c r="D21" s="46"/>
      <c r="E21" s="9">
        <v>7.75</v>
      </c>
      <c r="F21" s="16">
        <v>1</v>
      </c>
      <c r="G21" s="4" t="s">
        <v>43</v>
      </c>
      <c r="H21" s="23" t="str">
        <f>HYPERLINK("#G21",CHAR(128))</f>
        <v>€</v>
      </c>
    </row>
    <row r="22" spans="1:10" x14ac:dyDescent="0.3">
      <c r="A22" s="5"/>
      <c r="B22" s="42" t="s">
        <v>31</v>
      </c>
      <c r="C22" s="42"/>
      <c r="D22" s="42"/>
      <c r="E22" s="4"/>
      <c r="F22" s="4">
        <v>1</v>
      </c>
      <c r="G22" s="4" t="s">
        <v>43</v>
      </c>
      <c r="H22" s="23" t="str">
        <f>HYPERLINK("#G22",CHAR(128))</f>
        <v>€</v>
      </c>
    </row>
    <row r="23" spans="1:10" x14ac:dyDescent="0.3">
      <c r="A23" s="2" t="s">
        <v>85</v>
      </c>
      <c r="B23" s="46" t="s">
        <v>46</v>
      </c>
      <c r="C23" s="46"/>
      <c r="D23" s="46"/>
      <c r="E23" s="1">
        <v>7034</v>
      </c>
      <c r="F23" s="16">
        <v>1</v>
      </c>
      <c r="G23" s="4" t="s">
        <v>43</v>
      </c>
      <c r="H23" s="22" t="str">
        <f>HYPERLINK("#G23",CHAR(128))</f>
        <v>€</v>
      </c>
    </row>
    <row r="24" spans="1:10" x14ac:dyDescent="0.3">
      <c r="A24" s="5" t="s">
        <v>81</v>
      </c>
      <c r="B24" s="42" t="s">
        <v>32</v>
      </c>
      <c r="C24" s="42"/>
      <c r="D24" s="42"/>
      <c r="E24" s="4" t="s">
        <v>80</v>
      </c>
      <c r="F24" s="4">
        <v>1</v>
      </c>
      <c r="G24" s="4" t="s">
        <v>61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4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Smith</v>
      </c>
      <c r="F26" s="4">
        <v>1</v>
      </c>
      <c r="G26" s="4" t="s">
        <v>43</v>
      </c>
      <c r="H26" s="24" t="str">
        <f>HYPERLINK("#G26",CHAR(128))</f>
        <v>€</v>
      </c>
    </row>
    <row r="27" spans="1:10" x14ac:dyDescent="0.3">
      <c r="G27" s="43" t="s">
        <v>60</v>
      </c>
    </row>
    <row r="28" spans="1:10" x14ac:dyDescent="0.3">
      <c r="G28" s="44"/>
      <c r="J28" s="18"/>
    </row>
    <row r="29" spans="1:10" x14ac:dyDescent="0.3">
      <c r="A29" s="20"/>
      <c r="B29" s="45" t="s">
        <v>48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3:D3"/>
    <mergeCell ref="E3:F3"/>
    <mergeCell ref="A1:A2"/>
    <mergeCell ref="C1:D1"/>
    <mergeCell ref="E1:F1"/>
    <mergeCell ref="C2:D2"/>
    <mergeCell ref="E2:F2"/>
    <mergeCell ref="B14:D14"/>
    <mergeCell ref="B4:D4"/>
    <mergeCell ref="E4:F4"/>
    <mergeCell ref="B5:D5"/>
    <mergeCell ref="B6:D6"/>
    <mergeCell ref="B7:D7"/>
    <mergeCell ref="B8:D8"/>
    <mergeCell ref="B9:D9"/>
    <mergeCell ref="B10:D10"/>
    <mergeCell ref="B11:D11"/>
    <mergeCell ref="B12:D12"/>
    <mergeCell ref="B13:D13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4:D34"/>
    <mergeCell ref="G27:G28"/>
    <mergeCell ref="B29:D29"/>
    <mergeCell ref="B30:D30"/>
    <mergeCell ref="B31:D31"/>
    <mergeCell ref="B32:D32"/>
    <mergeCell ref="B33:D3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35C45942-E978-45E6-8882-FA24D9B8CEDA}">
      <formula1>"--,Returned, Given"</formula1>
    </dataValidation>
    <dataValidation type="list" allowBlank="1" showInputMessage="1" showErrorMessage="1" sqref="G6:G26" xr:uid="{259B5E4D-7DF5-4330-AA02-35FFAD3D2B8C}">
      <formula1>"UNP, Ready To Order, Ordered, Pick Up, Complete, Returned"</formula1>
    </dataValidation>
    <dataValidation type="decimal" allowBlank="1" showInputMessage="1" showErrorMessage="1" sqref="L2" xr:uid="{DF29B0BD-D0EF-4FDD-899D-990EA4F53547}">
      <formula1>19</formula1>
      <formula2>26</formula2>
    </dataValidation>
  </dataValidations>
  <hyperlinks>
    <hyperlink ref="A1:A2" location="Menu!A1" display="Back to Menu" xr:uid="{8E21AF48-EFF2-472F-84CE-5E436536C9F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1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3" r:id="rId7" name="Button 5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29</xdr:row>
                    <xdr:rowOff>0</xdr:rowOff>
                  </from>
                  <to>
                    <xdr:col>12</xdr:col>
                    <xdr:colOff>7620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topLeftCell="B17" zoomScale="96" zoomScaleNormal="100" workbookViewId="0">
      <selection activeCell="O30" sqref="O30"/>
    </sheetView>
  </sheetViews>
  <sheetFormatPr defaultRowHeight="14.4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52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53"/>
      <c r="B2" s="2"/>
      <c r="C2" s="46"/>
      <c r="D2" s="46"/>
      <c r="E2" s="46"/>
      <c r="F2" s="46"/>
      <c r="G2" s="1"/>
      <c r="K2" s="4" t="s">
        <v>9</v>
      </c>
      <c r="L2" s="4"/>
    </row>
    <row r="3" spans="1:12" ht="17.25" customHeight="1" x14ac:dyDescent="0.3">
      <c r="A3" s="20" t="s">
        <v>1</v>
      </c>
      <c r="B3" s="54" t="s">
        <v>4</v>
      </c>
      <c r="C3" s="55"/>
      <c r="D3" s="56"/>
      <c r="E3" s="54" t="s">
        <v>47</v>
      </c>
      <c r="F3" s="56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1"/>
      <c r="C4" s="51"/>
      <c r="D4" s="51"/>
      <c r="E4" s="46"/>
      <c r="F4" s="46"/>
      <c r="G4" s="1"/>
      <c r="K4" s="4" t="s">
        <v>12</v>
      </c>
      <c r="L4" s="4"/>
    </row>
    <row r="5" spans="1:12" ht="17.25" customHeight="1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2" t="s">
        <v>18</v>
      </c>
      <c r="C6" s="42"/>
      <c r="D6" s="42"/>
      <c r="E6" s="4"/>
      <c r="F6" s="4">
        <v>1</v>
      </c>
      <c r="G6" s="25" t="s">
        <v>43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6" t="s">
        <v>21</v>
      </c>
      <c r="C7" s="46"/>
      <c r="D7" s="46"/>
      <c r="E7" s="1"/>
      <c r="F7" s="16">
        <v>1</v>
      </c>
      <c r="G7" s="4" t="s">
        <v>43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2" t="s">
        <v>19</v>
      </c>
      <c r="C8" s="42"/>
      <c r="D8" s="42"/>
      <c r="E8" s="4"/>
      <c r="F8" s="4">
        <v>1</v>
      </c>
      <c r="G8" s="4" t="s">
        <v>43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46" t="s">
        <v>20</v>
      </c>
      <c r="C9" s="46"/>
      <c r="D9" s="46"/>
      <c r="E9" s="1"/>
      <c r="F9" s="16">
        <v>1</v>
      </c>
      <c r="G9" s="4" t="s">
        <v>43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2" t="s">
        <v>24</v>
      </c>
      <c r="C10" s="42"/>
      <c r="D10" s="42"/>
      <c r="E10" s="8"/>
      <c r="F10" s="4">
        <v>1</v>
      </c>
      <c r="G10" s="4" t="s">
        <v>43</v>
      </c>
      <c r="H10" s="28" t="str">
        <f>HYPERLINK("#G10",CHAR(128))</f>
        <v>€</v>
      </c>
      <c r="K10" s="15" t="s">
        <v>45</v>
      </c>
      <c r="L10" s="15"/>
    </row>
    <row r="11" spans="1:12" ht="17.25" customHeight="1" x14ac:dyDescent="0.3">
      <c r="A11" s="2"/>
      <c r="B11" s="46" t="s">
        <v>23</v>
      </c>
      <c r="C11" s="46"/>
      <c r="D11" s="46"/>
      <c r="E11" s="1"/>
      <c r="F11" s="16">
        <v>1</v>
      </c>
      <c r="G11" s="4" t="s">
        <v>43</v>
      </c>
      <c r="H11" s="28" t="str">
        <f>HYPERLINK("#G11",CHAR(128))</f>
        <v>€</v>
      </c>
    </row>
    <row r="12" spans="1:12" ht="17.25" customHeight="1" x14ac:dyDescent="0.3">
      <c r="A12" s="5"/>
      <c r="B12" s="42" t="s">
        <v>25</v>
      </c>
      <c r="C12" s="42"/>
      <c r="D12" s="42"/>
      <c r="E12" s="4"/>
      <c r="F12" s="4">
        <v>1</v>
      </c>
      <c r="G12" s="4" t="s">
        <v>43</v>
      </c>
      <c r="H12" s="28" t="str">
        <f>HYPERLINK("#G12",CHAR(128))</f>
        <v>€</v>
      </c>
    </row>
    <row r="13" spans="1:12" ht="17.25" customHeight="1" x14ac:dyDescent="0.3">
      <c r="A13" s="2"/>
      <c r="B13" s="46" t="s">
        <v>26</v>
      </c>
      <c r="C13" s="46"/>
      <c r="D13" s="46"/>
      <c r="E13" s="1"/>
      <c r="F13" s="16">
        <v>1</v>
      </c>
      <c r="G13" s="4" t="s">
        <v>43</v>
      </c>
      <c r="H13" s="28" t="str">
        <f>HYPERLINK("#G13",CHAR(128))</f>
        <v>€</v>
      </c>
    </row>
    <row r="14" spans="1:12" ht="17.25" customHeight="1" x14ac:dyDescent="0.3">
      <c r="A14" s="5"/>
      <c r="B14" s="42" t="s">
        <v>27</v>
      </c>
      <c r="C14" s="42"/>
      <c r="D14" s="42"/>
      <c r="E14" s="4"/>
      <c r="F14" s="4">
        <v>1</v>
      </c>
      <c r="G14" s="4" t="s">
        <v>43</v>
      </c>
      <c r="H14" s="28" t="str">
        <f>HYPERLINK("#G14",CHAR(128))</f>
        <v>€</v>
      </c>
    </row>
    <row r="15" spans="1:12" ht="17.25" customHeight="1" x14ac:dyDescent="0.3">
      <c r="A15" s="2"/>
      <c r="B15" s="47"/>
      <c r="C15" s="47"/>
      <c r="D15" s="47"/>
      <c r="E15" s="1"/>
      <c r="F15" s="16"/>
      <c r="G15" s="4"/>
      <c r="H15" s="14"/>
    </row>
    <row r="16" spans="1:12" ht="17.25" customHeight="1" x14ac:dyDescent="0.3">
      <c r="A16" s="5"/>
      <c r="B16" s="42" t="s">
        <v>28</v>
      </c>
      <c r="C16" s="42"/>
      <c r="D16" s="42"/>
      <c r="E16" s="4"/>
      <c r="F16" s="4">
        <v>1</v>
      </c>
      <c r="G16" s="4" t="s">
        <v>43</v>
      </c>
      <c r="H16" s="23" t="str">
        <f>HYPERLINK("#G16",CHAR(128))</f>
        <v>€</v>
      </c>
    </row>
    <row r="17" spans="1:14" ht="17.25" customHeight="1" x14ac:dyDescent="0.3">
      <c r="A17" s="2"/>
      <c r="B17" s="46" t="s">
        <v>22</v>
      </c>
      <c r="C17" s="46"/>
      <c r="D17" s="46"/>
      <c r="E17" s="1"/>
      <c r="F17" s="16">
        <v>1</v>
      </c>
      <c r="G17" s="4" t="s">
        <v>43</v>
      </c>
      <c r="H17" s="23" t="str">
        <f>HYPERLINK("#G17",CHAR(128))</f>
        <v>€</v>
      </c>
    </row>
    <row r="18" spans="1:14" ht="17.25" customHeight="1" x14ac:dyDescent="0.3">
      <c r="A18" s="5"/>
      <c r="B18" s="42" t="s">
        <v>29</v>
      </c>
      <c r="C18" s="42"/>
      <c r="D18" s="42"/>
      <c r="E18" s="4"/>
      <c r="F18" s="4">
        <v>1</v>
      </c>
      <c r="G18" s="4" t="s">
        <v>43</v>
      </c>
      <c r="H18" s="23" t="str">
        <f>HYPERLINK("#G18",CHAR(128))</f>
        <v>€</v>
      </c>
    </row>
    <row r="19" spans="1:14" ht="17.25" customHeight="1" x14ac:dyDescent="0.3">
      <c r="A19" s="2"/>
      <c r="B19" s="46" t="s">
        <v>30</v>
      </c>
      <c r="C19" s="46"/>
      <c r="D19" s="46"/>
      <c r="E19" s="1"/>
      <c r="F19" s="16">
        <v>1</v>
      </c>
      <c r="G19" s="4" t="s">
        <v>43</v>
      </c>
      <c r="H19" s="23" t="str">
        <f>HYPERLINK("#G19",CHAR(128))</f>
        <v>€</v>
      </c>
    </row>
    <row r="20" spans="1:14" ht="17.25" customHeight="1" x14ac:dyDescent="0.3">
      <c r="A20" s="5"/>
      <c r="B20" s="48"/>
      <c r="C20" s="49"/>
      <c r="D20" s="50"/>
      <c r="E20" s="4"/>
      <c r="F20" s="4"/>
      <c r="G20" s="4"/>
      <c r="H20" s="14"/>
    </row>
    <row r="21" spans="1:14" x14ac:dyDescent="0.3">
      <c r="A21" s="2"/>
      <c r="B21" s="46" t="s">
        <v>33</v>
      </c>
      <c r="C21" s="46"/>
      <c r="D21" s="46"/>
      <c r="E21" s="9"/>
      <c r="F21" s="16">
        <v>1</v>
      </c>
      <c r="G21" s="4" t="s">
        <v>43</v>
      </c>
      <c r="H21" s="23" t="str">
        <f>HYPERLINK("#G21",CHAR(128))</f>
        <v>€</v>
      </c>
    </row>
    <row r="22" spans="1:14" x14ac:dyDescent="0.3">
      <c r="A22" s="5"/>
      <c r="B22" s="42" t="s">
        <v>31</v>
      </c>
      <c r="C22" s="42"/>
      <c r="D22" s="42"/>
      <c r="E22" s="4"/>
      <c r="F22" s="4">
        <v>1</v>
      </c>
      <c r="G22" s="4" t="s">
        <v>43</v>
      </c>
      <c r="H22" s="23" t="str">
        <f>HYPERLINK("#G22",CHAR(128))</f>
        <v>€</v>
      </c>
      <c r="N22" s="2"/>
    </row>
    <row r="23" spans="1:14" x14ac:dyDescent="0.3">
      <c r="A23" s="2"/>
      <c r="B23" s="46" t="s">
        <v>46</v>
      </c>
      <c r="C23" s="46"/>
      <c r="D23" s="46"/>
      <c r="E23" s="1"/>
      <c r="F23" s="16">
        <v>1</v>
      </c>
      <c r="G23" s="4" t="s">
        <v>43</v>
      </c>
      <c r="H23" s="22" t="str">
        <f>HYPERLINK("#G23",CHAR(128))</f>
        <v>€</v>
      </c>
    </row>
    <row r="24" spans="1:14" x14ac:dyDescent="0.3">
      <c r="A24" s="5"/>
      <c r="B24" s="42" t="s">
        <v>32</v>
      </c>
      <c r="C24" s="42"/>
      <c r="D24" s="42"/>
      <c r="E24" s="4"/>
      <c r="F24" s="4">
        <v>1</v>
      </c>
      <c r="G24" s="4" t="s">
        <v>61</v>
      </c>
      <c r="H24" s="22" t="str">
        <f>HYPERLINK("#G24",CHAR(128))</f>
        <v>€</v>
      </c>
    </row>
    <row r="25" spans="1:14" x14ac:dyDescent="0.3">
      <c r="A25" s="2"/>
      <c r="B25" s="46"/>
      <c r="C25" s="46"/>
      <c r="D25" s="46"/>
      <c r="E25" s="1"/>
      <c r="F25" s="16"/>
      <c r="G25" s="4"/>
      <c r="H25" s="14"/>
      <c r="I25" s="12"/>
    </row>
    <row r="26" spans="1:14" x14ac:dyDescent="0.3">
      <c r="A26" s="5"/>
      <c r="B26" s="42" t="s">
        <v>37</v>
      </c>
      <c r="C26" s="42"/>
      <c r="D26" s="42"/>
      <c r="E26" s="4">
        <f>C2</f>
        <v>0</v>
      </c>
      <c r="F26" s="4">
        <v>1</v>
      </c>
      <c r="G26" s="4" t="s">
        <v>43</v>
      </c>
      <c r="H26" s="24" t="str">
        <f>HYPERLINK("#G26",CHAR(128))</f>
        <v>€</v>
      </c>
    </row>
    <row r="27" spans="1:14" x14ac:dyDescent="0.3">
      <c r="G27" s="43" t="s">
        <v>60</v>
      </c>
    </row>
    <row r="28" spans="1:14" x14ac:dyDescent="0.3">
      <c r="G28" s="44"/>
      <c r="J28" s="18"/>
    </row>
    <row r="29" spans="1:14" x14ac:dyDescent="0.3">
      <c r="A29" s="20"/>
      <c r="B29" s="45" t="s">
        <v>48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31:D31"/>
    <mergeCell ref="B32:D32"/>
    <mergeCell ref="B33:D33"/>
    <mergeCell ref="B34:D34"/>
    <mergeCell ref="B23:D23"/>
    <mergeCell ref="B24:D24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G27:G28"/>
    <mergeCell ref="E1:F1"/>
    <mergeCell ref="C2:D2"/>
    <mergeCell ref="E2:F2"/>
    <mergeCell ref="B3:D3"/>
    <mergeCell ref="B4:D4"/>
    <mergeCell ref="E3:F3"/>
    <mergeCell ref="E4:F4"/>
    <mergeCell ref="B21:D21"/>
    <mergeCell ref="B15:D15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7" name="Button 9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29</xdr:row>
                    <xdr:rowOff>0</xdr:rowOff>
                  </from>
                  <to>
                    <xdr:col>12</xdr:col>
                    <xdr:colOff>7620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Importing</vt:lpstr>
      <vt:lpstr>Frank_Smith_79A3989D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2023-12-18T15:08:44Z</dcterms:modified>
</cp:coreProperties>
</file>