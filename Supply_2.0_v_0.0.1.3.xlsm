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Supply 2.0\"/>
    </mc:Choice>
  </mc:AlternateContent>
  <xr:revisionPtr revIDLastSave="0" documentId="13_ncr:1_{B3D9C95A-F56F-407A-830D-2D227E950B0B}" xr6:coauthVersionLast="47" xr6:coauthVersionMax="47" xr10:uidLastSave="{00000000-0000-0000-0000-000000000000}"/>
  <bookViews>
    <workbookView xWindow="-118" yWindow="-118" windowWidth="33749" windowHeight="18471" tabRatio="856" firstSheet="4" activeTab="13" xr2:uid="{01218C0E-FF84-42AC-8993-DD76AC11461D}"/>
  </bookViews>
  <sheets>
    <sheet name="Userform" sheetId="17" r:id="rId1"/>
    <sheet name="Menu" sheetId="48" r:id="rId2"/>
    <sheet name="Grace_Harris_0A8D5D88" sheetId="99" r:id="rId3"/>
    <sheet name="Yvonne_Clark_48BF9299" sheetId="100" r:id="rId4"/>
    <sheet name="Charlie_Davis_EECA92A4" sheetId="101" r:id="rId5"/>
    <sheet name="Grace_Wilson_120AB9A9" sheetId="102" r:id="rId6"/>
    <sheet name="Alice_Rodriguez_F96DFBA7" sheetId="104" r:id="rId7"/>
    <sheet name="Peter_Wilson_975CD3AA" sheetId="106" r:id="rId8"/>
    <sheet name="Jack_Brown_5C9B2ABC" sheetId="108" r:id="rId9"/>
    <sheet name="Bob_Clark_64E70E9C" sheetId="109" r:id="rId10"/>
    <sheet name="Kate_Davis_D5A1F78F" sheetId="110" r:id="rId11"/>
    <sheet name="Rachel_Thomas_5EEB3596" sheetId="111" r:id="rId12"/>
    <sheet name="Taylor_Harris_3EAF9A97" sheetId="112" r:id="rId13"/>
    <sheet name="Jack_Brown_5CFDFE8D" sheetId="113" r:id="rId14"/>
    <sheet name="Template" sheetId="1" r:id="rId15"/>
    <sheet name="Sheet1" sheetId="54" r:id="rId1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113" l="1"/>
  <c r="H33" i="113"/>
  <c r="H32" i="113"/>
  <c r="H31" i="113"/>
  <c r="H30" i="113"/>
  <c r="H26" i="113"/>
  <c r="H24" i="113"/>
  <c r="H23" i="113"/>
  <c r="H22" i="113"/>
  <c r="H21" i="113"/>
  <c r="H19" i="113"/>
  <c r="H18" i="113"/>
  <c r="H17" i="113"/>
  <c r="H16" i="113"/>
  <c r="H14" i="113"/>
  <c r="H13" i="113"/>
  <c r="H12" i="113"/>
  <c r="H11" i="113"/>
  <c r="H10" i="113"/>
  <c r="H9" i="113"/>
  <c r="H8" i="113"/>
  <c r="H7" i="113"/>
  <c r="H6" i="113"/>
  <c r="H34" i="112"/>
  <c r="H33" i="112"/>
  <c r="H32" i="112"/>
  <c r="H31" i="112"/>
  <c r="H30" i="112"/>
  <c r="H26" i="112"/>
  <c r="H24" i="112"/>
  <c r="H23" i="112"/>
  <c r="H22" i="112"/>
  <c r="H21" i="112"/>
  <c r="H19" i="112"/>
  <c r="H18" i="112"/>
  <c r="H17" i="112"/>
  <c r="H16" i="112"/>
  <c r="H14" i="112"/>
  <c r="H13" i="112"/>
  <c r="H12" i="112"/>
  <c r="H11" i="112"/>
  <c r="H10" i="112"/>
  <c r="H9" i="112"/>
  <c r="H8" i="112"/>
  <c r="H7" i="112"/>
  <c r="H6" i="112"/>
  <c r="H34" i="111"/>
  <c r="H33" i="111"/>
  <c r="H32" i="111"/>
  <c r="H31" i="111"/>
  <c r="H30" i="111"/>
  <c r="H26" i="111"/>
  <c r="H24" i="111"/>
  <c r="H23" i="111"/>
  <c r="H22" i="111"/>
  <c r="H21" i="111"/>
  <c r="H19" i="111"/>
  <c r="H18" i="111"/>
  <c r="H17" i="111"/>
  <c r="H16" i="111"/>
  <c r="H14" i="111"/>
  <c r="H13" i="111"/>
  <c r="H12" i="111"/>
  <c r="H11" i="111"/>
  <c r="H10" i="111"/>
  <c r="H9" i="111"/>
  <c r="H8" i="111"/>
  <c r="H7" i="111"/>
  <c r="H6" i="111"/>
  <c r="H34" i="110"/>
  <c r="H33" i="110"/>
  <c r="H32" i="110"/>
  <c r="H31" i="110"/>
  <c r="H30" i="110"/>
  <c r="H26" i="110"/>
  <c r="H24" i="110"/>
  <c r="H23" i="110"/>
  <c r="H22" i="110"/>
  <c r="H21" i="110"/>
  <c r="H19" i="110"/>
  <c r="H18" i="110"/>
  <c r="H17" i="110"/>
  <c r="H16" i="110"/>
  <c r="H14" i="110"/>
  <c r="H13" i="110"/>
  <c r="H12" i="110"/>
  <c r="H11" i="110"/>
  <c r="H10" i="110"/>
  <c r="H9" i="110"/>
  <c r="H8" i="110"/>
  <c r="H7" i="110"/>
  <c r="H6" i="110"/>
  <c r="H34" i="109"/>
  <c r="H33" i="109"/>
  <c r="H32" i="109"/>
  <c r="H31" i="109"/>
  <c r="H30" i="109"/>
  <c r="H26" i="109"/>
  <c r="H24" i="109"/>
  <c r="H23" i="109"/>
  <c r="H22" i="109"/>
  <c r="H21" i="109"/>
  <c r="H19" i="109"/>
  <c r="H18" i="109"/>
  <c r="H17" i="109"/>
  <c r="H16" i="109"/>
  <c r="H14" i="109"/>
  <c r="H13" i="109"/>
  <c r="H12" i="109"/>
  <c r="H11" i="109"/>
  <c r="H10" i="109"/>
  <c r="H9" i="109"/>
  <c r="H8" i="109"/>
  <c r="H7" i="109"/>
  <c r="H6" i="109"/>
  <c r="H34" i="108"/>
  <c r="H33" i="108"/>
  <c r="H32" i="108"/>
  <c r="H31" i="108"/>
  <c r="H30" i="108"/>
  <c r="H26" i="108"/>
  <c r="H24" i="108"/>
  <c r="H23" i="108"/>
  <c r="H22" i="108"/>
  <c r="H21" i="108"/>
  <c r="H19" i="108"/>
  <c r="H18" i="108"/>
  <c r="H17" i="108"/>
  <c r="H16" i="108"/>
  <c r="H14" i="108"/>
  <c r="H13" i="108"/>
  <c r="H12" i="108"/>
  <c r="H11" i="108"/>
  <c r="H10" i="108"/>
  <c r="H9" i="108"/>
  <c r="H8" i="108"/>
  <c r="H7" i="108"/>
  <c r="H6" i="108"/>
  <c r="H34" i="106"/>
  <c r="H33" i="106"/>
  <c r="H32" i="106"/>
  <c r="H31" i="106"/>
  <c r="H30" i="106"/>
  <c r="H26" i="106"/>
  <c r="H24" i="106"/>
  <c r="H23" i="106"/>
  <c r="H22" i="106"/>
  <c r="H21" i="106"/>
  <c r="H19" i="106"/>
  <c r="H18" i="106"/>
  <c r="H17" i="106"/>
  <c r="H16" i="106"/>
  <c r="H14" i="106"/>
  <c r="H13" i="106"/>
  <c r="H12" i="106"/>
  <c r="H11" i="106"/>
  <c r="H10" i="106"/>
  <c r="H9" i="106"/>
  <c r="H8" i="106"/>
  <c r="H7" i="106"/>
  <c r="H6" i="106"/>
  <c r="H34" i="104"/>
  <c r="H33" i="104"/>
  <c r="H32" i="104"/>
  <c r="H31" i="104"/>
  <c r="H30" i="104"/>
  <c r="H26" i="104"/>
  <c r="H24" i="104"/>
  <c r="H23" i="104"/>
  <c r="H22" i="104"/>
  <c r="H21" i="104"/>
  <c r="H19" i="104"/>
  <c r="H18" i="104"/>
  <c r="H17" i="104"/>
  <c r="H16" i="104"/>
  <c r="H14" i="104"/>
  <c r="H13" i="104"/>
  <c r="H12" i="104"/>
  <c r="H11" i="104"/>
  <c r="H10" i="104"/>
  <c r="H9" i="104"/>
  <c r="H8" i="104"/>
  <c r="H7" i="104"/>
  <c r="H6" i="104"/>
  <c r="H34" i="102"/>
  <c r="H33" i="102"/>
  <c r="H32" i="102"/>
  <c r="H31" i="102"/>
  <c r="H30" i="102"/>
  <c r="H26" i="102"/>
  <c r="H24" i="102"/>
  <c r="H23" i="102"/>
  <c r="H22" i="102"/>
  <c r="H21" i="102"/>
  <c r="H19" i="102"/>
  <c r="H18" i="102"/>
  <c r="H17" i="102"/>
  <c r="H16" i="102"/>
  <c r="H14" i="102"/>
  <c r="H13" i="102"/>
  <c r="H12" i="102"/>
  <c r="H11" i="102"/>
  <c r="H10" i="102"/>
  <c r="H9" i="102"/>
  <c r="H8" i="102"/>
  <c r="H7" i="102"/>
  <c r="H6" i="102"/>
  <c r="H34" i="101"/>
  <c r="H33" i="101"/>
  <c r="H32" i="101"/>
  <c r="H31" i="101"/>
  <c r="H30" i="101"/>
  <c r="H26" i="101"/>
  <c r="H24" i="101"/>
  <c r="H23" i="101"/>
  <c r="H22" i="101"/>
  <c r="H21" i="101"/>
  <c r="H19" i="101"/>
  <c r="H18" i="101"/>
  <c r="H17" i="101"/>
  <c r="H16" i="101"/>
  <c r="H14" i="101"/>
  <c r="H13" i="101"/>
  <c r="H12" i="101"/>
  <c r="H11" i="101"/>
  <c r="H10" i="101"/>
  <c r="H9" i="101"/>
  <c r="H8" i="101"/>
  <c r="H7" i="101"/>
  <c r="H6" i="101"/>
  <c r="H34" i="100"/>
  <c r="H33" i="100"/>
  <c r="H32" i="100"/>
  <c r="H31" i="100"/>
  <c r="H30" i="100"/>
  <c r="H26" i="100"/>
  <c r="H24" i="100"/>
  <c r="H23" i="100"/>
  <c r="H22" i="100"/>
  <c r="H21" i="100"/>
  <c r="H19" i="100"/>
  <c r="H18" i="100"/>
  <c r="H17" i="100"/>
  <c r="H16" i="100"/>
  <c r="H14" i="100"/>
  <c r="H13" i="100"/>
  <c r="H12" i="100"/>
  <c r="H11" i="100"/>
  <c r="H10" i="100"/>
  <c r="H9" i="100"/>
  <c r="H8" i="100"/>
  <c r="H7" i="100"/>
  <c r="H6" i="100"/>
  <c r="H34" i="99"/>
  <c r="H33" i="99"/>
  <c r="H32" i="99"/>
  <c r="H31" i="99"/>
  <c r="H30" i="99"/>
  <c r="H26" i="99"/>
  <c r="H24" i="99"/>
  <c r="H23" i="99"/>
  <c r="H22" i="99"/>
  <c r="H21" i="99"/>
  <c r="H19" i="99"/>
  <c r="H18" i="99"/>
  <c r="H17" i="99"/>
  <c r="H16" i="99"/>
  <c r="H14" i="99"/>
  <c r="H13" i="99"/>
  <c r="H12" i="99"/>
  <c r="H11" i="99"/>
  <c r="H10" i="99"/>
  <c r="H9" i="99"/>
  <c r="H8" i="99"/>
  <c r="H7" i="99"/>
  <c r="H6" i="99"/>
  <c r="H7" i="1"/>
  <c r="H8" i="1"/>
  <c r="H9" i="1"/>
  <c r="H10" i="1"/>
  <c r="H11" i="1"/>
  <c r="H12" i="1"/>
  <c r="H13" i="1"/>
  <c r="H14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  <c r="H6" i="1"/>
</calcChain>
</file>

<file path=xl/sharedStrings.xml><?xml version="1.0" encoding="utf-8"?>
<sst xmlns="http://schemas.openxmlformats.org/spreadsheetml/2006/main" count="1074" uniqueCount="153">
  <si>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</si>
  <si>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</si>
  <si>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</si>
  <si>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</si>
  <si>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</si>
  <si>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</si>
  <si>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</si>
  <si>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</si>
  <si>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</si>
  <si>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</si>
  <si>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</si>
  <si>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</si>
  <si>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</si>
  <si>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</si>
  <si>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</si>
  <si>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</si>
  <si>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</si>
  <si>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</si>
  <si>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</si>
  <si>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</si>
  <si>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</si>
  <si>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</si>
  <si>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</si>
  <si>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</si>
  <si>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</si>
  <si>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</si>
  <si>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</si>
  <si>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</si>
  <si>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</si>
  <si>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</si>
  <si>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</si>
  <si>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</si>
  <si>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</si>
  <si>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</si>
  <si>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</si>
  <si>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</si>
  <si>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</si>
  <si>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</si>
  <si>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</si>
  <si>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</si>
  <si>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</si>
  <si>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</si>
  <si>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</si>
  <si>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</si>
  <si>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</si>
  <si>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</si>
  <si>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</si>
  <si>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XS</t>
  </si>
  <si>
    <t>Menu</t>
  </si>
  <si>
    <t>XL/TG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</si>
  <si>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</si>
  <si>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</si>
  <si>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</si>
  <si>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</si>
  <si>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</si>
  <si>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</si>
  <si>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</si>
  <si>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</si>
  <si>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</si>
  <si>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UNP</t>
  </si>
  <si>
    <t>Female</t>
  </si>
  <si>
    <t>Wilson</t>
  </si>
  <si>
    <t>L</t>
  </si>
  <si>
    <t>XL</t>
  </si>
  <si>
    <t>S (50 inch)</t>
  </si>
  <si>
    <t>Alice</t>
  </si>
  <si>
    <t>XXXL</t>
  </si>
  <si>
    <t>8405-21-907-9466</t>
  </si>
  <si>
    <t>(XS / TP)</t>
  </si>
  <si>
    <t>R (56 inch)</t>
  </si>
  <si>
    <t>Hand Length</t>
  </si>
  <si>
    <t>3XL</t>
  </si>
  <si>
    <t>(S/M - P/M)</t>
  </si>
  <si>
    <t>FTU Pants</t>
  </si>
  <si>
    <t>Grace</t>
  </si>
  <si>
    <t>(L/XL - G/TG)</t>
  </si>
  <si>
    <t>Email</t>
  </si>
  <si>
    <t>Extra Items</t>
  </si>
  <si>
    <t>320/126</t>
  </si>
  <si>
    <t>Harris</t>
  </si>
  <si>
    <t>Rodriguez</t>
  </si>
  <si>
    <t>0A8D5D88</t>
  </si>
  <si>
    <t>24M</t>
  </si>
  <si>
    <t>6746 (H56-1/2)</t>
  </si>
  <si>
    <t>275/100</t>
  </si>
  <si>
    <t>10D</t>
  </si>
  <si>
    <t>Clark</t>
  </si>
  <si>
    <t>Yvonne</t>
  </si>
  <si>
    <t>48BF9299</t>
  </si>
  <si>
    <t>15-1/2</t>
  </si>
  <si>
    <t>275/104</t>
  </si>
  <si>
    <t>10EEE</t>
  </si>
  <si>
    <t>Davis</t>
  </si>
  <si>
    <t>Charlie</t>
  </si>
  <si>
    <t>EECA92A4</t>
  </si>
  <si>
    <t>15D</t>
  </si>
  <si>
    <t>120AB9A9</t>
  </si>
  <si>
    <t>300/110</t>
  </si>
  <si>
    <t>13D</t>
  </si>
  <si>
    <t>Given</t>
  </si>
  <si>
    <t>Returned</t>
  </si>
  <si>
    <t>N/A</t>
  </si>
  <si>
    <t>Pick Up</t>
  </si>
  <si>
    <t>F96DFBA7</t>
  </si>
  <si>
    <t>310/122</t>
  </si>
  <si>
    <t>330/130</t>
  </si>
  <si>
    <t>UNI</t>
  </si>
  <si>
    <t>Peter</t>
  </si>
  <si>
    <t>975CD3AA</t>
  </si>
  <si>
    <t>20S</t>
  </si>
  <si>
    <t>7352 (H62-1/2)</t>
  </si>
  <si>
    <t>XXL</t>
  </si>
  <si>
    <t>1000-21-215-7658</t>
  </si>
  <si>
    <t>8440-20-006-6068</t>
  </si>
  <si>
    <t>Brown</t>
  </si>
  <si>
    <t>Jack</t>
  </si>
  <si>
    <t>5C9B2ABC</t>
  </si>
  <si>
    <t>1000-21-059-7056</t>
  </si>
  <si>
    <t>34 M</t>
  </si>
  <si>
    <t>1000-21-165-3400</t>
  </si>
  <si>
    <t>Bob</t>
  </si>
  <si>
    <t>64E70E9C</t>
  </si>
  <si>
    <t>8405-21-905-7820</t>
  </si>
  <si>
    <t>28 M</t>
  </si>
  <si>
    <t>1000-21-165-2800</t>
  </si>
  <si>
    <t>8420-20-001-0728</t>
  </si>
  <si>
    <t>6748 (H58-1/2)</t>
  </si>
  <si>
    <t>1000-21-198-6748</t>
  </si>
  <si>
    <t>8405-20-003-5842</t>
  </si>
  <si>
    <t>R (50 inch)</t>
  </si>
  <si>
    <t>8440-21-905-7384</t>
  </si>
  <si>
    <t>1000-21-215-7652</t>
  </si>
  <si>
    <t>8430-20-006-2570</t>
  </si>
  <si>
    <t>Kate</t>
  </si>
  <si>
    <t>D5A1F78F</t>
  </si>
  <si>
    <t>1000-21-059-6428</t>
  </si>
  <si>
    <t>20M</t>
  </si>
  <si>
    <t>8410-21-912-7791</t>
  </si>
  <si>
    <t>8420-20-001-0711</t>
  </si>
  <si>
    <t>Thomas</t>
  </si>
  <si>
    <t>Rachel</t>
  </si>
  <si>
    <t>5EEB3596</t>
  </si>
  <si>
    <t>Taylor</t>
  </si>
  <si>
    <t>3EAF9A97</t>
  </si>
  <si>
    <t>5CFDFE8D</t>
  </si>
  <si>
    <t>8405-21-905-7813</t>
  </si>
  <si>
    <t>8405-20-003-5849</t>
  </si>
  <si>
    <t>290/118</t>
  </si>
  <si>
    <t>8430-20-006-2561</t>
  </si>
  <si>
    <t>8405-21-920-7281</t>
  </si>
  <si>
    <t>8405-21-920-7090</t>
  </si>
  <si>
    <t>8405-20-013-1479</t>
  </si>
  <si>
    <t>8405-20-004-7483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</si>
</sst>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###\-###\-####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1" fillId="0" borderId="0" xfId="0" applyFont="1"/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9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2" fillId="0" borderId="0" xfId="0" applyFont="1"/>
    <xf numFmtId="0" fontId="11" fillId="5" borderId="0" xfId="3" applyFont="1" applyFill="1" applyBorder="1" applyAlignment="1">
      <alignment horizontal="center" vertical="center"/>
    </xf>
    <xf numFmtId="0" fontId="13" fillId="3" borderId="1" xfId="2" applyFont="1" applyBorder="1" applyAlignment="1">
      <alignment horizontal="center"/>
    </xf>
    <xf numFmtId="0" fontId="13" fillId="3" borderId="9" xfId="2" applyFont="1" applyBorder="1" applyAlignment="1">
      <alignment horizontal="center"/>
    </xf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1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3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3" fillId="3" borderId="4" xfId="2" applyFont="1" applyBorder="1" applyAlignment="1">
      <alignment horizontal="center"/>
    </xf>
    <xf numFmtId="0" fontId="13" fillId="3" borderId="5" xfId="2" applyFont="1" applyBorder="1" applyAlignment="1">
      <alignment horizontal="center"/>
    </xf>
    <xf numFmtId="0" fontId="13" fillId="3" borderId="6" xfId="2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20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699BFF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4" formatCode="m/d/yyyy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99BFF"/>
      <color rgb="FFFB873F"/>
      <color rgb="FFFF7575"/>
      <color rgb="FFF6F66A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24938</xdr:colOff>
          <xdr:row>0</xdr:row>
          <xdr:rowOff>0</xdr:rowOff>
        </xdr:from>
        <xdr:to>
          <xdr:col>7</xdr:col>
          <xdr:colOff>207818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2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2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2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3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3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4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4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4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5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5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5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6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6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7387E4AA-0214-47C4-AB05-7AD86605E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11C85366-2E0A-4805-807A-93CA868B4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67B699B2-715F-4BE0-802F-0DB1DBB97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F3838DF5-907C-41FF-8A53-F4AA368C9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54C2BC3-235A-4873-83DA-9515AF47B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D99BCE0F-B6D8-4E98-86C3-EF8D7154E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CA7B119B-7E87-4C42-B6DD-81BFD9A35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E83DB6FB-F0A3-4692-9E4D-2761C12C4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1B90EEDF-5B3C-4348-907A-62925D1C4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204BBF3F-2137-4345-9841-CEBE09FA4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3E480931-CBE6-497A-A6B6-AFB2DA3EB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EF71D5C-8BCB-4849-BFBA-B6F59D855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A1E4D990-D864-475B-B83B-2EC5456CC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E3DCC966-E90A-462D-9097-8CBAC8E18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7E8DCEA5-8906-4127-BE40-0EB04BA4D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C49CC191-9306-44B2-97BE-9618C8CF5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F42A2ED0-3555-4F16-9CFC-DF3C1B607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CCD70B7A-9F19-4108-B213-BF6151671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B3BA893F-4770-4F89-8305-031FF177F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42CB2830-DA32-4F97-82C5-C7805087E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1ED15F4C-BA07-42A2-A78C-EAA125715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166255</xdr:rowOff>
        </xdr:from>
        <xdr:to>
          <xdr:col>12</xdr:col>
          <xdr:colOff>24938</xdr:colOff>
          <xdr:row>12</xdr:row>
          <xdr:rowOff>207818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9" totalsRowShown="0" headerRowDxfId="119" dataDxfId="117" headerRowBorderDxfId="118" tableBorderDxfId="116" totalsRowBorderDxfId="115" headerRowCellStyle="60% - Accent5">
  <autoFilter ref="A1:E9" xr:uid="{7E3155DF-3CB2-4063-8346-D3006162EB2E}"/>
  <sortState xmlns:xlrd2="http://schemas.microsoft.com/office/spreadsheetml/2017/richdata2" ref="A2:E9">
    <sortCondition ref="A1:A9"/>
  </sortState>
  <tableColumns count="5">
    <tableColumn id="1" xr3:uid="{4A3C96D4-74F9-46DA-B54B-0CD347E35136}" name="Surname" dataDxfId="114" dataCellStyle="Hyperlink"/>
    <tableColumn id="2" xr3:uid="{2B90B92F-5F96-4EDA-9BBB-0E797162ECC4}" name="First Name" dataDxfId="113" dataCellStyle="Hyperlink"/>
    <tableColumn id="8" xr3:uid="{CFE0A41F-FE26-4CF3-BAA8-F6CEC7B006D4}" name="Status" dataDxfId="112" dataCellStyle="Hyperlink"/>
    <tableColumn id="3" xr3:uid="{EBBDE5FC-4AD9-4996-A6CE-25D9B52D4D03}" name="Date" dataDxfId="111"/>
    <tableColumn id="4" xr3:uid="{854BBB0E-E50E-4F6C-90CC-6180E0CE5D32}" name="ID" dataDxfId="11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workbookViewId="0">
      <selection activeCell="B8" sqref="B8"/>
    </sheetView>
  </sheetViews>
  <sheetFormatPr defaultRowHeight="15.05" x14ac:dyDescent="0.3"/>
  <sheetData>
    <row r="1" spans="1:7" ht="15.05" customHeight="1" x14ac:dyDescent="0.3">
      <c r="A1" s="33" t="s">
        <v>43</v>
      </c>
      <c r="B1" s="34"/>
      <c r="C1" s="35"/>
      <c r="E1" s="33" t="s">
        <v>48</v>
      </c>
      <c r="F1" s="34"/>
      <c r="G1" s="35"/>
    </row>
    <row r="2" spans="1:7" x14ac:dyDescent="0.3">
      <c r="A2" s="36"/>
      <c r="B2" s="37"/>
      <c r="C2" s="38"/>
      <c r="E2" s="36"/>
      <c r="F2" s="37"/>
      <c r="G2" s="38"/>
    </row>
    <row r="3" spans="1:7" ht="15.75" thickBot="1" x14ac:dyDescent="0.35">
      <c r="A3" s="39"/>
      <c r="B3" s="40"/>
      <c r="C3" s="41"/>
      <c r="E3" s="39"/>
      <c r="F3" s="40"/>
      <c r="G3" s="41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9"/>
  <sheetViews>
    <sheetView workbookViewId="0">
      <selection activeCell="A2" sqref="A2:E9"/>
    </sheetView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7" t="s">
        <v>0</v>
      </c>
      <c r="B1" s="6" t="s">
        <v>2</v>
      </c>
      <c r="C1" s="15" t="s">
        <v>36</v>
      </c>
      <c r="D1" s="6" t="s">
        <v>40</v>
      </c>
      <c r="E1" s="15" t="s">
        <v>41</v>
      </c>
    </row>
    <row r="2" spans="1:5" x14ac:dyDescent="0.3">
      <c r="A2" s="13" t="s">
        <v>114</v>
      </c>
      <c r="B2" s="14" t="s">
        <v>115</v>
      </c>
      <c r="C2" s="14"/>
      <c r="D2" s="56">
        <v>45181.777916666666</v>
      </c>
      <c r="E2" s="57" t="s">
        <v>144</v>
      </c>
    </row>
    <row r="3" spans="1:5" x14ac:dyDescent="0.3">
      <c r="A3" s="13" t="s">
        <v>86</v>
      </c>
      <c r="B3" s="14" t="s">
        <v>87</v>
      </c>
      <c r="C3" s="14" t="s">
        <v>59</v>
      </c>
      <c r="D3" s="31">
        <v>45180.941701388889</v>
      </c>
      <c r="E3" s="32" t="s">
        <v>88</v>
      </c>
    </row>
    <row r="4" spans="1:5" x14ac:dyDescent="0.3">
      <c r="A4" s="13" t="s">
        <v>92</v>
      </c>
      <c r="B4" s="14" t="s">
        <v>93</v>
      </c>
      <c r="C4" s="14" t="s">
        <v>59</v>
      </c>
      <c r="D4" s="31">
        <v>45180.94190972222</v>
      </c>
      <c r="E4" s="32" t="s">
        <v>94</v>
      </c>
    </row>
    <row r="5" spans="1:5" x14ac:dyDescent="0.3">
      <c r="A5" s="13" t="s">
        <v>79</v>
      </c>
      <c r="B5" s="14" t="s">
        <v>74</v>
      </c>
      <c r="C5" s="14" t="s">
        <v>59</v>
      </c>
      <c r="D5" s="31">
        <v>45180.941666666666</v>
      </c>
      <c r="E5" s="32" t="s">
        <v>81</v>
      </c>
    </row>
    <row r="6" spans="1:5" x14ac:dyDescent="0.3">
      <c r="A6" s="13" t="s">
        <v>80</v>
      </c>
      <c r="B6" s="14" t="s">
        <v>65</v>
      </c>
      <c r="C6" s="14" t="s">
        <v>59</v>
      </c>
      <c r="D6" s="31">
        <v>45180.95579861111</v>
      </c>
      <c r="E6" s="32" t="s">
        <v>103</v>
      </c>
    </row>
    <row r="7" spans="1:5" x14ac:dyDescent="0.3">
      <c r="A7" s="13" t="s">
        <v>61</v>
      </c>
      <c r="B7" s="14" t="s">
        <v>74</v>
      </c>
      <c r="C7" s="14" t="s">
        <v>59</v>
      </c>
      <c r="D7" s="31">
        <v>45180.942083333335</v>
      </c>
      <c r="E7" s="32" t="s">
        <v>96</v>
      </c>
    </row>
    <row r="8" spans="1:5" x14ac:dyDescent="0.3">
      <c r="A8" s="13" t="s">
        <v>61</v>
      </c>
      <c r="B8" s="14" t="s">
        <v>107</v>
      </c>
      <c r="C8" s="14"/>
      <c r="D8" s="56">
        <v>45181.758009259262</v>
      </c>
      <c r="E8" s="57" t="s">
        <v>108</v>
      </c>
    </row>
    <row r="9" spans="1:5" x14ac:dyDescent="0.3">
      <c r="A9" s="13"/>
      <c r="B9" s="14"/>
      <c r="C9" s="14"/>
      <c r="D9" s="31"/>
      <c r="E9" s="32"/>
    </row>
  </sheetData>
  <conditionalFormatting sqref="C2:C9">
    <cfRule type="cellIs" dxfId="109" priority="1" operator="equal">
      <formula>"Returned"</formula>
    </cfRule>
    <cfRule type="cellIs" dxfId="108" priority="2" operator="equal">
      <formula>"Ready To Order"</formula>
    </cfRule>
    <cfRule type="containsText" dxfId="107" priority="3" operator="containsText" text="UNP">
      <formula>NOT(ISERROR(SEARCH("UNP",C2)))</formula>
    </cfRule>
    <cfRule type="containsText" dxfId="106" priority="4" operator="containsText" text="Ordered">
      <formula>NOT(ISERROR(SEARCH("Ordered",C2)))</formula>
    </cfRule>
    <cfRule type="containsText" dxfId="105" priority="5" operator="containsText" text="Pick Up">
      <formula>NOT(ISERROR(SEARCH("Pick Up",C2)))</formula>
    </cfRule>
    <cfRule type="containsText" dxfId="104" priority="6" operator="containsText" text="Complete">
      <formula>NOT(ISERROR(SEARCH("Complete",C2)))</formula>
    </cfRule>
  </conditionalFormatting>
  <hyperlinks>
    <hyperlink ref="A5" location="'Grace_Harris_0A8D5D88'!A1" display="Harris" xr:uid="{E5B8121C-1AEA-455E-8DB2-0325B174C03C}"/>
    <hyperlink ref="A3" location="'Yvonne_Clark_48BF9299'!A1" display="Clark" xr:uid="{F61DB66B-B358-4CA6-B727-9FC36B491A8F}"/>
    <hyperlink ref="A4" location="'Charlie_Davis_EECA92A4'!A1" display="Davis" xr:uid="{3E373FC7-75FE-4056-BEB9-CCBD5D8FCB58}"/>
    <hyperlink ref="A7" location="'Grace_Wilson_120AB9A9'!A1" display="Wilson" xr:uid="{E6225447-4D1C-4C87-BAEF-67E38F6EDEA1}"/>
    <hyperlink ref="A6" location="'Alice_Rodriguez_F96DFBA7'!A1" display="Rodriguez" xr:uid="{E7848CFC-1E11-4A2F-8FAF-DEFDBAAC8A3A}"/>
    <hyperlink ref="A8" location="'Peter_Wilson_975CD3AA'!A1" display="Wilson" xr:uid="{DAAC3D8D-FD2B-4D15-AC54-7423749E9D0B}"/>
    <hyperlink ref="A2" location="'Jack_Brown_5CFDFE8D'!A1" display="Brown" xr:uid="{99D6CA31-B0A0-4AB9-9284-7FF7341962C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17EA-C2DB-4F88-8FD4-E0BCC19ADF75}">
  <sheetPr codeName="Sheet12"/>
  <dimension ref="A1:L34"/>
  <sheetViews>
    <sheetView workbookViewId="0">
      <selection activeCell="A6" sqref="A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79</v>
      </c>
      <c r="D2" s="44"/>
      <c r="E2" s="44" t="s">
        <v>74</v>
      </c>
      <c r="F2" s="44"/>
      <c r="G2" s="1" t="s">
        <v>81</v>
      </c>
      <c r="K2" s="4" t="s">
        <v>9</v>
      </c>
      <c r="L2" s="4">
        <v>22.6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14.6</v>
      </c>
    </row>
    <row r="4" spans="1:12" x14ac:dyDescent="0.3">
      <c r="A4" s="1" t="s">
        <v>39</v>
      </c>
      <c r="B4" s="49">
        <v>9416016606</v>
      </c>
      <c r="C4" s="49"/>
      <c r="D4" s="49"/>
      <c r="E4" s="44"/>
      <c r="F4" s="44"/>
      <c r="G4" s="1" t="s">
        <v>60</v>
      </c>
      <c r="K4" s="4" t="s">
        <v>12</v>
      </c>
      <c r="L4" s="4">
        <v>44.5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45.9</v>
      </c>
    </row>
    <row r="6" spans="1:12" x14ac:dyDescent="0.3">
      <c r="A6" s="3"/>
      <c r="B6" s="43" t="s">
        <v>18</v>
      </c>
      <c r="C6" s="43"/>
      <c r="D6" s="43"/>
      <c r="E6" s="4">
        <v>6744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42.8</v>
      </c>
    </row>
    <row r="7" spans="1:12" x14ac:dyDescent="0.3">
      <c r="A7" s="2"/>
      <c r="B7" s="44" t="s">
        <v>21</v>
      </c>
      <c r="C7" s="44"/>
      <c r="D7" s="44"/>
      <c r="E7" s="1" t="s">
        <v>82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64.2</v>
      </c>
    </row>
    <row r="8" spans="1:12" x14ac:dyDescent="0.3">
      <c r="A8" s="3"/>
      <c r="B8" s="43" t="s">
        <v>19</v>
      </c>
      <c r="C8" s="43"/>
      <c r="D8" s="43"/>
      <c r="E8" s="4" t="s">
        <v>63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270.89999999999998</v>
      </c>
    </row>
    <row r="9" spans="1:12" x14ac:dyDescent="0.3">
      <c r="A9" s="2"/>
      <c r="B9" s="44" t="s">
        <v>20</v>
      </c>
      <c r="C9" s="44"/>
      <c r="D9" s="44"/>
      <c r="E9" s="1" t="s">
        <v>83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89</v>
      </c>
    </row>
    <row r="10" spans="1:12" x14ac:dyDescent="0.3">
      <c r="A10" s="3"/>
      <c r="B10" s="43" t="s">
        <v>24</v>
      </c>
      <c r="C10" s="43"/>
      <c r="D10" s="43"/>
      <c r="E10" s="8">
        <v>7.25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6.7</v>
      </c>
    </row>
    <row r="11" spans="1:12" x14ac:dyDescent="0.3">
      <c r="A11" s="2"/>
      <c r="B11" s="44" t="s">
        <v>23</v>
      </c>
      <c r="C11" s="44"/>
      <c r="D11" s="44"/>
      <c r="E11" s="1" t="s">
        <v>64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 t="s">
        <v>63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84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67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62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>
        <v>7648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68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7.25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6744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>
        <v>7046</v>
      </c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 t="s">
        <v>85</v>
      </c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ontainsText" dxfId="103" priority="5" operator="containsText" text="UNP">
      <formula>NOT(ISERROR(SEARCH("UNP",G6)))</formula>
    </cfRule>
    <cfRule type="containsText" dxfId="102" priority="6" operator="containsText" text="Ordered">
      <formula>NOT(ISERROR(SEARCH("Ordered",G6)))</formula>
    </cfRule>
    <cfRule type="containsText" dxfId="101" priority="7" operator="containsText" text="Pick Up">
      <formula>NOT(ISERROR(SEARCH("Pick Up",G6)))</formula>
    </cfRule>
    <cfRule type="containsText" dxfId="100" priority="8" operator="containsText" text="Complete">
      <formula>NOT(ISERROR(SEARCH("Complete",G6)))</formula>
    </cfRule>
  </conditionalFormatting>
  <conditionalFormatting sqref="G7:G26">
    <cfRule type="cellIs" dxfId="99" priority="4" operator="equal">
      <formula>"Ready To Order"</formula>
    </cfRule>
  </conditionalFormatting>
  <conditionalFormatting sqref="G6">
    <cfRule type="cellIs" dxfId="98" priority="3" operator="equal">
      <formula>"Ready To Order"</formula>
    </cfRule>
  </conditionalFormatting>
  <conditionalFormatting sqref="G30:G33">
    <cfRule type="containsText" dxfId="97" priority="2" operator="containsText" text="Given">
      <formula>NOT(ISERROR(SEARCH("Given",G30)))</formula>
    </cfRule>
  </conditionalFormatting>
  <conditionalFormatting sqref="G30:G34">
    <cfRule type="containsText" dxfId="96" priority="1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56128C7-5314-4626-8651-09AADD72EFED}">
      <formula1>"Returned, Given"</formula1>
    </dataValidation>
    <dataValidation type="list" allowBlank="1" showInputMessage="1" showErrorMessage="1" sqref="G6:G26" xr:uid="{407F81C2-1153-45B5-B735-0AE0038F0266}">
      <formula1>"UNP, Ready To Order, Ordered, Pick Up, Complete"</formula1>
    </dataValidation>
    <dataValidation type="decimal" allowBlank="1" showInputMessage="1" showErrorMessage="1" sqref="L2" xr:uid="{378F4297-2C65-4699-A7D8-B0CBD28E64DD}">
      <formula1>19</formula1>
      <formula2>26</formula2>
    </dataValidation>
  </dataValidations>
  <hyperlinks>
    <hyperlink ref="A1:A2" location="Menu!A1" display="Back to Menu" xr:uid="{66BFA560-CD6C-4BD4-B961-CF59096DFEF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871D9-2279-4402-9E3D-1D8F5BA8121B}">
  <sheetPr codeName="Sheet13"/>
  <dimension ref="A1:L34"/>
  <sheetViews>
    <sheetView workbookViewId="0">
      <selection activeCell="G6" sqref="G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86</v>
      </c>
      <c r="D2" s="44"/>
      <c r="E2" s="44" t="s">
        <v>87</v>
      </c>
      <c r="F2" s="44"/>
      <c r="G2" s="1" t="s">
        <v>88</v>
      </c>
      <c r="K2" s="4" t="s">
        <v>9</v>
      </c>
      <c r="L2" s="4">
        <v>20.8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12.7</v>
      </c>
    </row>
    <row r="4" spans="1:12" x14ac:dyDescent="0.3">
      <c r="A4" s="1" t="s">
        <v>39</v>
      </c>
      <c r="B4" s="49">
        <v>9022463257</v>
      </c>
      <c r="C4" s="49"/>
      <c r="D4" s="49"/>
      <c r="E4" s="44"/>
      <c r="F4" s="44"/>
      <c r="G4" s="1" t="s">
        <v>45</v>
      </c>
      <c r="K4" s="4" t="s">
        <v>12</v>
      </c>
      <c r="L4" s="4">
        <v>42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52.1</v>
      </c>
    </row>
    <row r="6" spans="1:12" x14ac:dyDescent="0.3">
      <c r="A6" s="3"/>
      <c r="B6" s="43" t="s">
        <v>18</v>
      </c>
      <c r="C6" s="43"/>
      <c r="D6" s="43"/>
      <c r="E6" s="4">
        <v>6142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41.2</v>
      </c>
    </row>
    <row r="7" spans="1:12" x14ac:dyDescent="0.3">
      <c r="A7" s="2"/>
      <c r="B7" s="44" t="s">
        <v>21</v>
      </c>
      <c r="C7" s="44"/>
      <c r="D7" s="44"/>
      <c r="E7" s="1" t="s">
        <v>89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60.1</v>
      </c>
    </row>
    <row r="8" spans="1:12" x14ac:dyDescent="0.3">
      <c r="A8" s="3"/>
      <c r="B8" s="43" t="s">
        <v>19</v>
      </c>
      <c r="C8" s="43"/>
      <c r="D8" s="43"/>
      <c r="E8" s="4" t="s">
        <v>63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271</v>
      </c>
    </row>
    <row r="9" spans="1:12" x14ac:dyDescent="0.3">
      <c r="A9" s="2"/>
      <c r="B9" s="44" t="s">
        <v>20</v>
      </c>
      <c r="C9" s="44"/>
      <c r="D9" s="44"/>
      <c r="E9" s="1">
        <v>6452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100.8</v>
      </c>
    </row>
    <row r="10" spans="1:12" x14ac:dyDescent="0.3">
      <c r="A10" s="3"/>
      <c r="B10" s="43" t="s">
        <v>24</v>
      </c>
      <c r="C10" s="43"/>
      <c r="D10" s="43"/>
      <c r="E10" s="8">
        <v>6.625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8.1999999999999993</v>
      </c>
    </row>
    <row r="11" spans="1:12" x14ac:dyDescent="0.3">
      <c r="A11" s="2"/>
      <c r="B11" s="44" t="s">
        <v>23</v>
      </c>
      <c r="C11" s="44"/>
      <c r="D11" s="44"/>
      <c r="E11" s="1" t="s">
        <v>64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 t="s">
        <v>71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90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67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46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>
        <v>6444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72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6.625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6744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 t="s">
        <v>91</v>
      </c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 t="s">
        <v>100</v>
      </c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ontainsText" dxfId="95" priority="5" operator="containsText" text="UNP">
      <formula>NOT(ISERROR(SEARCH("UNP",G6)))</formula>
    </cfRule>
    <cfRule type="containsText" dxfId="94" priority="6" operator="containsText" text="Ordered">
      <formula>NOT(ISERROR(SEARCH("Ordered",G6)))</formula>
    </cfRule>
    <cfRule type="containsText" dxfId="93" priority="7" operator="containsText" text="Pick Up">
      <formula>NOT(ISERROR(SEARCH("Pick Up",G6)))</formula>
    </cfRule>
    <cfRule type="containsText" dxfId="92" priority="8" operator="containsText" text="Complete">
      <formula>NOT(ISERROR(SEARCH("Complete",G6)))</formula>
    </cfRule>
  </conditionalFormatting>
  <conditionalFormatting sqref="G7:G26">
    <cfRule type="cellIs" dxfId="91" priority="4" operator="equal">
      <formula>"Ready To Order"</formula>
    </cfRule>
  </conditionalFormatting>
  <conditionalFormatting sqref="G6">
    <cfRule type="cellIs" dxfId="90" priority="3" operator="equal">
      <formula>"Ready To Order"</formula>
    </cfRule>
  </conditionalFormatting>
  <conditionalFormatting sqref="G30:G33">
    <cfRule type="containsText" dxfId="89" priority="2" operator="containsText" text="Given">
      <formula>NOT(ISERROR(SEARCH("Given",G30)))</formula>
    </cfRule>
  </conditionalFormatting>
  <conditionalFormatting sqref="G30:G34">
    <cfRule type="containsText" dxfId="88" priority="1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35E15622-4D52-4C2C-9BD9-48E864FD8F6C}">
      <formula1>"Returned, Given"</formula1>
    </dataValidation>
    <dataValidation type="list" allowBlank="1" showInputMessage="1" showErrorMessage="1" sqref="G6:G26" xr:uid="{CF87A678-DE48-4931-8CD0-99401A7DB7B6}">
      <formula1>"UNP, Ready To Order, Ordered, Pick Up, Complete"</formula1>
    </dataValidation>
    <dataValidation type="decimal" allowBlank="1" showInputMessage="1" showErrorMessage="1" sqref="L2" xr:uid="{9ED53039-D3D2-4802-AC72-22E52349240A}">
      <formula1>19</formula1>
      <formula2>26</formula2>
    </dataValidation>
  </dataValidations>
  <hyperlinks>
    <hyperlink ref="A1:A2" location="Menu!A1" display="Back to Menu" xr:uid="{D904E623-9091-45A2-A463-932C9F34A8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CE55E-7C12-4FF8-9623-2D9800F7973A}">
  <sheetPr codeName="Sheet14"/>
  <dimension ref="A1:L34"/>
  <sheetViews>
    <sheetView workbookViewId="0">
      <selection activeCell="G6" sqref="G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92</v>
      </c>
      <c r="D2" s="44"/>
      <c r="E2" s="44" t="s">
        <v>93</v>
      </c>
      <c r="F2" s="44"/>
      <c r="G2" s="1" t="s">
        <v>94</v>
      </c>
      <c r="K2" s="4" t="s">
        <v>9</v>
      </c>
      <c r="L2" s="4">
        <v>20.100000000000001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17.3</v>
      </c>
    </row>
    <row r="4" spans="1:12" x14ac:dyDescent="0.3">
      <c r="A4" s="1" t="s">
        <v>39</v>
      </c>
      <c r="B4" s="49">
        <v>3124864853</v>
      </c>
      <c r="C4" s="49"/>
      <c r="D4" s="49"/>
      <c r="E4" s="44"/>
      <c r="F4" s="44"/>
      <c r="G4" s="1" t="s">
        <v>45</v>
      </c>
      <c r="K4" s="4" t="s">
        <v>12</v>
      </c>
      <c r="L4" s="4">
        <v>51.2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60.4</v>
      </c>
    </row>
    <row r="6" spans="1:12" x14ac:dyDescent="0.3">
      <c r="A6" s="3"/>
      <c r="B6" s="43" t="s">
        <v>18</v>
      </c>
      <c r="C6" s="43"/>
      <c r="D6" s="43"/>
      <c r="E6" s="4">
        <v>7052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33.4</v>
      </c>
    </row>
    <row r="7" spans="1:12" x14ac:dyDescent="0.3">
      <c r="A7" s="2"/>
      <c r="B7" s="44" t="s">
        <v>21</v>
      </c>
      <c r="C7" s="44"/>
      <c r="D7" s="44"/>
      <c r="E7" s="1">
        <v>18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66.8</v>
      </c>
    </row>
    <row r="8" spans="1:12" x14ac:dyDescent="0.3">
      <c r="A8" s="3"/>
      <c r="B8" s="43" t="s">
        <v>19</v>
      </c>
      <c r="C8" s="43"/>
      <c r="D8" s="43"/>
      <c r="E8" s="4" t="s">
        <v>66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312.3</v>
      </c>
    </row>
    <row r="9" spans="1:12" x14ac:dyDescent="0.3">
      <c r="A9" s="2"/>
      <c r="B9" s="44" t="s">
        <v>20</v>
      </c>
      <c r="C9" s="44"/>
      <c r="D9" s="44"/>
      <c r="E9" s="1">
        <v>7060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89.1</v>
      </c>
    </row>
    <row r="10" spans="1:12" x14ac:dyDescent="0.3">
      <c r="A10" s="3"/>
      <c r="B10" s="43" t="s">
        <v>24</v>
      </c>
      <c r="C10" s="43"/>
      <c r="D10" s="43"/>
      <c r="E10" s="8">
        <v>6.375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9.8000000000000007</v>
      </c>
    </row>
    <row r="11" spans="1:12" x14ac:dyDescent="0.3">
      <c r="A11" s="2"/>
      <c r="B11" s="44" t="s">
        <v>23</v>
      </c>
      <c r="C11" s="44"/>
      <c r="D11" s="44"/>
      <c r="E11" s="1" t="s">
        <v>64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78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67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47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>
        <v>7656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75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6.375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7052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 t="s">
        <v>95</v>
      </c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ontainsText" dxfId="87" priority="5" operator="containsText" text="UNP">
      <formula>NOT(ISERROR(SEARCH("UNP",G6)))</formula>
    </cfRule>
    <cfRule type="containsText" dxfId="86" priority="6" operator="containsText" text="Ordered">
      <formula>NOT(ISERROR(SEARCH("Ordered",G6)))</formula>
    </cfRule>
    <cfRule type="containsText" dxfId="85" priority="7" operator="containsText" text="Pick Up">
      <formula>NOT(ISERROR(SEARCH("Pick Up",G6)))</formula>
    </cfRule>
    <cfRule type="containsText" dxfId="84" priority="8" operator="containsText" text="Complete">
      <formula>NOT(ISERROR(SEARCH("Complete",G6)))</formula>
    </cfRule>
  </conditionalFormatting>
  <conditionalFormatting sqref="G7:G26">
    <cfRule type="cellIs" dxfId="83" priority="4" operator="equal">
      <formula>"Ready To Order"</formula>
    </cfRule>
  </conditionalFormatting>
  <conditionalFormatting sqref="G6">
    <cfRule type="cellIs" dxfId="82" priority="3" operator="equal">
      <formula>"Ready To Order"</formula>
    </cfRule>
  </conditionalFormatting>
  <conditionalFormatting sqref="G30:G33">
    <cfRule type="containsText" dxfId="81" priority="2" operator="containsText" text="Given">
      <formula>NOT(ISERROR(SEARCH("Given",G30)))</formula>
    </cfRule>
  </conditionalFormatting>
  <conditionalFormatting sqref="G30:G34">
    <cfRule type="containsText" dxfId="80" priority="1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878408F5-BD2F-4C97-9525-15E5E2FE70D3}">
      <formula1>"Returned, Given"</formula1>
    </dataValidation>
    <dataValidation type="list" allowBlank="1" showInputMessage="1" showErrorMessage="1" sqref="G6:G26" xr:uid="{9A98668E-370D-4742-9ECB-6E5C5CEC9E96}">
      <formula1>"UNP, Ready To Order, Ordered, Pick Up, Complete"</formula1>
    </dataValidation>
    <dataValidation type="decimal" allowBlank="1" showInputMessage="1" showErrorMessage="1" sqref="L2" xr:uid="{25B60644-7D0F-4B00-B4BC-A4C04130A24E}">
      <formula1>19</formula1>
      <formula2>26</formula2>
    </dataValidation>
  </dataValidations>
  <hyperlinks>
    <hyperlink ref="A1:A2" location="Menu!A1" display="Back to Menu" xr:uid="{3F6AD1F0-3DA3-435D-A2A8-13033F3964E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66554-D474-408A-9D39-E8BD0C3D26F1}">
  <sheetPr codeName="Sheet16"/>
  <dimension ref="A1:L34"/>
  <sheetViews>
    <sheetView workbookViewId="0">
      <selection activeCell="G6" sqref="G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61</v>
      </c>
      <c r="D2" s="44"/>
      <c r="E2" s="44" t="s">
        <v>74</v>
      </c>
      <c r="F2" s="44"/>
      <c r="G2" s="1" t="s">
        <v>96</v>
      </c>
      <c r="K2" s="4" t="s">
        <v>9</v>
      </c>
      <c r="L2" s="4">
        <v>21.4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14.6</v>
      </c>
    </row>
    <row r="4" spans="1:12" x14ac:dyDescent="0.3">
      <c r="A4" s="1" t="s">
        <v>39</v>
      </c>
      <c r="B4" s="49">
        <v>9919534554</v>
      </c>
      <c r="C4" s="49"/>
      <c r="D4" s="49"/>
      <c r="E4" s="44"/>
      <c r="F4" s="44"/>
      <c r="G4" s="1" t="s">
        <v>45</v>
      </c>
      <c r="K4" s="4" t="s">
        <v>12</v>
      </c>
      <c r="L4" s="4">
        <v>43.2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55.7</v>
      </c>
    </row>
    <row r="6" spans="1:12" x14ac:dyDescent="0.3">
      <c r="A6" s="3"/>
      <c r="B6" s="43" t="s">
        <v>18</v>
      </c>
      <c r="C6" s="43"/>
      <c r="D6" s="43"/>
      <c r="E6" s="4">
        <v>6144</v>
      </c>
      <c r="F6" s="4">
        <v>1</v>
      </c>
      <c r="G6" s="28" t="s">
        <v>102</v>
      </c>
      <c r="H6" s="24" t="str">
        <f>HYPERLINK("#G6",CHAR(128))</f>
        <v>€</v>
      </c>
      <c r="K6" s="4" t="s">
        <v>14</v>
      </c>
      <c r="L6" s="4">
        <v>40</v>
      </c>
    </row>
    <row r="7" spans="1:12" x14ac:dyDescent="0.3">
      <c r="A7" s="2"/>
      <c r="B7" s="44" t="s">
        <v>21</v>
      </c>
      <c r="C7" s="44"/>
      <c r="D7" s="44"/>
      <c r="E7" s="1">
        <v>16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58.5</v>
      </c>
    </row>
    <row r="8" spans="1:12" x14ac:dyDescent="0.3">
      <c r="A8" s="3"/>
      <c r="B8" s="43" t="s">
        <v>19</v>
      </c>
      <c r="C8" s="43"/>
      <c r="D8" s="43"/>
      <c r="E8" s="4" t="s">
        <v>63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298</v>
      </c>
    </row>
    <row r="9" spans="1:12" x14ac:dyDescent="0.3">
      <c r="A9" s="2"/>
      <c r="B9" s="44" t="s">
        <v>20</v>
      </c>
      <c r="C9" s="44"/>
      <c r="D9" s="44"/>
      <c r="E9" s="1">
        <v>6456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97.6</v>
      </c>
    </row>
    <row r="10" spans="1:12" x14ac:dyDescent="0.3">
      <c r="A10" s="3"/>
      <c r="B10" s="43" t="s">
        <v>24</v>
      </c>
      <c r="C10" s="43"/>
      <c r="D10" s="43"/>
      <c r="E10" s="8">
        <v>6.875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6.4</v>
      </c>
    </row>
    <row r="11" spans="1:12" x14ac:dyDescent="0.3">
      <c r="A11" s="2"/>
      <c r="B11" s="44" t="s">
        <v>23</v>
      </c>
      <c r="C11" s="44"/>
      <c r="D11" s="44"/>
      <c r="E11" s="1" t="s">
        <v>64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 t="s">
        <v>71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97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67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50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>
        <v>7648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68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6.875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6744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 t="s">
        <v>98</v>
      </c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 t="s">
        <v>99</v>
      </c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ontainsText" dxfId="79" priority="5" operator="containsText" text="UNP">
      <formula>NOT(ISERROR(SEARCH("UNP",G6)))</formula>
    </cfRule>
    <cfRule type="containsText" dxfId="78" priority="6" operator="containsText" text="Ordered">
      <formula>NOT(ISERROR(SEARCH("Ordered",G6)))</formula>
    </cfRule>
    <cfRule type="containsText" dxfId="77" priority="7" operator="containsText" text="Pick Up">
      <formula>NOT(ISERROR(SEARCH("Pick Up",G6)))</formula>
    </cfRule>
    <cfRule type="containsText" dxfId="76" priority="8" operator="containsText" text="Complete">
      <formula>NOT(ISERROR(SEARCH("Complete",G6)))</formula>
    </cfRule>
  </conditionalFormatting>
  <conditionalFormatting sqref="G7:G26">
    <cfRule type="cellIs" dxfId="75" priority="4" operator="equal">
      <formula>"Ready To Order"</formula>
    </cfRule>
  </conditionalFormatting>
  <conditionalFormatting sqref="G6">
    <cfRule type="cellIs" dxfId="74" priority="3" operator="equal">
      <formula>"Ready To Order"</formula>
    </cfRule>
  </conditionalFormatting>
  <conditionalFormatting sqref="G30:G33">
    <cfRule type="containsText" dxfId="73" priority="2" operator="containsText" text="Given">
      <formula>NOT(ISERROR(SEARCH("Given",G30)))</formula>
    </cfRule>
  </conditionalFormatting>
  <conditionalFormatting sqref="G30:G34">
    <cfRule type="containsText" dxfId="72" priority="1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DDFA942-F4AA-4DFD-81AE-96934785D076}">
      <formula1>"Returned, Given"</formula1>
    </dataValidation>
    <dataValidation type="list" allowBlank="1" showInputMessage="1" showErrorMessage="1" sqref="G6:G26" xr:uid="{9D139187-3B6A-41FC-B295-E3011A5EEA24}">
      <formula1>"UNP, Ready To Order, Ordered, Pick Up, Complete"</formula1>
    </dataValidation>
    <dataValidation type="decimal" allowBlank="1" showInputMessage="1" showErrorMessage="1" sqref="L2" xr:uid="{0E14AED7-8809-4968-ABAA-F1EEC5B1CF31}">
      <formula1>19</formula1>
      <formula2>26</formula2>
    </dataValidation>
  </dataValidations>
  <hyperlinks>
    <hyperlink ref="A1:A2" location="Menu!A1" display="Back to Menu" xr:uid="{2D3CF274-D21F-40E6-9889-B24AAC2C577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6DBD5-DC22-4A48-822B-FD6BAD429711}">
  <sheetPr codeName="Sheet18"/>
  <dimension ref="A1:L34"/>
  <sheetViews>
    <sheetView workbookViewId="0">
      <selection activeCell="G6" sqref="G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80</v>
      </c>
      <c r="D2" s="44"/>
      <c r="E2" s="44" t="s">
        <v>65</v>
      </c>
      <c r="F2" s="44"/>
      <c r="G2" s="1" t="s">
        <v>103</v>
      </c>
      <c r="K2" s="4" t="s">
        <v>9</v>
      </c>
      <c r="L2" s="4">
        <v>21.5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13.6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45</v>
      </c>
      <c r="K4" s="4" t="s">
        <v>12</v>
      </c>
      <c r="L4" s="4">
        <v>35.200000000000003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42.8</v>
      </c>
    </row>
    <row r="6" spans="1:12" x14ac:dyDescent="0.3">
      <c r="A6" s="3"/>
      <c r="B6" s="43" t="s">
        <v>18</v>
      </c>
      <c r="C6" s="43"/>
      <c r="D6" s="43"/>
      <c r="E6" s="4">
        <v>7036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42.3</v>
      </c>
    </row>
    <row r="7" spans="1:12" x14ac:dyDescent="0.3">
      <c r="A7" s="2"/>
      <c r="B7" s="44" t="s">
        <v>21</v>
      </c>
      <c r="C7" s="44"/>
      <c r="D7" s="44"/>
      <c r="E7" s="1">
        <v>14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67.2</v>
      </c>
    </row>
    <row r="8" spans="1:12" x14ac:dyDescent="0.3">
      <c r="A8" s="3"/>
      <c r="B8" s="43" t="s">
        <v>19</v>
      </c>
      <c r="C8" s="43"/>
      <c r="D8" s="43"/>
      <c r="E8" s="4" t="s">
        <v>50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298.60000000000002</v>
      </c>
    </row>
    <row r="9" spans="1:12" x14ac:dyDescent="0.3">
      <c r="A9" s="2"/>
      <c r="B9" s="44" t="s">
        <v>20</v>
      </c>
      <c r="C9" s="44"/>
      <c r="D9" s="44"/>
      <c r="E9" s="1">
        <v>7044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117</v>
      </c>
    </row>
    <row r="10" spans="1:12" x14ac:dyDescent="0.3">
      <c r="A10" s="3"/>
      <c r="B10" s="43" t="s">
        <v>24</v>
      </c>
      <c r="C10" s="43"/>
      <c r="D10" s="43"/>
      <c r="E10" s="8">
        <v>6.875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8.8000000000000007</v>
      </c>
    </row>
    <row r="11" spans="1:12" x14ac:dyDescent="0.3">
      <c r="A11" s="2"/>
      <c r="B11" s="44" t="s">
        <v>23</v>
      </c>
      <c r="C11" s="44"/>
      <c r="D11" s="44"/>
      <c r="E11" s="1" t="s">
        <v>69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 t="s">
        <v>63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104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67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50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>
        <v>7052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72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6.875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7036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>
        <v>7046</v>
      </c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100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 t="s">
        <v>101</v>
      </c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 t="s">
        <v>101</v>
      </c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 t="s">
        <v>101</v>
      </c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 t="s">
        <v>101</v>
      </c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 t="s">
        <v>101</v>
      </c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71" priority="1" operator="equal">
      <formula>"Returned"</formula>
    </cfRule>
    <cfRule type="cellIs" dxfId="70" priority="4" operator="equal">
      <formula>"Ready To Order"</formula>
    </cfRule>
    <cfRule type="containsText" dxfId="69" priority="5" operator="containsText" text="UNP">
      <formula>NOT(ISERROR(SEARCH("UNP",G6)))</formula>
    </cfRule>
    <cfRule type="containsText" dxfId="68" priority="6" operator="containsText" text="Ordered">
      <formula>NOT(ISERROR(SEARCH("Ordered",G6)))</formula>
    </cfRule>
    <cfRule type="containsText" dxfId="67" priority="7" operator="containsText" text="Pick Up">
      <formula>NOT(ISERROR(SEARCH("Pick Up",G6)))</formula>
    </cfRule>
    <cfRule type="containsText" dxfId="66" priority="8" operator="containsText" text="Complete">
      <formula>NOT(ISERROR(SEARCH("Complete",G6)))</formula>
    </cfRule>
  </conditionalFormatting>
  <conditionalFormatting sqref="G30:G33">
    <cfRule type="containsText" dxfId="65" priority="3" operator="containsText" text="Given">
      <formula>NOT(ISERROR(SEARCH("Given",G30)))</formula>
    </cfRule>
  </conditionalFormatting>
  <conditionalFormatting sqref="G30:G34">
    <cfRule type="containsText" dxfId="6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158C84BF-E310-405C-B465-CFD42F8D0471}">
      <formula1>"Returned, Given, N/A"</formula1>
    </dataValidation>
    <dataValidation type="list" allowBlank="1" showInputMessage="1" showErrorMessage="1" sqref="G6:G26" xr:uid="{C0564BD5-E504-4FBC-A1E7-78279224DC20}">
      <formula1>"UNP, Ready To Order, Ordered, Pick Up, Complete, Returned"</formula1>
    </dataValidation>
    <dataValidation type="decimal" allowBlank="1" showInputMessage="1" showErrorMessage="1" sqref="L2" xr:uid="{C671A0A0-9584-4200-9DC5-07C0DB48CCC1}">
      <formula1>19</formula1>
      <formula2>26</formula2>
    </dataValidation>
  </dataValidations>
  <hyperlinks>
    <hyperlink ref="A1:A2" location="Menu!A1" display="Back to Menu" xr:uid="{4850F1E3-2E27-47B6-8525-C7574868304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BC91-32AD-4D4F-AAB4-8C8680AB3D20}">
  <sheetPr codeName="Sheet3"/>
  <dimension ref="A1:L34"/>
  <sheetViews>
    <sheetView workbookViewId="0">
      <selection activeCell="G6" sqref="G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61</v>
      </c>
      <c r="D2" s="44"/>
      <c r="E2" s="44" t="s">
        <v>107</v>
      </c>
      <c r="F2" s="44"/>
      <c r="G2" s="1" t="s">
        <v>108</v>
      </c>
      <c r="K2" s="4" t="s">
        <v>9</v>
      </c>
      <c r="L2" s="4">
        <v>24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14.9</v>
      </c>
    </row>
    <row r="4" spans="1:12" x14ac:dyDescent="0.3">
      <c r="A4" s="1" t="s">
        <v>39</v>
      </c>
      <c r="B4" s="49">
        <v>2331822117</v>
      </c>
      <c r="C4" s="49"/>
      <c r="D4" s="49"/>
      <c r="E4" s="44"/>
      <c r="F4" s="44"/>
      <c r="G4" s="1" t="s">
        <v>60</v>
      </c>
      <c r="K4" s="4" t="s">
        <v>12</v>
      </c>
      <c r="L4" s="4">
        <v>40.9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49.7</v>
      </c>
    </row>
    <row r="6" spans="1:12" x14ac:dyDescent="0.3">
      <c r="A6" s="3"/>
      <c r="B6" s="43" t="s">
        <v>18</v>
      </c>
      <c r="C6" s="43"/>
      <c r="D6" s="43"/>
      <c r="E6" s="4">
        <v>6442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60.4</v>
      </c>
    </row>
    <row r="7" spans="1:12" x14ac:dyDescent="0.3">
      <c r="A7" s="2"/>
      <c r="B7" s="44" t="s">
        <v>21</v>
      </c>
      <c r="C7" s="44"/>
      <c r="D7" s="44"/>
      <c r="E7" s="1" t="s">
        <v>109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61.3</v>
      </c>
    </row>
    <row r="8" spans="1:12" x14ac:dyDescent="0.3">
      <c r="A8" s="3"/>
      <c r="B8" s="43" t="s">
        <v>19</v>
      </c>
      <c r="C8" s="43"/>
      <c r="D8" s="43"/>
      <c r="E8" s="4" t="s">
        <v>62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319.5</v>
      </c>
    </row>
    <row r="9" spans="1:12" x14ac:dyDescent="0.3">
      <c r="A9" s="2"/>
      <c r="B9" s="44" t="s">
        <v>20</v>
      </c>
      <c r="C9" s="44"/>
      <c r="D9" s="44"/>
      <c r="E9" s="1" t="s">
        <v>110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121.6</v>
      </c>
    </row>
    <row r="10" spans="1:12" x14ac:dyDescent="0.3">
      <c r="A10" s="3"/>
      <c r="B10" s="43" t="s">
        <v>24</v>
      </c>
      <c r="C10" s="43"/>
      <c r="D10" s="43"/>
      <c r="E10" s="8">
        <v>7.75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9.8000000000000007</v>
      </c>
    </row>
    <row r="11" spans="1:12" x14ac:dyDescent="0.3">
      <c r="A11" s="2"/>
      <c r="B11" s="44" t="s">
        <v>23</v>
      </c>
      <c r="C11" s="44"/>
      <c r="D11" s="44"/>
      <c r="E11" s="1" t="s">
        <v>64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 t="s">
        <v>111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 t="s">
        <v>78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106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 t="s">
        <v>111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 t="s">
        <v>75</v>
      </c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>
        <v>7.75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>
        <v>6744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55" priority="1" operator="equal">
      <formula>"Returned"</formula>
    </cfRule>
    <cfRule type="cellIs" dxfId="54" priority="4" operator="equal">
      <formula>"Ready To Order"</formula>
    </cfRule>
    <cfRule type="containsText" dxfId="53" priority="5" operator="containsText" text="UNP">
      <formula>NOT(ISERROR(SEARCH("UNP",G6)))</formula>
    </cfRule>
    <cfRule type="containsText" dxfId="52" priority="6" operator="containsText" text="Ordered">
      <formula>NOT(ISERROR(SEARCH("Ordered",G6)))</formula>
    </cfRule>
    <cfRule type="containsText" dxfId="51" priority="7" operator="containsText" text="Pick Up">
      <formula>NOT(ISERROR(SEARCH("Pick Up",G6)))</formula>
    </cfRule>
    <cfRule type="containsText" dxfId="50" priority="8" operator="containsText" text="Complete">
      <formula>NOT(ISERROR(SEARCH("Complete",G6)))</formula>
    </cfRule>
  </conditionalFormatting>
  <conditionalFormatting sqref="G30:G33">
    <cfRule type="containsText" dxfId="49" priority="3" operator="containsText" text="Given">
      <formula>NOT(ISERROR(SEARCH("Given",G30)))</formula>
    </cfRule>
  </conditionalFormatting>
  <conditionalFormatting sqref="G30:G34">
    <cfRule type="containsText" dxfId="4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D820D62-4A10-4BA8-AB43-AB25905C2824}">
      <formula1>"--,Returned, Given"</formula1>
    </dataValidation>
    <dataValidation type="list" allowBlank="1" showInputMessage="1" showErrorMessage="1" sqref="G6:G26" xr:uid="{D095C0AE-B237-4479-AC4E-9556E37D7C76}">
      <formula1>"UNP, Ready To Order, Ordered, Pick Up, Complete, Returned"</formula1>
    </dataValidation>
    <dataValidation type="decimal" allowBlank="1" showInputMessage="1" showErrorMessage="1" sqref="L2" xr:uid="{B76EF24F-97CE-461E-B31F-2402D356B016}">
      <formula1>19</formula1>
      <formula2>26</formula2>
    </dataValidation>
  </dataValidations>
  <hyperlinks>
    <hyperlink ref="A1:A2" location="Menu!A1" display="Back to Menu" xr:uid="{3AFAA3DD-C87A-40BE-A418-76749C88660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3626-4474-45A3-8DD8-467C8E8B872E}">
  <sheetPr codeName="Sheet5"/>
  <dimension ref="A1:L34"/>
  <sheetViews>
    <sheetView workbookViewId="0">
      <selection activeCell="E8" sqref="E8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114</v>
      </c>
      <c r="D2" s="44"/>
      <c r="E2" s="44" t="s">
        <v>115</v>
      </c>
      <c r="F2" s="44"/>
      <c r="G2" s="1" t="s">
        <v>116</v>
      </c>
      <c r="K2" s="4" t="s">
        <v>9</v>
      </c>
      <c r="L2" s="4">
        <v>24.5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15.6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60</v>
      </c>
      <c r="K4" s="4" t="s">
        <v>12</v>
      </c>
      <c r="L4" s="4">
        <v>55.7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50.6</v>
      </c>
    </row>
    <row r="6" spans="1:12" x14ac:dyDescent="0.3">
      <c r="A6" s="3" t="s">
        <v>117</v>
      </c>
      <c r="B6" s="43" t="s">
        <v>18</v>
      </c>
      <c r="C6" s="43"/>
      <c r="D6" s="43"/>
      <c r="E6" s="4">
        <v>7056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59.7</v>
      </c>
    </row>
    <row r="7" spans="1:12" x14ac:dyDescent="0.3">
      <c r="A7" s="2" t="s">
        <v>119</v>
      </c>
      <c r="B7" s="44" t="s">
        <v>21</v>
      </c>
      <c r="C7" s="44"/>
      <c r="D7" s="44"/>
      <c r="E7" s="1" t="s">
        <v>118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66.7</v>
      </c>
    </row>
    <row r="8" spans="1:12" x14ac:dyDescent="0.3">
      <c r="A8" s="3"/>
      <c r="B8" s="43" t="s">
        <v>19</v>
      </c>
      <c r="C8" s="43"/>
      <c r="D8" s="43"/>
      <c r="E8" s="4"/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256.60000000000002</v>
      </c>
    </row>
    <row r="9" spans="1:12" x14ac:dyDescent="0.3">
      <c r="A9" s="2"/>
      <c r="B9" s="44" t="s">
        <v>20</v>
      </c>
      <c r="C9" s="44"/>
      <c r="D9" s="44"/>
      <c r="E9" s="1"/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89.2</v>
      </c>
    </row>
    <row r="10" spans="1:12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6.1</v>
      </c>
    </row>
    <row r="11" spans="1:12" x14ac:dyDescent="0.3">
      <c r="A11" s="2"/>
      <c r="B11" s="44" t="s">
        <v>23</v>
      </c>
      <c r="C11" s="44"/>
      <c r="D11" s="44"/>
      <c r="E11" s="1"/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/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47" priority="1" operator="equal">
      <formula>"Returned"</formula>
    </cfRule>
    <cfRule type="cellIs" dxfId="46" priority="4" operator="equal">
      <formula>"Ready To Order"</formula>
    </cfRule>
    <cfRule type="containsText" dxfId="45" priority="5" operator="containsText" text="UNP">
      <formula>NOT(ISERROR(SEARCH("UNP",G6)))</formula>
    </cfRule>
    <cfRule type="containsText" dxfId="44" priority="6" operator="containsText" text="Ordered">
      <formula>NOT(ISERROR(SEARCH("Ordered",G6)))</formula>
    </cfRule>
    <cfRule type="containsText" dxfId="43" priority="7" operator="containsText" text="Pick Up">
      <formula>NOT(ISERROR(SEARCH("Pick Up",G6)))</formula>
    </cfRule>
    <cfRule type="containsText" dxfId="42" priority="8" operator="containsText" text="Complete">
      <formula>NOT(ISERROR(SEARCH("Complete",G6)))</formula>
    </cfRule>
  </conditionalFormatting>
  <conditionalFormatting sqref="G30:G33">
    <cfRule type="containsText" dxfId="41" priority="3" operator="containsText" text="Given">
      <formula>NOT(ISERROR(SEARCH("Given",G30)))</formula>
    </cfRule>
  </conditionalFormatting>
  <conditionalFormatting sqref="G30:G34">
    <cfRule type="containsText" dxfId="4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DAC2CB91-BAC9-4516-A53A-3C3C0F6F76FC}">
      <formula1>"--,Returned, Given"</formula1>
    </dataValidation>
    <dataValidation type="list" allowBlank="1" showInputMessage="1" showErrorMessage="1" sqref="G6:G26" xr:uid="{CBDE103B-03E8-4A54-BD09-A6D6D9B99A11}">
      <formula1>"UNP, Ready To Order, Ordered, Pick Up, Complete, Returned"</formula1>
    </dataValidation>
    <dataValidation type="decimal" allowBlank="1" showInputMessage="1" showErrorMessage="1" sqref="L2" xr:uid="{3C37D0BB-4887-4952-9EAD-88E542E57753}">
      <formula1>19</formula1>
      <formula2>26</formula2>
    </dataValidation>
  </dataValidations>
  <hyperlinks>
    <hyperlink ref="A1:A2" location="Menu!A1" display="Back to Menu" xr:uid="{8B83155E-956A-4C73-B736-AA57BCA9AE2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6A63B-F966-4050-8661-0AD143A918C4}">
  <sheetPr codeName="Sheet6"/>
  <dimension ref="A1:L34"/>
  <sheetViews>
    <sheetView workbookViewId="0">
      <selection activeCell="A48" sqref="A48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86</v>
      </c>
      <c r="D2" s="44"/>
      <c r="E2" s="44" t="s">
        <v>120</v>
      </c>
      <c r="F2" s="44"/>
      <c r="G2" s="1" t="s">
        <v>121</v>
      </c>
      <c r="K2" s="4" t="s">
        <v>9</v>
      </c>
      <c r="L2" s="4">
        <v>22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17.7</v>
      </c>
    </row>
    <row r="4" spans="1:12" x14ac:dyDescent="0.3">
      <c r="A4" s="1" t="s">
        <v>39</v>
      </c>
      <c r="B4" s="49">
        <v>8667585022</v>
      </c>
      <c r="C4" s="49"/>
      <c r="D4" s="49"/>
      <c r="E4" s="44"/>
      <c r="F4" s="44"/>
      <c r="G4" s="1" t="s">
        <v>60</v>
      </c>
      <c r="K4" s="4" t="s">
        <v>12</v>
      </c>
      <c r="L4" s="4">
        <v>30.8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42.5</v>
      </c>
    </row>
    <row r="6" spans="1:12" x14ac:dyDescent="0.3">
      <c r="A6" s="3" t="s">
        <v>122</v>
      </c>
      <c r="B6" s="43" t="s">
        <v>18</v>
      </c>
      <c r="C6" s="43"/>
      <c r="D6" s="43"/>
      <c r="E6" s="4">
        <v>6732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55.7</v>
      </c>
    </row>
    <row r="7" spans="1:12" x14ac:dyDescent="0.3">
      <c r="A7" s="2" t="s">
        <v>124</v>
      </c>
      <c r="B7" s="44" t="s">
        <v>21</v>
      </c>
      <c r="C7" s="44"/>
      <c r="D7" s="44"/>
      <c r="E7" s="1" t="s">
        <v>123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66.5</v>
      </c>
    </row>
    <row r="8" spans="1:12" x14ac:dyDescent="0.3">
      <c r="A8" s="3" t="s">
        <v>125</v>
      </c>
      <c r="B8" s="43" t="s">
        <v>19</v>
      </c>
      <c r="C8" s="43"/>
      <c r="D8" s="43"/>
      <c r="E8" s="4" t="s">
        <v>46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326.8</v>
      </c>
    </row>
    <row r="9" spans="1:12" x14ac:dyDescent="0.3">
      <c r="A9" s="2" t="s">
        <v>127</v>
      </c>
      <c r="B9" s="44" t="s">
        <v>20</v>
      </c>
      <c r="C9" s="44"/>
      <c r="D9" s="44"/>
      <c r="E9" s="1" t="s">
        <v>126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105.4</v>
      </c>
    </row>
    <row r="10" spans="1:12" x14ac:dyDescent="0.3">
      <c r="A10" s="3" t="s">
        <v>128</v>
      </c>
      <c r="B10" s="43" t="s">
        <v>24</v>
      </c>
      <c r="C10" s="43"/>
      <c r="D10" s="43"/>
      <c r="E10" s="8">
        <v>7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6.2</v>
      </c>
    </row>
    <row r="11" spans="1:12" x14ac:dyDescent="0.3">
      <c r="A11" s="2" t="s">
        <v>130</v>
      </c>
      <c r="B11" s="44" t="s">
        <v>23</v>
      </c>
      <c r="C11" s="44"/>
      <c r="D11" s="44"/>
      <c r="E11" s="1" t="s">
        <v>129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 t="s">
        <v>131</v>
      </c>
      <c r="B12" s="43" t="s">
        <v>25</v>
      </c>
      <c r="C12" s="43"/>
      <c r="D12" s="43"/>
      <c r="E12" s="4" t="s">
        <v>63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 t="s">
        <v>113</v>
      </c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 t="s">
        <v>132</v>
      </c>
      <c r="B14" s="43" t="s">
        <v>27</v>
      </c>
      <c r="C14" s="43"/>
      <c r="D14" s="43"/>
      <c r="E14" s="4" t="s">
        <v>105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 t="s">
        <v>106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C3EAF99-FFDF-496D-AB49-760E657A2180}">
      <formula1>"--,Returned, Given"</formula1>
    </dataValidation>
    <dataValidation type="list" allowBlank="1" showInputMessage="1" showErrorMessage="1" sqref="G6:G26" xr:uid="{9085EE97-5AC4-4366-81B2-F2BA68AB7D75}">
      <formula1>"UNP, Ready To Order, Ordered, Pick Up, Complete, Returned"</formula1>
    </dataValidation>
    <dataValidation type="decimal" allowBlank="1" showInputMessage="1" showErrorMessage="1" sqref="L2" xr:uid="{72AD213F-1FB7-48DD-A72A-4F5593FED9C8}">
      <formula1>19</formula1>
      <formula2>26</formula2>
    </dataValidation>
  </dataValidations>
  <hyperlinks>
    <hyperlink ref="A1:A2" location="Menu!A1" display="Back to Menu" xr:uid="{E9E7CC57-1E67-4754-968E-AC6F1E3740C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BD02D-5A2E-4D57-8F57-419376DFB6C9}">
  <sheetPr codeName="Sheet8"/>
  <dimension ref="A1:L34"/>
  <sheetViews>
    <sheetView workbookViewId="0">
      <selection activeCell="J5" sqref="J5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92</v>
      </c>
      <c r="D2" s="44"/>
      <c r="E2" s="44" t="s">
        <v>133</v>
      </c>
      <c r="F2" s="44"/>
      <c r="G2" s="1" t="s">
        <v>134</v>
      </c>
      <c r="K2" s="4" t="s">
        <v>9</v>
      </c>
      <c r="L2" s="4">
        <v>21.6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60</v>
      </c>
      <c r="K4" s="4" t="s">
        <v>12</v>
      </c>
      <c r="L4" s="4">
        <v>26.8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61</v>
      </c>
    </row>
    <row r="6" spans="1:12" x14ac:dyDescent="0.3">
      <c r="A6" s="3" t="s">
        <v>135</v>
      </c>
      <c r="B6" s="43" t="s">
        <v>18</v>
      </c>
      <c r="C6" s="43"/>
      <c r="D6" s="43"/>
      <c r="E6" s="4">
        <v>6428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54.3</v>
      </c>
    </row>
    <row r="7" spans="1:12" x14ac:dyDescent="0.3">
      <c r="A7" s="2" t="s">
        <v>137</v>
      </c>
      <c r="B7" s="44" t="s">
        <v>21</v>
      </c>
      <c r="C7" s="44"/>
      <c r="D7" s="44"/>
      <c r="E7" s="1" t="s">
        <v>136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63.4</v>
      </c>
    </row>
    <row r="8" spans="1:12" x14ac:dyDescent="0.3">
      <c r="A8" s="3" t="s">
        <v>138</v>
      </c>
      <c r="B8" s="43" t="s">
        <v>19</v>
      </c>
      <c r="C8" s="43"/>
      <c r="D8" s="43"/>
      <c r="E8" s="4" t="s">
        <v>47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229.4</v>
      </c>
    </row>
    <row r="9" spans="1:12" x14ac:dyDescent="0.3">
      <c r="A9" s="2"/>
      <c r="B9" s="44" t="s">
        <v>20</v>
      </c>
      <c r="C9" s="44"/>
      <c r="D9" s="44"/>
      <c r="E9" s="1"/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93</v>
      </c>
    </row>
    <row r="10" spans="1:12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7.1</v>
      </c>
    </row>
    <row r="11" spans="1:12" x14ac:dyDescent="0.3">
      <c r="A11" s="2"/>
      <c r="B11" s="44" t="s">
        <v>23</v>
      </c>
      <c r="C11" s="44"/>
      <c r="D11" s="44"/>
      <c r="E11" s="1"/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/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88D35086-BF5E-47E0-BACF-2EC930F5A0F0}">
      <formula1>"--,Returned, Given"</formula1>
    </dataValidation>
    <dataValidation type="list" allowBlank="1" showInputMessage="1" showErrorMessage="1" sqref="G6:G26" xr:uid="{F2531D56-2776-427D-AEDA-F763F49AE555}">
      <formula1>"UNP, Ready To Order, Ordered, Pick Up, Complete, Returned"</formula1>
    </dataValidation>
    <dataValidation type="decimal" allowBlank="1" showInputMessage="1" showErrorMessage="1" sqref="L2" xr:uid="{686BCF1E-CBB0-4685-A6F8-A740E08C1803}">
      <formula1>19</formula1>
      <formula2>26</formula2>
    </dataValidation>
  </dataValidations>
  <hyperlinks>
    <hyperlink ref="A1:A2" location="Menu!A1" display="Back to Menu" xr:uid="{32882FE3-5984-4BFA-BB2E-08407207896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5D593-5780-4CED-B679-186F6ABF5F47}">
  <sheetPr codeName="Sheet9"/>
  <dimension ref="A1:L34"/>
  <sheetViews>
    <sheetView workbookViewId="0">
      <selection activeCell="J5" sqref="J5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139</v>
      </c>
      <c r="D2" s="44"/>
      <c r="E2" s="44" t="s">
        <v>140</v>
      </c>
      <c r="F2" s="44"/>
      <c r="G2" s="1" t="s">
        <v>141</v>
      </c>
      <c r="K2" s="4" t="s">
        <v>9</v>
      </c>
      <c r="L2" s="4">
        <v>22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15.4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60</v>
      </c>
      <c r="K4" s="4" t="s">
        <v>12</v>
      </c>
      <c r="L4" s="4">
        <v>55.3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54.4</v>
      </c>
    </row>
    <row r="6" spans="1:12" x14ac:dyDescent="0.3">
      <c r="A6" s="3" t="s">
        <v>117</v>
      </c>
      <c r="B6" s="43" t="s">
        <v>18</v>
      </c>
      <c r="C6" s="43"/>
      <c r="D6" s="43"/>
      <c r="E6" s="4">
        <v>7056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65.7</v>
      </c>
    </row>
    <row r="7" spans="1:12" x14ac:dyDescent="0.3">
      <c r="A7" s="2" t="s">
        <v>119</v>
      </c>
      <c r="B7" s="44" t="s">
        <v>21</v>
      </c>
      <c r="C7" s="44"/>
      <c r="D7" s="44"/>
      <c r="E7" s="1" t="s">
        <v>118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61.7</v>
      </c>
    </row>
    <row r="8" spans="1:12" x14ac:dyDescent="0.3">
      <c r="A8" s="3"/>
      <c r="B8" s="43" t="s">
        <v>19</v>
      </c>
      <c r="C8" s="43"/>
      <c r="D8" s="43"/>
      <c r="E8" s="4"/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220.8</v>
      </c>
    </row>
    <row r="9" spans="1:12" x14ac:dyDescent="0.3">
      <c r="A9" s="2"/>
      <c r="B9" s="44" t="s">
        <v>20</v>
      </c>
      <c r="C9" s="44"/>
      <c r="D9" s="44"/>
      <c r="E9" s="1"/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98</v>
      </c>
    </row>
    <row r="10" spans="1:12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7</v>
      </c>
    </row>
    <row r="11" spans="1:12" x14ac:dyDescent="0.3">
      <c r="A11" s="2"/>
      <c r="B11" s="44" t="s">
        <v>23</v>
      </c>
      <c r="C11" s="44"/>
      <c r="D11" s="44"/>
      <c r="E11" s="1"/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/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98912A0-5939-4BAC-B7AD-615463352E6F}">
      <formula1>"--,Returned, Given"</formula1>
    </dataValidation>
    <dataValidation type="list" allowBlank="1" showInputMessage="1" showErrorMessage="1" sqref="G6:G26" xr:uid="{98B6947C-9440-4296-92C3-64F3C5861FCE}">
      <formula1>"UNP, Ready To Order, Ordered, Pick Up, Complete, Returned"</formula1>
    </dataValidation>
    <dataValidation type="decimal" allowBlank="1" showInputMessage="1" showErrorMessage="1" sqref="L2" xr:uid="{AF9C9452-1CF4-4F64-9234-40D122023855}">
      <formula1>19</formula1>
      <formula2>26</formula2>
    </dataValidation>
  </dataValidations>
  <hyperlinks>
    <hyperlink ref="A1:A2" location="Menu!A1" display="Back to Menu" xr:uid="{0059D453-8C6B-4D95-80FD-6388F5E5DC3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A1BA-93AB-4F8E-8041-CCBA6264C04C}">
  <sheetPr codeName="Sheet10"/>
  <dimension ref="A1:L34"/>
  <sheetViews>
    <sheetView workbookViewId="0">
      <selection activeCell="J5" sqref="J5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79</v>
      </c>
      <c r="D2" s="44"/>
      <c r="E2" s="44" t="s">
        <v>142</v>
      </c>
      <c r="F2" s="44"/>
      <c r="G2" s="1" t="s">
        <v>143</v>
      </c>
      <c r="K2" s="4" t="s">
        <v>9</v>
      </c>
      <c r="L2" s="4">
        <v>22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12.9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60</v>
      </c>
      <c r="K4" s="4" t="s">
        <v>12</v>
      </c>
      <c r="L4" s="4">
        <v>28.4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52.5</v>
      </c>
    </row>
    <row r="6" spans="1:12" x14ac:dyDescent="0.3">
      <c r="A6" s="3"/>
      <c r="B6" s="43" t="s">
        <v>18</v>
      </c>
      <c r="C6" s="43"/>
      <c r="D6" s="43"/>
      <c r="E6" s="4"/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49.4</v>
      </c>
    </row>
    <row r="7" spans="1:12" x14ac:dyDescent="0.3">
      <c r="A7" s="2"/>
      <c r="B7" s="44" t="s">
        <v>21</v>
      </c>
      <c r="C7" s="44"/>
      <c r="D7" s="44"/>
      <c r="E7" s="1"/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64.5</v>
      </c>
    </row>
    <row r="8" spans="1:12" x14ac:dyDescent="0.3">
      <c r="A8" s="3"/>
      <c r="B8" s="43" t="s">
        <v>19</v>
      </c>
      <c r="C8" s="43"/>
      <c r="D8" s="43"/>
      <c r="E8" s="4"/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250.7</v>
      </c>
    </row>
    <row r="9" spans="1:12" x14ac:dyDescent="0.3">
      <c r="A9" s="2"/>
      <c r="B9" s="44" t="s">
        <v>20</v>
      </c>
      <c r="C9" s="44"/>
      <c r="D9" s="44"/>
      <c r="E9" s="1"/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100.7</v>
      </c>
    </row>
    <row r="10" spans="1:12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6.8</v>
      </c>
    </row>
    <row r="11" spans="1:12" x14ac:dyDescent="0.3">
      <c r="A11" s="2"/>
      <c r="B11" s="44" t="s">
        <v>23</v>
      </c>
      <c r="C11" s="44"/>
      <c r="D11" s="44"/>
      <c r="E11" s="1"/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/>
      <c r="B13" s="44" t="s">
        <v>26</v>
      </c>
      <c r="C13" s="44"/>
      <c r="D13" s="44"/>
      <c r="E13" s="1"/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7BC3939-117A-4C7F-B97C-EF7C9A76B4C0}">
      <formula1>"--,Returned, Given"</formula1>
    </dataValidation>
    <dataValidation type="list" allowBlank="1" showInputMessage="1" showErrorMessage="1" sqref="G6:G26" xr:uid="{D1083D36-94DD-4FE5-9A1C-1FC91997C785}">
      <formula1>"UNP, Ready To Order, Ordered, Pick Up, Complete, Returned"</formula1>
    </dataValidation>
    <dataValidation type="decimal" allowBlank="1" showInputMessage="1" showErrorMessage="1" sqref="L2" xr:uid="{5568E61D-AB4E-4318-90E3-C8604F8950D9}">
      <formula1>19</formula1>
      <formula2>26</formula2>
    </dataValidation>
  </dataValidations>
  <hyperlinks>
    <hyperlink ref="A1:A2" location="Menu!A1" display="Back to Menu" xr:uid="{297639E7-5DC9-4F4D-A422-465C961FD79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6632A-2448-4BAD-A8E6-03E1D6D40C77}">
  <sheetPr codeName="Sheet11"/>
  <dimension ref="A1:L34"/>
  <sheetViews>
    <sheetView tabSelected="1" workbookViewId="0">
      <selection activeCell="M32" sqref="M3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x14ac:dyDescent="0.3">
      <c r="A2" s="51"/>
      <c r="B2" s="2" t="s">
        <v>44</v>
      </c>
      <c r="C2" s="44" t="s">
        <v>114</v>
      </c>
      <c r="D2" s="44"/>
      <c r="E2" s="44" t="s">
        <v>115</v>
      </c>
      <c r="F2" s="44"/>
      <c r="G2" s="1" t="s">
        <v>144</v>
      </c>
      <c r="K2" s="4" t="s">
        <v>9</v>
      </c>
      <c r="L2" s="4">
        <v>24.3</v>
      </c>
    </row>
    <row r="3" spans="1:12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>
        <v>17.7</v>
      </c>
    </row>
    <row r="4" spans="1:12" x14ac:dyDescent="0.3">
      <c r="A4" s="1" t="s">
        <v>39</v>
      </c>
      <c r="B4" s="49">
        <v>7345806215</v>
      </c>
      <c r="C4" s="49"/>
      <c r="D4" s="49"/>
      <c r="E4" s="44"/>
      <c r="F4" s="44"/>
      <c r="G4" s="1" t="s">
        <v>60</v>
      </c>
      <c r="K4" s="4" t="s">
        <v>12</v>
      </c>
      <c r="L4" s="4">
        <v>30</v>
      </c>
    </row>
    <row r="5" spans="1:12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>
        <v>46.8</v>
      </c>
    </row>
    <row r="6" spans="1:12" x14ac:dyDescent="0.3">
      <c r="A6" s="3" t="s">
        <v>145</v>
      </c>
      <c r="B6" s="43" t="s">
        <v>18</v>
      </c>
      <c r="C6" s="43"/>
      <c r="D6" s="43"/>
      <c r="E6" s="4">
        <v>6130</v>
      </c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>
        <v>37.1</v>
      </c>
    </row>
    <row r="7" spans="1:12" x14ac:dyDescent="0.3">
      <c r="A7" s="2" t="s">
        <v>124</v>
      </c>
      <c r="B7" s="44" t="s">
        <v>21</v>
      </c>
      <c r="C7" s="44"/>
      <c r="D7" s="44"/>
      <c r="E7" s="1" t="s">
        <v>123</v>
      </c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>
        <v>60.8</v>
      </c>
    </row>
    <row r="8" spans="1:12" x14ac:dyDescent="0.3">
      <c r="A8" s="3" t="s">
        <v>125</v>
      </c>
      <c r="B8" s="43" t="s">
        <v>19</v>
      </c>
      <c r="C8" s="43"/>
      <c r="D8" s="43"/>
      <c r="E8" s="4" t="s">
        <v>46</v>
      </c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>
        <v>288.7</v>
      </c>
    </row>
    <row r="9" spans="1:12" x14ac:dyDescent="0.3">
      <c r="A9" s="2" t="s">
        <v>127</v>
      </c>
      <c r="B9" s="44" t="s">
        <v>20</v>
      </c>
      <c r="C9" s="44"/>
      <c r="D9" s="44"/>
      <c r="E9" s="1" t="s">
        <v>126</v>
      </c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>
        <v>117.2</v>
      </c>
    </row>
    <row r="10" spans="1:12" x14ac:dyDescent="0.3">
      <c r="A10" s="3" t="s">
        <v>146</v>
      </c>
      <c r="B10" s="43" t="s">
        <v>24</v>
      </c>
      <c r="C10" s="43"/>
      <c r="D10" s="43"/>
      <c r="E10" s="8">
        <v>7.875</v>
      </c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>
        <v>9.4</v>
      </c>
    </row>
    <row r="11" spans="1:12" x14ac:dyDescent="0.3">
      <c r="A11" s="2" t="s">
        <v>130</v>
      </c>
      <c r="B11" s="44" t="s">
        <v>23</v>
      </c>
      <c r="C11" s="44"/>
      <c r="D11" s="44"/>
      <c r="E11" s="1" t="s">
        <v>129</v>
      </c>
      <c r="F11" s="18">
        <v>1</v>
      </c>
      <c r="G11" s="4" t="s">
        <v>59</v>
      </c>
      <c r="H11" s="24" t="str">
        <f t="shared" si="0"/>
        <v>€</v>
      </c>
    </row>
    <row r="12" spans="1:12" x14ac:dyDescent="0.3">
      <c r="A12" s="5" t="s">
        <v>112</v>
      </c>
      <c r="B12" s="43" t="s">
        <v>25</v>
      </c>
      <c r="C12" s="43"/>
      <c r="D12" s="43"/>
      <c r="E12" s="4" t="s">
        <v>111</v>
      </c>
      <c r="F12" s="4">
        <v>1</v>
      </c>
      <c r="G12" s="4" t="s">
        <v>59</v>
      </c>
      <c r="H12" s="24" t="str">
        <f t="shared" si="0"/>
        <v>€</v>
      </c>
    </row>
    <row r="13" spans="1:12" x14ac:dyDescent="0.3">
      <c r="A13" s="2" t="s">
        <v>113</v>
      </c>
      <c r="B13" s="44" t="s">
        <v>26</v>
      </c>
      <c r="C13" s="44"/>
      <c r="D13" s="44"/>
      <c r="E13" s="1" t="s">
        <v>49</v>
      </c>
      <c r="F13" s="18">
        <v>1</v>
      </c>
      <c r="G13" s="4" t="s">
        <v>59</v>
      </c>
      <c r="H13" s="24" t="str">
        <f t="shared" si="0"/>
        <v>€</v>
      </c>
    </row>
    <row r="14" spans="1:12" x14ac:dyDescent="0.3">
      <c r="A14" s="5" t="s">
        <v>148</v>
      </c>
      <c r="B14" s="43" t="s">
        <v>27</v>
      </c>
      <c r="C14" s="43"/>
      <c r="D14" s="43"/>
      <c r="E14" s="4" t="s">
        <v>147</v>
      </c>
      <c r="F14" s="4">
        <v>1</v>
      </c>
      <c r="G14" s="4" t="s">
        <v>59</v>
      </c>
      <c r="H14" s="24" t="str">
        <f t="shared" si="0"/>
        <v>€</v>
      </c>
    </row>
    <row r="15" spans="1:12" x14ac:dyDescent="0.3">
      <c r="A15" s="2"/>
      <c r="B15" s="45"/>
      <c r="C15" s="45"/>
      <c r="D15" s="45"/>
      <c r="E15" s="1"/>
      <c r="F15" s="18"/>
      <c r="G15" s="4"/>
      <c r="H15" s="16"/>
    </row>
    <row r="16" spans="1:12" x14ac:dyDescent="0.3">
      <c r="A16" s="5" t="s">
        <v>67</v>
      </c>
      <c r="B16" s="43" t="s">
        <v>28</v>
      </c>
      <c r="C16" s="43"/>
      <c r="D16" s="43"/>
      <c r="E16" s="4" t="s">
        <v>106</v>
      </c>
      <c r="F16" s="4">
        <v>1</v>
      </c>
      <c r="G16" s="4" t="s">
        <v>59</v>
      </c>
      <c r="H16" s="26" t="str">
        <f>HYPERLINK("#G16",CHAR(128))</f>
        <v>€</v>
      </c>
    </row>
    <row r="17" spans="1:10" x14ac:dyDescent="0.3">
      <c r="A17" s="2" t="s">
        <v>149</v>
      </c>
      <c r="B17" s="44" t="s">
        <v>22</v>
      </c>
      <c r="C17" s="44"/>
      <c r="D17" s="44"/>
      <c r="E17" s="1" t="s">
        <v>111</v>
      </c>
      <c r="F17" s="18">
        <v>1</v>
      </c>
      <c r="G17" s="4" t="s">
        <v>59</v>
      </c>
      <c r="H17" s="26" t="str">
        <f>HYPERLINK("#G17",CHAR(128))</f>
        <v>€</v>
      </c>
    </row>
    <row r="18" spans="1:10" x14ac:dyDescent="0.3">
      <c r="A18" s="5" t="s">
        <v>150</v>
      </c>
      <c r="B18" s="43" t="s">
        <v>29</v>
      </c>
      <c r="C18" s="43"/>
      <c r="D18" s="43"/>
      <c r="E18" s="4">
        <v>6436</v>
      </c>
      <c r="F18" s="4">
        <v>1</v>
      </c>
      <c r="G18" s="4" t="s">
        <v>59</v>
      </c>
      <c r="H18" s="26" t="str">
        <f>HYPERLINK("#G18",CHAR(128))</f>
        <v>€</v>
      </c>
    </row>
    <row r="19" spans="1:10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0" x14ac:dyDescent="0.3">
      <c r="A20" s="5"/>
      <c r="B20" s="46"/>
      <c r="C20" s="47"/>
      <c r="D20" s="48"/>
      <c r="E20" s="4"/>
      <c r="F20" s="4"/>
      <c r="G20" s="4"/>
      <c r="H20" s="16"/>
    </row>
    <row r="21" spans="1:10" x14ac:dyDescent="0.3">
      <c r="A21" s="2" t="s">
        <v>151</v>
      </c>
      <c r="B21" s="44" t="s">
        <v>33</v>
      </c>
      <c r="C21" s="44"/>
      <c r="D21" s="44"/>
      <c r="E21" s="9">
        <v>7.875</v>
      </c>
      <c r="F21" s="18">
        <v>1</v>
      </c>
      <c r="G21" s="4" t="s">
        <v>59</v>
      </c>
      <c r="H21" s="26" t="str">
        <f>HYPERLINK("#G21",CHAR(128))</f>
        <v>€</v>
      </c>
    </row>
    <row r="22" spans="1:10" x14ac:dyDescent="0.3">
      <c r="A22" s="5" t="s">
        <v>152</v>
      </c>
      <c r="B22" s="43" t="s">
        <v>31</v>
      </c>
      <c r="C22" s="43"/>
      <c r="D22" s="43"/>
      <c r="E22" s="4">
        <v>6432</v>
      </c>
      <c r="F22" s="4">
        <v>1</v>
      </c>
      <c r="G22" s="4" t="s">
        <v>59</v>
      </c>
      <c r="H22" s="26" t="str">
        <f>HYPERLINK("#G22",CHAR(128))</f>
        <v>€</v>
      </c>
    </row>
    <row r="23" spans="1:10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0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0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0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0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7" priority="1" operator="equal">
      <formula>"Returned"</formula>
    </cfRule>
    <cfRule type="cellIs" dxfId="6" priority="4" operator="equal">
      <formula>"Ready To Order"</formula>
    </cfRule>
    <cfRule type="containsText" dxfId="5" priority="5" operator="containsText" text="UNP">
      <formula>NOT(ISERROR(SEARCH("UNP",G6)))</formula>
    </cfRule>
    <cfRule type="containsText" dxfId="4" priority="6" operator="containsText" text="Ordered">
      <formula>NOT(ISERROR(SEARCH("Ordered",G6)))</formula>
    </cfRule>
    <cfRule type="containsText" dxfId="3" priority="7" operator="containsText" text="Pick Up">
      <formula>NOT(ISERROR(SEARCH("Pick Up",G6)))</formula>
    </cfRule>
    <cfRule type="containsText" dxfId="2" priority="8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98C3964-DF1E-4FB9-A0FA-B9907369AD08}">
      <formula1>"--,Returned, Given"</formula1>
    </dataValidation>
    <dataValidation type="list" allowBlank="1" showInputMessage="1" showErrorMessage="1" sqref="G6:G26" xr:uid="{22A30450-561F-42E4-9535-262C92E2D48B}">
      <formula1>"UNP, Ready To Order, Ordered, Pick Up, Complete, Returned"</formula1>
    </dataValidation>
    <dataValidation type="decimal" allowBlank="1" showInputMessage="1" showErrorMessage="1" sqref="L2" xr:uid="{FF0DF581-DCF0-4193-B4EA-86C72D9EA8EE}">
      <formula1>19</formula1>
      <formula2>26</formula2>
    </dataValidation>
  </dataValidations>
  <hyperlinks>
    <hyperlink ref="A1:A2" location="Menu!A1" display="Back to Menu" xr:uid="{096F544E-8946-4165-9F47-F51DD96751F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sqref="A1:L36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50" t="s">
        <v>42</v>
      </c>
      <c r="B1" s="22" t="s">
        <v>3</v>
      </c>
      <c r="C1" s="42" t="s">
        <v>0</v>
      </c>
      <c r="D1" s="42"/>
      <c r="E1" s="42" t="s">
        <v>2</v>
      </c>
      <c r="F1" s="42"/>
      <c r="G1" s="22" t="s">
        <v>34</v>
      </c>
      <c r="K1" s="22" t="s">
        <v>38</v>
      </c>
      <c r="L1" s="22" t="s">
        <v>10</v>
      </c>
    </row>
    <row r="2" spans="1:12" ht="17.2" customHeight="1" x14ac:dyDescent="0.3">
      <c r="A2" s="51"/>
      <c r="B2" s="2"/>
      <c r="C2" s="44"/>
      <c r="D2" s="44"/>
      <c r="E2" s="44"/>
      <c r="F2" s="44"/>
      <c r="G2" s="1"/>
      <c r="K2" s="4" t="s">
        <v>9</v>
      </c>
      <c r="L2" s="4"/>
    </row>
    <row r="3" spans="1:12" ht="17.2" customHeight="1" x14ac:dyDescent="0.3">
      <c r="A3" s="22" t="s">
        <v>1</v>
      </c>
      <c r="B3" s="52" t="s">
        <v>4</v>
      </c>
      <c r="C3" s="53"/>
      <c r="D3" s="54"/>
      <c r="E3" s="52" t="s">
        <v>76</v>
      </c>
      <c r="F3" s="54"/>
      <c r="G3" s="22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49"/>
      <c r="C4" s="49"/>
      <c r="D4" s="49"/>
      <c r="E4" s="44"/>
      <c r="F4" s="44"/>
      <c r="G4" s="1"/>
      <c r="K4" s="4" t="s">
        <v>12</v>
      </c>
      <c r="L4" s="4"/>
    </row>
    <row r="5" spans="1:12" ht="17.2" customHeight="1" x14ac:dyDescent="0.3">
      <c r="A5" s="22" t="s">
        <v>6</v>
      </c>
      <c r="B5" s="42" t="s">
        <v>7</v>
      </c>
      <c r="C5" s="42"/>
      <c r="D5" s="42"/>
      <c r="E5" s="22" t="s">
        <v>8</v>
      </c>
      <c r="F5" s="22" t="s">
        <v>35</v>
      </c>
      <c r="G5" s="22" t="s">
        <v>36</v>
      </c>
      <c r="K5" s="1" t="s">
        <v>13</v>
      </c>
      <c r="L5" s="1"/>
    </row>
    <row r="6" spans="1:12" ht="17.2" customHeight="1" x14ac:dyDescent="0.3">
      <c r="A6" s="3"/>
      <c r="B6" s="43" t="s">
        <v>18</v>
      </c>
      <c r="C6" s="43"/>
      <c r="D6" s="43"/>
      <c r="E6" s="4"/>
      <c r="F6" s="4">
        <v>1</v>
      </c>
      <c r="G6" s="28" t="s">
        <v>59</v>
      </c>
      <c r="H6" s="24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44" t="s">
        <v>21</v>
      </c>
      <c r="C7" s="44"/>
      <c r="D7" s="44"/>
      <c r="E7" s="1"/>
      <c r="F7" s="18">
        <v>1</v>
      </c>
      <c r="G7" s="4" t="s">
        <v>59</v>
      </c>
      <c r="H7" s="24" t="str">
        <f t="shared" ref="H7:H14" si="0">HYPERLINK("#G6",CHAR(128))</f>
        <v>€</v>
      </c>
      <c r="K7" s="1" t="s">
        <v>15</v>
      </c>
      <c r="L7" s="1"/>
    </row>
    <row r="8" spans="1:12" ht="17.2" customHeight="1" x14ac:dyDescent="0.3">
      <c r="A8" s="3"/>
      <c r="B8" s="43" t="s">
        <v>19</v>
      </c>
      <c r="C8" s="43"/>
      <c r="D8" s="43"/>
      <c r="E8" s="4"/>
      <c r="F8" s="4">
        <v>1</v>
      </c>
      <c r="G8" s="4" t="s">
        <v>59</v>
      </c>
      <c r="H8" s="24" t="str">
        <f t="shared" si="0"/>
        <v>€</v>
      </c>
      <c r="K8" s="4" t="s">
        <v>16</v>
      </c>
      <c r="L8" s="4"/>
    </row>
    <row r="9" spans="1:12" ht="17.2" customHeight="1" x14ac:dyDescent="0.3">
      <c r="A9" s="2"/>
      <c r="B9" s="44" t="s">
        <v>20</v>
      </c>
      <c r="C9" s="44"/>
      <c r="D9" s="44"/>
      <c r="E9" s="1"/>
      <c r="F9" s="18">
        <v>1</v>
      </c>
      <c r="G9" s="4" t="s">
        <v>59</v>
      </c>
      <c r="H9" s="24" t="str">
        <f t="shared" si="0"/>
        <v>€</v>
      </c>
      <c r="I9" s="11"/>
      <c r="K9" s="1" t="s">
        <v>17</v>
      </c>
      <c r="L9" s="1"/>
    </row>
    <row r="10" spans="1:12" ht="17.2" customHeight="1" x14ac:dyDescent="0.3">
      <c r="A10" s="3"/>
      <c r="B10" s="43" t="s">
        <v>24</v>
      </c>
      <c r="C10" s="43"/>
      <c r="D10" s="43"/>
      <c r="E10" s="8"/>
      <c r="F10" s="4">
        <v>1</v>
      </c>
      <c r="G10" s="4" t="s">
        <v>59</v>
      </c>
      <c r="H10" s="24" t="str">
        <f t="shared" si="0"/>
        <v>€</v>
      </c>
      <c r="K10" s="17" t="s">
        <v>70</v>
      </c>
      <c r="L10" s="17"/>
    </row>
    <row r="11" spans="1:12" ht="17.2" customHeight="1" x14ac:dyDescent="0.3">
      <c r="A11" s="2"/>
      <c r="B11" s="44" t="s">
        <v>23</v>
      </c>
      <c r="C11" s="44"/>
      <c r="D11" s="44"/>
      <c r="E11" s="1"/>
      <c r="F11" s="18">
        <v>1</v>
      </c>
      <c r="G11" s="4" t="s">
        <v>59</v>
      </c>
      <c r="H11" s="24" t="str">
        <f t="shared" si="0"/>
        <v>€</v>
      </c>
    </row>
    <row r="12" spans="1:12" ht="17.2" customHeight="1" x14ac:dyDescent="0.3">
      <c r="A12" s="5"/>
      <c r="B12" s="43" t="s">
        <v>25</v>
      </c>
      <c r="C12" s="43"/>
      <c r="D12" s="43"/>
      <c r="E12" s="4"/>
      <c r="F12" s="4">
        <v>1</v>
      </c>
      <c r="G12" s="4" t="s">
        <v>59</v>
      </c>
      <c r="H12" s="24" t="str">
        <f t="shared" si="0"/>
        <v>€</v>
      </c>
    </row>
    <row r="13" spans="1:12" ht="17.2" customHeight="1" x14ac:dyDescent="0.3">
      <c r="A13" s="2"/>
      <c r="B13" s="44" t="s">
        <v>26</v>
      </c>
      <c r="C13" s="44"/>
      <c r="D13" s="44"/>
      <c r="E13" s="1"/>
      <c r="F13" s="18">
        <v>1</v>
      </c>
      <c r="G13" s="4" t="s">
        <v>59</v>
      </c>
      <c r="H13" s="24" t="str">
        <f t="shared" si="0"/>
        <v>€</v>
      </c>
    </row>
    <row r="14" spans="1:12" ht="17.2" customHeight="1" x14ac:dyDescent="0.3">
      <c r="A14" s="5"/>
      <c r="B14" s="43" t="s">
        <v>27</v>
      </c>
      <c r="C14" s="43"/>
      <c r="D14" s="43"/>
      <c r="E14" s="4"/>
      <c r="F14" s="4">
        <v>1</v>
      </c>
      <c r="G14" s="4" t="s">
        <v>59</v>
      </c>
      <c r="H14" s="24" t="str">
        <f t="shared" si="0"/>
        <v>€</v>
      </c>
    </row>
    <row r="15" spans="1:12" ht="17.2" customHeight="1" x14ac:dyDescent="0.3">
      <c r="A15" s="2"/>
      <c r="B15" s="45"/>
      <c r="C15" s="45"/>
      <c r="D15" s="45"/>
      <c r="E15" s="1"/>
      <c r="F15" s="18"/>
      <c r="G15" s="4"/>
      <c r="H15" s="16"/>
    </row>
    <row r="16" spans="1:12" ht="17.2" customHeight="1" x14ac:dyDescent="0.3">
      <c r="A16" s="5"/>
      <c r="B16" s="43" t="s">
        <v>28</v>
      </c>
      <c r="C16" s="43"/>
      <c r="D16" s="43"/>
      <c r="E16" s="4"/>
      <c r="F16" s="4">
        <v>1</v>
      </c>
      <c r="G16" s="4" t="s">
        <v>59</v>
      </c>
      <c r="H16" s="26" t="str">
        <f>HYPERLINK("#G16",CHAR(128))</f>
        <v>€</v>
      </c>
    </row>
    <row r="17" spans="1:14" ht="17.2" customHeight="1" x14ac:dyDescent="0.3">
      <c r="A17" s="2"/>
      <c r="B17" s="44" t="s">
        <v>22</v>
      </c>
      <c r="C17" s="44"/>
      <c r="D17" s="44"/>
      <c r="E17" s="1"/>
      <c r="F17" s="18">
        <v>1</v>
      </c>
      <c r="G17" s="4" t="s">
        <v>59</v>
      </c>
      <c r="H17" s="26" t="str">
        <f>HYPERLINK("#G17",CHAR(128))</f>
        <v>€</v>
      </c>
    </row>
    <row r="18" spans="1:14" ht="17.2" customHeight="1" x14ac:dyDescent="0.3">
      <c r="A18" s="5"/>
      <c r="B18" s="43" t="s">
        <v>29</v>
      </c>
      <c r="C18" s="43"/>
      <c r="D18" s="43"/>
      <c r="E18" s="4"/>
      <c r="F18" s="4">
        <v>1</v>
      </c>
      <c r="G18" s="4" t="s">
        <v>59</v>
      </c>
      <c r="H18" s="26" t="str">
        <f>HYPERLINK("#G18",CHAR(128))</f>
        <v>€</v>
      </c>
    </row>
    <row r="19" spans="1:14" ht="17.2" customHeight="1" x14ac:dyDescent="0.3">
      <c r="A19" s="2"/>
      <c r="B19" s="44" t="s">
        <v>30</v>
      </c>
      <c r="C19" s="44"/>
      <c r="D19" s="44"/>
      <c r="E19" s="1"/>
      <c r="F19" s="18">
        <v>1</v>
      </c>
      <c r="G19" s="4" t="s">
        <v>59</v>
      </c>
      <c r="H19" s="26" t="str">
        <f>HYPERLINK("#G19",CHAR(128))</f>
        <v>€</v>
      </c>
    </row>
    <row r="20" spans="1:14" ht="17.2" customHeight="1" x14ac:dyDescent="0.3">
      <c r="A20" s="5"/>
      <c r="B20" s="46"/>
      <c r="C20" s="47"/>
      <c r="D20" s="48"/>
      <c r="E20" s="4"/>
      <c r="F20" s="4"/>
      <c r="G20" s="4"/>
      <c r="H20" s="16"/>
    </row>
    <row r="21" spans="1:14" ht="14.4" x14ac:dyDescent="0.3">
      <c r="A21" s="2"/>
      <c r="B21" s="44" t="s">
        <v>33</v>
      </c>
      <c r="C21" s="44"/>
      <c r="D21" s="44"/>
      <c r="E21" s="9"/>
      <c r="F21" s="18">
        <v>1</v>
      </c>
      <c r="G21" s="4" t="s">
        <v>59</v>
      </c>
      <c r="H21" s="26" t="str">
        <f>HYPERLINK("#G21",CHAR(128))</f>
        <v>€</v>
      </c>
    </row>
    <row r="22" spans="1:14" ht="14.4" x14ac:dyDescent="0.3">
      <c r="A22" s="5"/>
      <c r="B22" s="43" t="s">
        <v>31</v>
      </c>
      <c r="C22" s="43"/>
      <c r="D22" s="43"/>
      <c r="E22" s="4"/>
      <c r="F22" s="4">
        <v>1</v>
      </c>
      <c r="G22" s="4" t="s">
        <v>59</v>
      </c>
      <c r="H22" s="26" t="str">
        <f>HYPERLINK("#G22",CHAR(128))</f>
        <v>€</v>
      </c>
      <c r="N22" s="2"/>
    </row>
    <row r="23" spans="1:14" ht="14.4" x14ac:dyDescent="0.3">
      <c r="A23" s="2"/>
      <c r="B23" s="44" t="s">
        <v>73</v>
      </c>
      <c r="C23" s="44"/>
      <c r="D23" s="44"/>
      <c r="E23" s="1"/>
      <c r="F23" s="18">
        <v>1</v>
      </c>
      <c r="G23" s="4" t="s">
        <v>59</v>
      </c>
      <c r="H23" s="25" t="str">
        <f>HYPERLINK("#G23",CHAR(128))</f>
        <v>€</v>
      </c>
    </row>
    <row r="24" spans="1:14" ht="14.4" x14ac:dyDescent="0.3">
      <c r="A24" s="5"/>
      <c r="B24" s="43" t="s">
        <v>32</v>
      </c>
      <c r="C24" s="43"/>
      <c r="D24" s="43"/>
      <c r="E24" s="4"/>
      <c r="F24" s="4">
        <v>1</v>
      </c>
      <c r="G24" s="4" t="s">
        <v>59</v>
      </c>
      <c r="H24" s="25" t="str">
        <f>HYPERLINK("#G24",CHAR(128))</f>
        <v>€</v>
      </c>
    </row>
    <row r="25" spans="1:14" ht="14.4" x14ac:dyDescent="0.3">
      <c r="A25" s="2"/>
      <c r="B25" s="44"/>
      <c r="C25" s="44"/>
      <c r="D25" s="44"/>
      <c r="E25" s="1"/>
      <c r="F25" s="18"/>
      <c r="G25" s="4"/>
      <c r="H25" s="16"/>
      <c r="I25" s="12"/>
    </row>
    <row r="26" spans="1:14" ht="14.4" x14ac:dyDescent="0.3">
      <c r="A26" s="5"/>
      <c r="B26" s="43" t="s">
        <v>37</v>
      </c>
      <c r="C26" s="43"/>
      <c r="D26" s="43"/>
      <c r="E26" s="4"/>
      <c r="F26" s="4">
        <v>1</v>
      </c>
      <c r="G26" s="4" t="s">
        <v>59</v>
      </c>
      <c r="H26" s="27" t="str">
        <f>HYPERLINK("#G26",CHAR(128))</f>
        <v>€</v>
      </c>
    </row>
    <row r="27" spans="1:14" ht="14.4" x14ac:dyDescent="0.3"/>
    <row r="28" spans="1:14" ht="14.4" x14ac:dyDescent="0.3">
      <c r="J28" s="20"/>
    </row>
    <row r="29" spans="1:14" ht="14.4" x14ac:dyDescent="0.3">
      <c r="A29" s="22"/>
      <c r="B29" s="42" t="s">
        <v>77</v>
      </c>
      <c r="C29" s="42"/>
      <c r="D29" s="42"/>
      <c r="E29" s="22" t="s">
        <v>8</v>
      </c>
      <c r="F29" s="22" t="s">
        <v>35</v>
      </c>
      <c r="G29" s="23" t="s">
        <v>36</v>
      </c>
    </row>
    <row r="30" spans="1:14" ht="14.4" x14ac:dyDescent="0.3">
      <c r="A30" s="3"/>
      <c r="B30" s="43"/>
      <c r="C30" s="43"/>
      <c r="D30" s="43"/>
      <c r="E30" s="4"/>
      <c r="F30" s="10">
        <v>1</v>
      </c>
      <c r="G30" s="19"/>
      <c r="H30" s="21" t="str">
        <f>HYPERLINK("#G30",CHAR(128))</f>
        <v>€</v>
      </c>
    </row>
    <row r="31" spans="1:14" ht="14.4" x14ac:dyDescent="0.3">
      <c r="A31" s="2"/>
      <c r="B31" s="44"/>
      <c r="C31" s="44"/>
      <c r="D31" s="44"/>
      <c r="E31" s="1"/>
      <c r="F31" s="18">
        <v>1</v>
      </c>
      <c r="G31" s="29"/>
      <c r="H31" s="21" t="str">
        <f>HYPERLINK("#G31",CHAR(128))</f>
        <v>€</v>
      </c>
    </row>
    <row r="32" spans="1:14" ht="14.4" x14ac:dyDescent="0.3">
      <c r="A32" s="3"/>
      <c r="B32" s="43"/>
      <c r="C32" s="43"/>
      <c r="D32" s="43"/>
      <c r="E32" s="4"/>
      <c r="F32" s="4">
        <v>1</v>
      </c>
      <c r="G32" s="30"/>
      <c r="H32" s="21" t="str">
        <f>HYPERLINK("#G32",CHAR(128))</f>
        <v>€</v>
      </c>
    </row>
    <row r="33" spans="1:8" ht="14.4" x14ac:dyDescent="0.3">
      <c r="A33" s="2"/>
      <c r="B33" s="44"/>
      <c r="C33" s="44"/>
      <c r="D33" s="44"/>
      <c r="E33" s="1"/>
      <c r="F33" s="18">
        <v>1</v>
      </c>
      <c r="G33" s="29"/>
      <c r="H33" s="21" t="str">
        <f>HYPERLINK("#G33",CHAR(128))</f>
        <v>€</v>
      </c>
    </row>
    <row r="34" spans="1:8" ht="14.4" x14ac:dyDescent="0.3">
      <c r="A34" s="3"/>
      <c r="B34" s="43"/>
      <c r="C34" s="43"/>
      <c r="D34" s="43"/>
      <c r="E34" s="4"/>
      <c r="F34" s="4">
        <v>1</v>
      </c>
      <c r="G34" s="30"/>
      <c r="H34" s="21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B29:D29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3:F3"/>
    <mergeCell ref="E4:F4"/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  <mergeCell ref="B15:D15"/>
    <mergeCell ref="B30:D30"/>
    <mergeCell ref="B31:D31"/>
    <mergeCell ref="B32:D32"/>
    <mergeCell ref="B33:D33"/>
    <mergeCell ref="B34:D34"/>
  </mergeCells>
  <conditionalFormatting sqref="G6:G26">
    <cfRule type="cellIs" dxfId="63" priority="1" operator="equal">
      <formula>"Returned"</formula>
    </cfRule>
    <cfRule type="cellIs" dxfId="62" priority="11" operator="equal">
      <formula>"Ready To Order"</formula>
    </cfRule>
    <cfRule type="containsText" dxfId="61" priority="12" operator="containsText" text="UNP">
      <formula>NOT(ISERROR(SEARCH("UNP",G6)))</formula>
    </cfRule>
    <cfRule type="containsText" dxfId="60" priority="13" operator="containsText" text="Ordered">
      <formula>NOT(ISERROR(SEARCH("Ordered",G6)))</formula>
    </cfRule>
    <cfRule type="containsText" dxfId="59" priority="14" operator="containsText" text="Pick Up">
      <formula>NOT(ISERROR(SEARCH("Pick Up",G6)))</formula>
    </cfRule>
    <cfRule type="containsText" dxfId="58" priority="15" operator="containsText" text="Complete">
      <formula>NOT(ISERROR(SEARCH("Complete",G6)))</formula>
    </cfRule>
  </conditionalFormatting>
  <conditionalFormatting sqref="G30:G33">
    <cfRule type="containsText" dxfId="57" priority="3" operator="containsText" text="Given">
      <formula>NOT(ISERROR(SEARCH("Given",G30)))</formula>
    </cfRule>
  </conditionalFormatting>
  <conditionalFormatting sqref="G30:G34">
    <cfRule type="containsText" dxfId="56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10</xdr:row>
                    <xdr:rowOff>166255</xdr:rowOff>
                  </from>
                  <to>
                    <xdr:col>12</xdr:col>
                    <xdr:colOff>24938</xdr:colOff>
                    <xdr:row>12</xdr:row>
                    <xdr:rowOff>207818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51</v>
      </c>
      <c r="C1" t="s">
        <v>54</v>
      </c>
      <c r="D1" t="s">
        <v>52</v>
      </c>
      <c r="E1" t="s">
        <v>56</v>
      </c>
    </row>
    <row r="2" spans="1:7" x14ac:dyDescent="0.3">
      <c r="F2" t="s">
        <v>58</v>
      </c>
    </row>
    <row r="4" spans="1:7" x14ac:dyDescent="0.3">
      <c r="C4">
        <v>3</v>
      </c>
    </row>
    <row r="6" spans="1:7" x14ac:dyDescent="0.3">
      <c r="G6" t="s">
        <v>55</v>
      </c>
    </row>
    <row r="7" spans="1:7" x14ac:dyDescent="0.3">
      <c r="G7" t="s">
        <v>57</v>
      </c>
    </row>
    <row r="23" spans="5:6" x14ac:dyDescent="0.3">
      <c r="E23" s="55" t="s">
        <v>53</v>
      </c>
      <c r="F23" s="55"/>
    </row>
    <row r="24" spans="5:6" x14ac:dyDescent="0.3">
      <c r="E24" s="55"/>
      <c r="F24" s="55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Userform</vt:lpstr>
      <vt:lpstr>Menu</vt:lpstr>
      <vt:lpstr>Grace_Harris_0A8D5D88</vt:lpstr>
      <vt:lpstr>Yvonne_Clark_48BF9299</vt:lpstr>
      <vt:lpstr>Charlie_Davis_EECA92A4</vt:lpstr>
      <vt:lpstr>Grace_Wilson_120AB9A9</vt:lpstr>
      <vt:lpstr>Alice_Rodriguez_F96DFBA7</vt:lpstr>
      <vt:lpstr>Peter_Wilson_975CD3AA</vt:lpstr>
      <vt:lpstr>Jack_Brown_5C9B2ABC</vt:lpstr>
      <vt:lpstr>Bob_Clark_64E70E9C</vt:lpstr>
      <vt:lpstr>Kate_Davis_D5A1F78F</vt:lpstr>
      <vt:lpstr>Rachel_Thomas_5EEB3596</vt:lpstr>
      <vt:lpstr>Taylor_Harris_3EAF9A97</vt:lpstr>
      <vt:lpstr>Jack_Brown_5CFDFE8D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2023-09-13T00:41:46Z</dcterms:modified>
</cp:coreProperties>
</file>